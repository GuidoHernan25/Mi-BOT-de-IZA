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PEDIDOS" sheetId="4" state="visible" r:id="rId4"/>
    <sheet xmlns:r="http://schemas.openxmlformats.org/officeDocument/2006/relationships" name="PEDIDO_ITEMS" sheetId="5" state="visible" r:id="rId5"/>
    <sheet xmlns:r="http://schemas.openxmlformats.org/officeDocument/2006/relationships" name="SALIDAS" sheetId="6" state="visible" r:id="rId6"/>
    <sheet xmlns:r="http://schemas.openxmlformats.org/officeDocument/2006/relationships" name="DEVOLUCIONES" sheetId="7" state="visible" r:id="rId7"/>
    <sheet xmlns:r="http://schemas.openxmlformats.org/officeDocument/2006/relationships" name="CONTROL_EVENTOS" sheetId="8" state="visible" r:id="rId8"/>
    <sheet xmlns:r="http://schemas.openxmlformats.org/officeDocument/2006/relationships" name="STOCK EN VIVO" sheetId="9" state="visible" r:id="rId9"/>
    <sheet xmlns:r="http://schemas.openxmlformats.org/officeDocument/2006/relationships" name="REMITO_DIGITAL" sheetId="10" state="visible" r:id="rId10"/>
    <sheet xmlns:r="http://schemas.openxmlformats.org/officeDocument/2006/relationships" name="HISTORIAL_REMITOS" sheetId="11" state="visible" r:id="rId11"/>
    <sheet xmlns:r="http://schemas.openxmlformats.org/officeDocument/2006/relationships" name="LISTAS" sheetId="12" state="hidden" r:id="rId12"/>
  </sheets>
  <definedNames>
    <definedName name="_xlnm._FilterDatabase" localSheetId="0" hidden="1">'INICIO'!$A$1:$H$8</definedName>
    <definedName name="_xlnm._FilterDatabase" localSheetId="1" hidden="1">'PRODUCTOS'!$A$1:$D$26</definedName>
    <definedName name="_xlnm._FilterDatabase" localSheetId="2" hidden="1">'INVENTARIO'!$A$1:$E$1411</definedName>
    <definedName name="_xlnm._FilterDatabase" localSheetId="3" hidden="1">'PEDIDOS'!$A$1:$G$501</definedName>
    <definedName name="_xlnm._FilterDatabase" localSheetId="4" hidden="1">'PEDIDO_ITEMS'!$A$1:$F$501</definedName>
    <definedName name="_xlnm._FilterDatabase" localSheetId="5" hidden="1">'SALIDAS'!$A$1:$G$1000</definedName>
    <definedName name="_xlnm._FilterDatabase" localSheetId="6" hidden="1">'DEVOLUCIONES'!$A$1:$F$1000</definedName>
    <definedName name="_xlnm._FilterDatabase" localSheetId="7" hidden="1">'CONTROL_EVENTOS'!$A$1:$F$100</definedName>
    <definedName name="_xlnm._FilterDatabase" localSheetId="8" hidden="1">'STOCK EN VIVO'!$A$1:$F$26</definedName>
    <definedName name="_xlnm._FilterDatabase" localSheetId="9" hidden="1">'REMITO_DIGITAL'!$A$1:$J$39</definedName>
    <definedName name="_xlnm._FilterDatabase" localSheetId="10" hidden="1">'HISTORIAL_REMITOS'!$A$1:$H$501</definedName>
    <definedName name="_xlnm._FilterDatabase" localSheetId="11" hidden="1">'LISTAS'!$A$1:$C$26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24F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2F8"/>
      </patternFill>
    </fill>
    <fill>
      <patternFill patternType="solid">
        <fgColor rgb="00F3F4F6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4" fillId="5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BBF7D0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ablaProductos" displayName="TablaProductos" ref="A1:D26" headerRowCount="1">
  <autoFilter ref="A1:D26"/>
  <tableColumns count="4">
    <tableColumn id="1" name="Tipo"/>
    <tableColumn id="2" name="Descripcion"/>
    <tableColumn id="3" name="Total inventario"/>
    <tableColumn id="4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Inventario" displayName="TablaInventario" ref="A1:E1411" headerRowCount="1">
  <autoFilter ref="A1:E1411"/>
  <tableColumns count="5">
    <tableColumn id="1" name="Codigo"/>
    <tableColumn id="2" name="Tipo"/>
    <tableColumn id="3" name="Descripcion"/>
    <tableColumn id="4" name="Estado"/>
    <tableColumn id="5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Pedidos" displayName="TablaPedidos" ref="A1:G501" headerRowCount="1">
  <autoFilter ref="A1:G501"/>
  <tableColumns count="7">
    <tableColumn id="1" name="Pedido"/>
    <tableColumn id="2" name="Fecha"/>
    <tableColumn id="3" name="Evento"/>
    <tableColumn id="4" name="Solicitante"/>
    <tableColumn id="5" name="Estado"/>
    <tableColumn id="6" name="Notas"/>
    <tableColumn id="7" name="Valid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PedidoItems" displayName="TablaPedidoItems" ref="A1:F501" headerRowCount="1">
  <autoFilter ref="A1:F501"/>
  <tableColumns count="6">
    <tableColumn id="1" name="Pedido"/>
    <tableColumn id="2" name="Tipo"/>
    <tableColumn id="3" name="Cantidad pedida"/>
    <tableColumn id="4" name="Cantidad salida"/>
    <tableColumn id="5" name="Faltan"/>
    <tableColumn id="6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Salidas" displayName="TablaSalidas" ref="A1:G1000" headerRowCount="1">
  <autoFilter ref="A1:G1000"/>
  <tableColumns count="7">
    <tableColumn id="1" name="Fecha"/>
    <tableColumn id="2" name="Evento"/>
    <tableColumn id="3" name="Pedido"/>
    <tableColumn id="4" name="Codigo"/>
    <tableColumn id="5" name="Tipo detectado"/>
    <tableColumn id="6" name="Descripcion"/>
    <tableColumn id="7" name="Valid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Devoluciones" displayName="TablaDevoluciones" ref="A1:F1000" headerRowCount="1">
  <autoFilter ref="A1:F1000"/>
  <tableColumns count="6">
    <tableColumn id="1" name="Fecha"/>
    <tableColumn id="2" name="Evento"/>
    <tableColumn id="3" name="Pedido"/>
    <tableColumn id="4" name="Codigo"/>
    <tableColumn id="5" name="Tipo detectado"/>
    <tableColumn id="6" name="Valid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ControlEventos" displayName="TablaControlEventos" ref="A1:F100" headerRowCount="1">
  <autoFilter ref="A1:F100"/>
  <tableColumns count="6">
    <tableColumn id="1" name="Evento"/>
    <tableColumn id="2" name="Salieron OK"/>
    <tableColumn id="3" name="Volvieron OK"/>
    <tableColumn id="4" name="Faltan"/>
    <tableColumn id="5" name="Codigos con alerta"/>
    <tableColumn id="6" name="Est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StockEnVivo" displayName="TablaStockEnVivo" ref="A1:F26" headerRowCount="1">
  <autoFilter ref="A1:F26"/>
  <tableColumns count="6">
    <tableColumn id="1" name="Tipo"/>
    <tableColumn id="2" name="Total"/>
    <tableColumn id="3" name="Reservado pedido"/>
    <tableColumn id="4" name="Afuera"/>
    <tableColumn id="5" name="En deposito"/>
    <tableColumn id="6" name="Aler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aHistorialRemitos" displayName="TablaHistorialRemitos" ref="A1:H501" headerRowCount="1">
  <autoFilter ref="A1:H501"/>
  <tableColumns count="8">
    <tableColumn id="1" name="N Remito"/>
    <tableColumn id="2" name="Fecha"/>
    <tableColumn id="3" name="Evento"/>
    <tableColumn id="4" name="Pedido"/>
    <tableColumn id="5" name="Tipo"/>
    <tableColumn id="6" name="Descripcion"/>
    <tableColumn id="7" name="Cantidad"/>
    <tableColumn id="8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OPERACION LOGISTICA - PANEL SIMPLE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Resumen rapido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Codigos inventario</t>
        </is>
      </c>
      <c r="B4" s="2" t="n">
        <v>1410</v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Tipos de producto</t>
        </is>
      </c>
      <c r="B5" s="2" t="n">
        <v>25</v>
      </c>
      <c r="C5" s="2" t="n"/>
      <c r="D5" s="2" t="inlineStr">
        <is>
          <t>Hojas de uso diario</t>
        </is>
      </c>
      <c r="E5" s="2" t="inlineStr">
        <is>
          <t>PEDIDOS</t>
        </is>
      </c>
      <c r="F5" s="2" t="inlineStr">
        <is>
          <t>SALIDAS</t>
        </is>
      </c>
      <c r="G5" s="2" t="inlineStr">
        <is>
          <t>DEVOLUCIONES</t>
        </is>
      </c>
      <c r="H5" s="2" t="inlineStr">
        <is>
          <t>STOCK EN VIVO</t>
        </is>
      </c>
    </row>
    <row r="6">
      <c r="A6" s="4" t="inlineStr">
        <is>
          <t>Eventos activos</t>
        </is>
      </c>
      <c r="B6" s="2" t="n">
        <v>2</v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Salidas cargadas</t>
        </is>
      </c>
      <c r="B7" s="2" t="n">
        <v>26</v>
      </c>
      <c r="C7" s="2" t="n"/>
      <c r="D7" s="2" t="inlineStr">
        <is>
          <t>Alertas automaticas</t>
        </is>
      </c>
      <c r="E7" s="2" t="inlineStr">
        <is>
          <t>CODIGO NO EXISTE</t>
        </is>
      </c>
      <c r="F7" s="2" t="inlineStr">
        <is>
          <t>DUPLICADO</t>
        </is>
      </c>
      <c r="G7" s="2" t="inlineStr">
        <is>
          <t>NO PEDIDO</t>
        </is>
      </c>
      <c r="H7" s="2" t="inlineStr">
        <is>
          <t>EXCEDE PEDIDO</t>
        </is>
      </c>
    </row>
    <row r="8">
      <c r="A8" s="4" t="inlineStr">
        <is>
          <t>Devoluciones cargadas</t>
        </is>
      </c>
      <c r="B8" s="2" t="n">
        <v>3</v>
      </c>
      <c r="C8" s="2" t="n"/>
      <c r="D8" s="2" t="n"/>
      <c r="E8" s="2" t="n"/>
      <c r="F8" s="2" t="n"/>
      <c r="G8" s="2" t="n"/>
      <c r="H8" s="2" t="n"/>
    </row>
  </sheetData>
  <autoFilter ref="A1:H8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0" customWidth="1" min="4" max="4"/>
  </cols>
  <sheetData>
    <row r="1" ht="24" customHeight="1">
      <c r="A1" s="5" t="inlineStr">
        <is>
          <t>Tipo</t>
        </is>
      </c>
      <c r="B1" s="5" t="inlineStr">
        <is>
          <t>Descripcion</t>
        </is>
      </c>
      <c r="C1" s="5" t="inlineStr">
        <is>
          <t>Total inventario</t>
        </is>
      </c>
      <c r="D1" s="5" t="inlineStr">
        <is>
          <t>Activo</t>
        </is>
      </c>
    </row>
    <row r="2">
      <c r="A2" s="2" t="inlineStr">
        <is>
          <t>ARANA-CAMLOCK</t>
        </is>
      </c>
      <c r="B2" s="2" t="inlineStr">
        <is>
          <t>Araña Camlock</t>
        </is>
      </c>
      <c r="C2" s="2" t="n">
        <v>2</v>
      </c>
      <c r="D2" s="2" t="inlineStr">
        <is>
          <t>SI</t>
        </is>
      </c>
    </row>
    <row r="3">
      <c r="A3" s="2" t="inlineStr">
        <is>
          <t>BAUL</t>
        </is>
      </c>
      <c r="B3" s="2" t="inlineStr">
        <is>
          <t>Baúl</t>
        </is>
      </c>
      <c r="C3" s="2" t="n">
        <v>11</v>
      </c>
      <c r="D3" s="2" t="inlineStr">
        <is>
          <t>SI</t>
        </is>
      </c>
    </row>
    <row r="4">
      <c r="A4" s="2" t="inlineStr">
        <is>
          <t>CHA-250A</t>
        </is>
      </c>
      <c r="B4" s="2" t="inlineStr">
        <is>
          <t>Chancha 250A</t>
        </is>
      </c>
      <c r="C4" s="2" t="n">
        <v>2</v>
      </c>
      <c r="D4" s="2" t="inlineStr">
        <is>
          <t>SI</t>
        </is>
      </c>
    </row>
    <row r="5">
      <c r="A5" s="2" t="inlineStr">
        <is>
          <t>CHA-400A</t>
        </is>
      </c>
      <c r="B5" s="2" t="inlineStr">
        <is>
          <t>Chancha 400A</t>
        </is>
      </c>
      <c r="C5" s="2" t="n">
        <v>3</v>
      </c>
      <c r="D5" s="2" t="inlineStr">
        <is>
          <t>SI</t>
        </is>
      </c>
    </row>
    <row r="6">
      <c r="A6" s="2" t="inlineStr">
        <is>
          <t>CHA-TABLEROS</t>
        </is>
      </c>
      <c r="B6" s="2" t="inlineStr">
        <is>
          <t>Tablero Chancha</t>
        </is>
      </c>
      <c r="C6" s="2" t="n">
        <v>7</v>
      </c>
      <c r="D6" s="2" t="inlineStr">
        <is>
          <t>SI</t>
        </is>
      </c>
    </row>
    <row r="7">
      <c r="A7" s="2" t="inlineStr">
        <is>
          <t>GEN-9KVA</t>
        </is>
      </c>
      <c r="B7" s="2" t="inlineStr">
        <is>
          <t>Generador 9KVA</t>
        </is>
      </c>
      <c r="C7" s="2" t="n">
        <v>9</v>
      </c>
      <c r="D7" s="2" t="inlineStr">
        <is>
          <t>SI</t>
        </is>
      </c>
    </row>
    <row r="8">
      <c r="A8" s="2" t="inlineStr">
        <is>
          <t>LUZ-SALA</t>
        </is>
      </c>
      <c r="B8" s="2" t="inlineStr">
        <is>
          <t>Luz sala</t>
        </is>
      </c>
      <c r="C8" s="2" t="n">
        <v>6</v>
      </c>
      <c r="D8" s="2" t="inlineStr">
        <is>
          <t>SI</t>
        </is>
      </c>
    </row>
    <row r="9">
      <c r="A9" s="2" t="inlineStr">
        <is>
          <t>LUZ-TRABAJO</t>
        </is>
      </c>
      <c r="B9" s="2" t="inlineStr">
        <is>
          <t>Luz de trabajo</t>
        </is>
      </c>
      <c r="C9" s="2" t="n">
        <v>4</v>
      </c>
      <c r="D9" s="2" t="inlineStr">
        <is>
          <t>SI</t>
        </is>
      </c>
    </row>
    <row r="10">
      <c r="A10" s="2" t="inlineStr">
        <is>
          <t>MEN-3X16-14M</t>
        </is>
      </c>
      <c r="B10" s="2" t="inlineStr">
        <is>
          <t>Meneque 3x16 de 14 metros</t>
        </is>
      </c>
      <c r="C10" s="2" t="n">
        <v>17</v>
      </c>
      <c r="D10" s="2" t="inlineStr">
        <is>
          <t>SI</t>
        </is>
      </c>
    </row>
    <row r="11">
      <c r="A11" s="2" t="inlineStr">
        <is>
          <t>MEN-3X16-20M</t>
        </is>
      </c>
      <c r="B11" s="2" t="inlineStr">
        <is>
          <t>Meneque 3x16 de 20 metros</t>
        </is>
      </c>
      <c r="C11" s="2" t="n">
        <v>30</v>
      </c>
      <c r="D11" s="2" t="inlineStr">
        <is>
          <t>SI</t>
        </is>
      </c>
    </row>
    <row r="12">
      <c r="A12" s="2" t="inlineStr">
        <is>
          <t>MEN-3X16-30M</t>
        </is>
      </c>
      <c r="B12" s="2" t="inlineStr">
        <is>
          <t>Meneke 3x16 de 30 metros</t>
        </is>
      </c>
      <c r="C12" s="2" t="n">
        <v>30</v>
      </c>
      <c r="D12" s="2" t="inlineStr">
        <is>
          <t>SI</t>
        </is>
      </c>
    </row>
    <row r="13">
      <c r="A13" s="2" t="inlineStr">
        <is>
          <t>MEN-5X16-A-16A</t>
        </is>
      </c>
      <c r="B13" s="2" t="inlineStr">
        <is>
          <t>Meneque 5x16 a 16A</t>
        </is>
      </c>
      <c r="C13" s="2" t="n">
        <v>15</v>
      </c>
      <c r="D13" s="2" t="inlineStr">
        <is>
          <t>SI</t>
        </is>
      </c>
    </row>
    <row r="14">
      <c r="A14" s="2" t="inlineStr">
        <is>
          <t>MNG-5X32-10M</t>
        </is>
      </c>
      <c r="B14" s="2" t="inlineStr">
        <is>
          <t>Manga 5x32 de 10 metros</t>
        </is>
      </c>
      <c r="C14" s="2" t="n">
        <v>48</v>
      </c>
      <c r="D14" s="2" t="inlineStr">
        <is>
          <t>SI</t>
        </is>
      </c>
    </row>
    <row r="15">
      <c r="A15" s="2" t="inlineStr">
        <is>
          <t>MNG-5X32-15M</t>
        </is>
      </c>
      <c r="B15" s="2" t="inlineStr">
        <is>
          <t>Manga 5x32 de 15 metros</t>
        </is>
      </c>
      <c r="C15" s="2" t="n">
        <v>28</v>
      </c>
      <c r="D15" s="2" t="inlineStr">
        <is>
          <t>SI</t>
        </is>
      </c>
    </row>
    <row r="16">
      <c r="A16" s="2" t="inlineStr">
        <is>
          <t>MNG-5X32-20M</t>
        </is>
      </c>
      <c r="B16" s="2" t="inlineStr">
        <is>
          <t>Manga 5x32 de 20 metros</t>
        </is>
      </c>
      <c r="C16" s="2" t="n">
        <v>20</v>
      </c>
      <c r="D16" s="2" t="inlineStr">
        <is>
          <t>SI</t>
        </is>
      </c>
    </row>
    <row r="17">
      <c r="A17" s="2" t="inlineStr">
        <is>
          <t>MNG-5X32-30M</t>
        </is>
      </c>
      <c r="B17" s="2" t="inlineStr">
        <is>
          <t>Manga 5x32 de 30 metros</t>
        </is>
      </c>
      <c r="C17" s="2" t="n">
        <v>13</v>
      </c>
      <c r="D17" s="2" t="inlineStr">
        <is>
          <t>SI</t>
        </is>
      </c>
    </row>
    <row r="18">
      <c r="A18" s="2" t="inlineStr">
        <is>
          <t>SIN-TIPO</t>
        </is>
      </c>
      <c r="B18" s="2" t="inlineStr">
        <is>
          <t>SIN-TIPO</t>
        </is>
      </c>
      <c r="C18" s="2" t="n">
        <v>1132</v>
      </c>
      <c r="D18" s="2" t="inlineStr">
        <is>
          <t>SI</t>
        </is>
      </c>
    </row>
    <row r="19">
      <c r="A19" s="2" t="inlineStr">
        <is>
          <t>TAB-CAMPO-CHICO</t>
        </is>
      </c>
      <c r="B19" s="2" t="inlineStr">
        <is>
          <t>Tablero Campo Chico</t>
        </is>
      </c>
      <c r="C19" s="2" t="n">
        <v>2</v>
      </c>
      <c r="D19" s="2" t="inlineStr">
        <is>
          <t>SI</t>
        </is>
      </c>
    </row>
    <row r="20">
      <c r="A20" s="2" t="inlineStr">
        <is>
          <t>TAB-CAMPO-GRANDE</t>
        </is>
      </c>
      <c r="B20" s="2" t="inlineStr">
        <is>
          <t>Tablero Campo Grande</t>
        </is>
      </c>
      <c r="C20" s="2" t="n">
        <v>5</v>
      </c>
      <c r="D20" s="2" t="inlineStr">
        <is>
          <t>SI</t>
        </is>
      </c>
    </row>
    <row r="21">
      <c r="A21" s="2" t="inlineStr">
        <is>
          <t>TAB-CONMUTADORA</t>
        </is>
      </c>
      <c r="B21" s="2" t="inlineStr">
        <is>
          <t>Tablero Conmutadora</t>
        </is>
      </c>
      <c r="C21" s="2" t="n">
        <v>1</v>
      </c>
      <c r="D21" s="2" t="inlineStr">
        <is>
          <t>SI</t>
        </is>
      </c>
    </row>
    <row r="22">
      <c r="A22" s="2" t="inlineStr">
        <is>
          <t>TAB-DOMESTICA</t>
        </is>
      </c>
      <c r="B22" s="2" t="inlineStr">
        <is>
          <t>Tablero Doméstico</t>
        </is>
      </c>
      <c r="C22" s="2" t="n">
        <v>2</v>
      </c>
      <c r="D22" s="2" t="inlineStr">
        <is>
          <t>SI</t>
        </is>
      </c>
    </row>
    <row r="23">
      <c r="A23" s="2" t="inlineStr">
        <is>
          <t>TAB-PATOS</t>
        </is>
      </c>
      <c r="B23" s="2" t="inlineStr">
        <is>
          <t>Tablero Patos</t>
        </is>
      </c>
      <c r="C23" s="2" t="n">
        <v>5</v>
      </c>
      <c r="D23" s="2" t="inlineStr">
        <is>
          <t>SI</t>
        </is>
      </c>
    </row>
    <row r="24">
      <c r="A24" s="2" t="inlineStr">
        <is>
          <t>TAB-PATYZEROS</t>
        </is>
      </c>
      <c r="B24" s="2" t="inlineStr">
        <is>
          <t>Tablero Patyzeros</t>
        </is>
      </c>
      <c r="C24" s="2" t="n">
        <v>8</v>
      </c>
      <c r="D24" s="2" t="inlineStr">
        <is>
          <t>SI</t>
        </is>
      </c>
    </row>
    <row r="25">
      <c r="A25" s="2" t="inlineStr">
        <is>
          <t>TAB-PEKES</t>
        </is>
      </c>
      <c r="B25" s="2" t="inlineStr">
        <is>
          <t>Tablero Pekes</t>
        </is>
      </c>
      <c r="C25" s="2" t="n">
        <v>6</v>
      </c>
      <c r="D25" s="2" t="inlineStr">
        <is>
          <t>SI</t>
        </is>
      </c>
    </row>
    <row r="26">
      <c r="A26" s="2" t="inlineStr">
        <is>
          <t>TAB-SCAME</t>
        </is>
      </c>
      <c r="B26" s="2" t="inlineStr">
        <is>
          <t>Tablero Scame</t>
        </is>
      </c>
      <c r="C26" s="2" t="n">
        <v>4</v>
      </c>
      <c r="D26" s="2" t="inlineStr">
        <is>
          <t>SI</t>
        </is>
      </c>
    </row>
  </sheetData>
  <autoFilter ref="A1:D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6" customWidth="1" min="3" max="3"/>
    <col width="16" customWidth="1" min="4" max="4"/>
    <col width="30" customWidth="1" min="5" max="5"/>
  </cols>
  <sheetData>
    <row r="1" ht="24" customHeight="1">
      <c r="A1" s="5" t="inlineStr">
        <is>
          <t>Codigo</t>
        </is>
      </c>
      <c r="B1" s="5" t="inlineStr">
        <is>
          <t>Tipo</t>
        </is>
      </c>
      <c r="C1" s="5" t="inlineStr">
        <is>
          <t>Descripcion</t>
        </is>
      </c>
      <c r="D1" s="5" t="inlineStr">
        <is>
          <t>Estado</t>
        </is>
      </c>
      <c r="E1" s="5" t="inlineStr">
        <is>
          <t>Observaciones</t>
        </is>
      </c>
    </row>
    <row r="2">
      <c r="A2" s="2" t="inlineStr">
        <is>
          <t>GEN9KVA-001</t>
        </is>
      </c>
      <c r="B2" s="2" t="inlineStr">
        <is>
          <t>GEN-9KVA</t>
        </is>
      </c>
      <c r="C2" s="2" t="inlineStr">
        <is>
          <t>Generador 9KVA</t>
        </is>
      </c>
      <c r="D2" s="2" t="inlineStr">
        <is>
          <t>Disponible</t>
        </is>
      </c>
      <c r="E2" s="2" t="inlineStr"/>
    </row>
    <row r="3">
      <c r="A3" s="2" t="inlineStr">
        <is>
          <t>GEN9KVA-002</t>
        </is>
      </c>
      <c r="B3" s="2" t="inlineStr">
        <is>
          <t>GEN-9KVA</t>
        </is>
      </c>
      <c r="C3" s="2" t="inlineStr">
        <is>
          <t>Generador 9KVA</t>
        </is>
      </c>
      <c r="D3" s="2" t="inlineStr">
        <is>
          <t>Disponible</t>
        </is>
      </c>
      <c r="E3" s="2" t="inlineStr"/>
    </row>
    <row r="4">
      <c r="A4" s="2" t="inlineStr">
        <is>
          <t>GEN9KVA-003</t>
        </is>
      </c>
      <c r="B4" s="2" t="inlineStr">
        <is>
          <t>GEN-9KVA</t>
        </is>
      </c>
      <c r="C4" s="2" t="inlineStr">
        <is>
          <t>Generador 9KVA</t>
        </is>
      </c>
      <c r="D4" s="2" t="inlineStr">
        <is>
          <t>Disponible</t>
        </is>
      </c>
      <c r="E4" s="2" t="inlineStr"/>
    </row>
    <row r="5">
      <c r="A5" s="2" t="inlineStr">
        <is>
          <t>GEN9KVA-004</t>
        </is>
      </c>
      <c r="B5" s="2" t="inlineStr">
        <is>
          <t>GEN-9KVA</t>
        </is>
      </c>
      <c r="C5" s="2" t="inlineStr">
        <is>
          <t>Generador 9KVA</t>
        </is>
      </c>
      <c r="D5" s="2" t="inlineStr">
        <is>
          <t>Disponible</t>
        </is>
      </c>
      <c r="E5" s="2" t="inlineStr"/>
    </row>
    <row r="6">
      <c r="A6" s="2" t="inlineStr">
        <is>
          <t>GEN9KVA-005</t>
        </is>
      </c>
      <c r="B6" s="2" t="inlineStr">
        <is>
          <t>GEN-9KVA</t>
        </is>
      </c>
      <c r="C6" s="2" t="inlineStr">
        <is>
          <t>Generador 9KVA</t>
        </is>
      </c>
      <c r="D6" s="2" t="inlineStr">
        <is>
          <t>Disponible</t>
        </is>
      </c>
      <c r="E6" s="2" t="inlineStr"/>
    </row>
    <row r="7">
      <c r="A7" s="2" t="inlineStr">
        <is>
          <t>GEN9KVA-006</t>
        </is>
      </c>
      <c r="B7" s="2" t="inlineStr">
        <is>
          <t>GEN-9KVA</t>
        </is>
      </c>
      <c r="C7" s="2" t="inlineStr">
        <is>
          <t>Generador 9KVA</t>
        </is>
      </c>
      <c r="D7" s="2" t="inlineStr">
        <is>
          <t>Disponible</t>
        </is>
      </c>
      <c r="E7" s="2" t="inlineStr"/>
    </row>
    <row r="8">
      <c r="A8" s="2" t="inlineStr">
        <is>
          <t>GEN9KVA-007</t>
        </is>
      </c>
      <c r="B8" s="2" t="inlineStr">
        <is>
          <t>GEN-9KVA</t>
        </is>
      </c>
      <c r="C8" s="2" t="inlineStr">
        <is>
          <t>Generador 9KVA</t>
        </is>
      </c>
      <c r="D8" s="2" t="inlineStr">
        <is>
          <t>Disponible</t>
        </is>
      </c>
      <c r="E8" s="2" t="inlineStr"/>
    </row>
    <row r="9">
      <c r="A9" s="2" t="inlineStr">
        <is>
          <t>GEN9KVA-008</t>
        </is>
      </c>
      <c r="B9" s="2" t="inlineStr">
        <is>
          <t>GEN-9KVA</t>
        </is>
      </c>
      <c r="C9" s="2" t="inlineStr">
        <is>
          <t>Generador 9KVA</t>
        </is>
      </c>
      <c r="D9" s="2" t="inlineStr">
        <is>
          <t>Disponible</t>
        </is>
      </c>
      <c r="E9" s="2" t="inlineStr"/>
    </row>
    <row r="10">
      <c r="A10" s="2" t="inlineStr">
        <is>
          <t>GEN9KVA-009</t>
        </is>
      </c>
      <c r="B10" s="2" t="inlineStr">
        <is>
          <t>GEN-9KVA</t>
        </is>
      </c>
      <c r="C10" s="2" t="inlineStr">
        <is>
          <t>Generador 9KVA</t>
        </is>
      </c>
      <c r="D10" s="2" t="inlineStr">
        <is>
          <t>Disponible</t>
        </is>
      </c>
      <c r="E10" s="2" t="inlineStr"/>
    </row>
    <row r="11">
      <c r="A11" s="2" t="inlineStr">
        <is>
          <t>TABP-001</t>
        </is>
      </c>
      <c r="B11" s="2" t="inlineStr">
        <is>
          <t>TAB-PATOS</t>
        </is>
      </c>
      <c r="C11" s="2" t="inlineStr">
        <is>
          <t>Tablero Patos</t>
        </is>
      </c>
      <c r="D11" s="2" t="inlineStr">
        <is>
          <t>Disponible</t>
        </is>
      </c>
      <c r="E11" s="2" t="inlineStr"/>
    </row>
    <row r="12">
      <c r="A12" s="2" t="inlineStr">
        <is>
          <t>TABP-002</t>
        </is>
      </c>
      <c r="B12" s="2" t="inlineStr">
        <is>
          <t>TAB-PATOS</t>
        </is>
      </c>
      <c r="C12" s="2" t="inlineStr">
        <is>
          <t>Tablero Patos</t>
        </is>
      </c>
      <c r="D12" s="2" t="inlineStr">
        <is>
          <t>Disponible</t>
        </is>
      </c>
      <c r="E12" s="2" t="inlineStr"/>
    </row>
    <row r="13">
      <c r="A13" s="2" t="inlineStr">
        <is>
          <t>TABP-003</t>
        </is>
      </c>
      <c r="B13" s="2" t="inlineStr">
        <is>
          <t>TAB-PATOS</t>
        </is>
      </c>
      <c r="C13" s="2" t="inlineStr">
        <is>
          <t>Tablero Patos</t>
        </is>
      </c>
      <c r="D13" s="2" t="inlineStr">
        <is>
          <t>Disponible</t>
        </is>
      </c>
      <c r="E13" s="2" t="inlineStr"/>
    </row>
    <row r="14">
      <c r="A14" s="2" t="inlineStr">
        <is>
          <t>TABP-004</t>
        </is>
      </c>
      <c r="B14" s="2" t="inlineStr">
        <is>
          <t>TAB-PATOS</t>
        </is>
      </c>
      <c r="C14" s="2" t="inlineStr">
        <is>
          <t>Tablero Patos</t>
        </is>
      </c>
      <c r="D14" s="2" t="inlineStr">
        <is>
          <t>Disponible</t>
        </is>
      </c>
      <c r="E14" s="2" t="inlineStr"/>
    </row>
    <row r="15">
      <c r="A15" s="2" t="inlineStr">
        <is>
          <t>TABP-005</t>
        </is>
      </c>
      <c r="B15" s="2" t="inlineStr">
        <is>
          <t>TAB-PATOS</t>
        </is>
      </c>
      <c r="C15" s="2" t="inlineStr">
        <is>
          <t>Tablero Patos</t>
        </is>
      </c>
      <c r="D15" s="2" t="inlineStr">
        <is>
          <t>Disponible</t>
        </is>
      </c>
      <c r="E15" s="2" t="inlineStr"/>
    </row>
    <row r="16">
      <c r="A16" s="2" t="inlineStr">
        <is>
          <t>TABPK-001</t>
        </is>
      </c>
      <c r="B16" s="2" t="inlineStr">
        <is>
          <t>TAB-PEKES</t>
        </is>
      </c>
      <c r="C16" s="2" t="inlineStr">
        <is>
          <t>Tablero Pekes</t>
        </is>
      </c>
      <c r="D16" s="2" t="inlineStr">
        <is>
          <t>Disponible</t>
        </is>
      </c>
      <c r="E16" s="2" t="inlineStr"/>
    </row>
    <row r="17">
      <c r="A17" s="2" t="inlineStr">
        <is>
          <t>TABPK-002</t>
        </is>
      </c>
      <c r="B17" s="2" t="inlineStr">
        <is>
          <t>TAB-PEKES</t>
        </is>
      </c>
      <c r="C17" s="2" t="inlineStr">
        <is>
          <t>Tablero Pekes</t>
        </is>
      </c>
      <c r="D17" s="2" t="inlineStr">
        <is>
          <t>Disponible</t>
        </is>
      </c>
      <c r="E17" s="2" t="inlineStr"/>
    </row>
    <row r="18">
      <c r="A18" s="2" t="inlineStr">
        <is>
          <t>TABPK-003</t>
        </is>
      </c>
      <c r="B18" s="2" t="inlineStr">
        <is>
          <t>TAB-PEKES</t>
        </is>
      </c>
      <c r="C18" s="2" t="inlineStr">
        <is>
          <t>Tablero Pekes</t>
        </is>
      </c>
      <c r="D18" s="2" t="inlineStr">
        <is>
          <t>Disponible</t>
        </is>
      </c>
      <c r="E18" s="2" t="inlineStr"/>
    </row>
    <row r="19">
      <c r="A19" s="2" t="inlineStr">
        <is>
          <t>TABPK-004</t>
        </is>
      </c>
      <c r="B19" s="2" t="inlineStr">
        <is>
          <t>TAB-PEKES</t>
        </is>
      </c>
      <c r="C19" s="2" t="inlineStr">
        <is>
          <t>Tablero Pekes</t>
        </is>
      </c>
      <c r="D19" s="2" t="inlineStr">
        <is>
          <t>Disponible</t>
        </is>
      </c>
      <c r="E19" s="2" t="inlineStr"/>
    </row>
    <row r="20">
      <c r="A20" s="2" t="inlineStr">
        <is>
          <t>TABPK-005</t>
        </is>
      </c>
      <c r="B20" s="2" t="inlineStr">
        <is>
          <t>TAB-PEKES</t>
        </is>
      </c>
      <c r="C20" s="2" t="inlineStr">
        <is>
          <t>Tablero Pekes</t>
        </is>
      </c>
      <c r="D20" s="2" t="inlineStr">
        <is>
          <t>Disponible</t>
        </is>
      </c>
      <c r="E20" s="2" t="inlineStr"/>
    </row>
    <row r="21">
      <c r="A21" s="2" t="inlineStr">
        <is>
          <t>TABPK-006</t>
        </is>
      </c>
      <c r="B21" s="2" t="inlineStr">
        <is>
          <t>TAB-PEKES</t>
        </is>
      </c>
      <c r="C21" s="2" t="inlineStr">
        <is>
          <t>Tablero Pekes</t>
        </is>
      </c>
      <c r="D21" s="2" t="inlineStr">
        <is>
          <t>Disponible</t>
        </is>
      </c>
      <c r="E21" s="2" t="inlineStr"/>
    </row>
    <row r="22">
      <c r="A22" s="2" t="inlineStr">
        <is>
          <t>TABD-001</t>
        </is>
      </c>
      <c r="B22" s="2" t="inlineStr">
        <is>
          <t>TAB-DOMESTICA</t>
        </is>
      </c>
      <c r="C22" s="2" t="inlineStr">
        <is>
          <t>Tablero Doméstico</t>
        </is>
      </c>
      <c r="D22" s="2" t="inlineStr">
        <is>
          <t>Disponible</t>
        </is>
      </c>
      <c r="E22" s="2" t="inlineStr"/>
    </row>
    <row r="23">
      <c r="A23" s="2" t="inlineStr">
        <is>
          <t>TABD-002</t>
        </is>
      </c>
      <c r="B23" s="2" t="inlineStr">
        <is>
          <t>TAB-DOMESTICA</t>
        </is>
      </c>
      <c r="C23" s="2" t="inlineStr">
        <is>
          <t>Tablero Doméstico</t>
        </is>
      </c>
      <c r="D23" s="2" t="inlineStr">
        <is>
          <t>Disponible</t>
        </is>
      </c>
      <c r="E23" s="2" t="inlineStr"/>
    </row>
    <row r="24">
      <c r="A24" s="2" t="inlineStr">
        <is>
          <t>TABS-001</t>
        </is>
      </c>
      <c r="B24" s="2" t="inlineStr">
        <is>
          <t>TAB-SCAME</t>
        </is>
      </c>
      <c r="C24" s="2" t="inlineStr">
        <is>
          <t>Tablero Scame</t>
        </is>
      </c>
      <c r="D24" s="2" t="inlineStr">
        <is>
          <t>Disponible</t>
        </is>
      </c>
      <c r="E24" s="2" t="inlineStr"/>
    </row>
    <row r="25">
      <c r="A25" s="2" t="inlineStr">
        <is>
          <t>TABS-002</t>
        </is>
      </c>
      <c r="B25" s="2" t="inlineStr">
        <is>
          <t>TAB-SCAME</t>
        </is>
      </c>
      <c r="C25" s="2" t="inlineStr">
        <is>
          <t>Tablero Scame</t>
        </is>
      </c>
      <c r="D25" s="2" t="inlineStr">
        <is>
          <t>Disponible</t>
        </is>
      </c>
      <c r="E25" s="2" t="inlineStr"/>
    </row>
    <row r="26">
      <c r="A26" s="2" t="inlineStr">
        <is>
          <t>TABS-003</t>
        </is>
      </c>
      <c r="B26" s="2" t="inlineStr">
        <is>
          <t>TAB-SCAME</t>
        </is>
      </c>
      <c r="C26" s="2" t="inlineStr">
        <is>
          <t>Tablero Scame</t>
        </is>
      </c>
      <c r="D26" s="2" t="inlineStr">
        <is>
          <t>Disponible</t>
        </is>
      </c>
      <c r="E26" s="2" t="inlineStr"/>
    </row>
    <row r="27">
      <c r="A27" s="2" t="inlineStr">
        <is>
          <t>TABS-004</t>
        </is>
      </c>
      <c r="B27" s="2" t="inlineStr">
        <is>
          <t>TAB-SCAME</t>
        </is>
      </c>
      <c r="C27" s="2" t="inlineStr">
        <is>
          <t>Tablero Scame</t>
        </is>
      </c>
      <c r="D27" s="2" t="inlineStr">
        <is>
          <t>Disponible</t>
        </is>
      </c>
      <c r="E27" s="2" t="inlineStr"/>
    </row>
    <row r="28">
      <c r="A28" s="2" t="inlineStr">
        <is>
          <t>TABC-001</t>
        </is>
      </c>
      <c r="B28" s="2" t="inlineStr">
        <is>
          <t>TAB-CONMUTADORA</t>
        </is>
      </c>
      <c r="C28" s="2" t="inlineStr">
        <is>
          <t>Tablero Conmutadora</t>
        </is>
      </c>
      <c r="D28" s="2" t="inlineStr">
        <is>
          <t>Disponible</t>
        </is>
      </c>
      <c r="E28" s="2" t="inlineStr"/>
    </row>
    <row r="29">
      <c r="A29" s="2" t="inlineStr">
        <is>
          <t>TABPZ-001</t>
        </is>
      </c>
      <c r="B29" s="2" t="inlineStr">
        <is>
          <t>TAB-PATYZEROS</t>
        </is>
      </c>
      <c r="C29" s="2" t="inlineStr">
        <is>
          <t>Tablero Patyzeros</t>
        </is>
      </c>
      <c r="D29" s="2" t="inlineStr">
        <is>
          <t>Disponible</t>
        </is>
      </c>
      <c r="E29" s="2" t="inlineStr"/>
    </row>
    <row r="30">
      <c r="A30" s="2" t="inlineStr">
        <is>
          <t>TABPZ-002</t>
        </is>
      </c>
      <c r="B30" s="2" t="inlineStr">
        <is>
          <t>TAB-PATYZEROS</t>
        </is>
      </c>
      <c r="C30" s="2" t="inlineStr">
        <is>
          <t>Tablero Patyzeros</t>
        </is>
      </c>
      <c r="D30" s="2" t="inlineStr">
        <is>
          <t>Disponible</t>
        </is>
      </c>
      <c r="E30" s="2" t="inlineStr"/>
    </row>
    <row r="31">
      <c r="A31" s="2" t="inlineStr">
        <is>
          <t>TABPZ-003</t>
        </is>
      </c>
      <c r="B31" s="2" t="inlineStr">
        <is>
          <t>TAB-PATYZEROS</t>
        </is>
      </c>
      <c r="C31" s="2" t="inlineStr">
        <is>
          <t>Tablero Patyzeros</t>
        </is>
      </c>
      <c r="D31" s="2" t="inlineStr">
        <is>
          <t>Disponible</t>
        </is>
      </c>
      <c r="E31" s="2" t="inlineStr"/>
    </row>
    <row r="32">
      <c r="A32" s="2" t="inlineStr">
        <is>
          <t>TABPZ-004</t>
        </is>
      </c>
      <c r="B32" s="2" t="inlineStr">
        <is>
          <t>TAB-PATYZEROS</t>
        </is>
      </c>
      <c r="C32" s="2" t="inlineStr">
        <is>
          <t>Tablero Patyzeros</t>
        </is>
      </c>
      <c r="D32" s="2" t="inlineStr">
        <is>
          <t>Disponible</t>
        </is>
      </c>
      <c r="E32" s="2" t="inlineStr"/>
    </row>
    <row r="33">
      <c r="A33" s="2" t="inlineStr">
        <is>
          <t>TABPZ-005</t>
        </is>
      </c>
      <c r="B33" s="2" t="inlineStr">
        <is>
          <t>TAB-PATYZEROS</t>
        </is>
      </c>
      <c r="C33" s="2" t="inlineStr">
        <is>
          <t>Tablero Patyzeros</t>
        </is>
      </c>
      <c r="D33" s="2" t="inlineStr">
        <is>
          <t>Disponible</t>
        </is>
      </c>
      <c r="E33" s="2" t="inlineStr"/>
    </row>
    <row r="34">
      <c r="A34" s="2" t="inlineStr">
        <is>
          <t>TABPZ-006</t>
        </is>
      </c>
      <c r="B34" s="2" t="inlineStr">
        <is>
          <t>TAB-PATYZEROS</t>
        </is>
      </c>
      <c r="C34" s="2" t="inlineStr">
        <is>
          <t>Tablero Patyzeros</t>
        </is>
      </c>
      <c r="D34" s="2" t="inlineStr">
        <is>
          <t>Disponible</t>
        </is>
      </c>
      <c r="E34" s="2" t="inlineStr"/>
    </row>
    <row r="35">
      <c r="A35" s="2" t="inlineStr">
        <is>
          <t>TABPZ-007</t>
        </is>
      </c>
      <c r="B35" s="2" t="inlineStr">
        <is>
          <t>TAB-PATYZEROS</t>
        </is>
      </c>
      <c r="C35" s="2" t="inlineStr">
        <is>
          <t>Tablero Patyzeros</t>
        </is>
      </c>
      <c r="D35" s="2" t="inlineStr">
        <is>
          <t>Disponible</t>
        </is>
      </c>
      <c r="E35" s="2" t="inlineStr"/>
    </row>
    <row r="36">
      <c r="A36" s="2" t="inlineStr">
        <is>
          <t>TABPZ-008</t>
        </is>
      </c>
      <c r="B36" s="2" t="inlineStr">
        <is>
          <t>TAB-PATYZEROS</t>
        </is>
      </c>
      <c r="C36" s="2" t="inlineStr">
        <is>
          <t>Tablero Patyzeros</t>
        </is>
      </c>
      <c r="D36" s="2" t="inlineStr">
        <is>
          <t>Disponible</t>
        </is>
      </c>
      <c r="E36" s="2" t="inlineStr"/>
    </row>
    <row r="37">
      <c r="A37" s="2" t="inlineStr">
        <is>
          <t>CHA-400-001</t>
        </is>
      </c>
      <c r="B37" s="2" t="inlineStr">
        <is>
          <t>CHA-400A</t>
        </is>
      </c>
      <c r="C37" s="2" t="inlineStr">
        <is>
          <t>Chancha 400A</t>
        </is>
      </c>
      <c r="D37" s="2" t="inlineStr">
        <is>
          <t>Disponible</t>
        </is>
      </c>
      <c r="E37" s="2" t="inlineStr"/>
    </row>
    <row r="38">
      <c r="A38" s="2" t="inlineStr">
        <is>
          <t>CHA-400-002</t>
        </is>
      </c>
      <c r="B38" s="2" t="inlineStr">
        <is>
          <t>CHA-400A</t>
        </is>
      </c>
      <c r="C38" s="2" t="inlineStr">
        <is>
          <t>Chancha 400A</t>
        </is>
      </c>
      <c r="D38" s="2" t="inlineStr">
        <is>
          <t>Disponible</t>
        </is>
      </c>
      <c r="E38" s="2" t="inlineStr"/>
    </row>
    <row r="39">
      <c r="A39" s="2" t="inlineStr">
        <is>
          <t>CHA-400-003</t>
        </is>
      </c>
      <c r="B39" s="2" t="inlineStr">
        <is>
          <t>CHA-400A</t>
        </is>
      </c>
      <c r="C39" s="2" t="inlineStr">
        <is>
          <t>Chancha 400A</t>
        </is>
      </c>
      <c r="D39" s="2" t="inlineStr">
        <is>
          <t>Disponible</t>
        </is>
      </c>
      <c r="E39" s="2" t="inlineStr"/>
    </row>
    <row r="40">
      <c r="A40" s="2" t="inlineStr">
        <is>
          <t>CHA-250-001</t>
        </is>
      </c>
      <c r="B40" s="2" t="inlineStr">
        <is>
          <t>CHA-250A</t>
        </is>
      </c>
      <c r="C40" s="2" t="inlineStr">
        <is>
          <t>Chancha 250A</t>
        </is>
      </c>
      <c r="D40" s="2" t="inlineStr">
        <is>
          <t>Disponible</t>
        </is>
      </c>
      <c r="E40" s="2" t="inlineStr"/>
    </row>
    <row r="41">
      <c r="A41" s="2" t="inlineStr">
        <is>
          <t>CHA-250-002</t>
        </is>
      </c>
      <c r="B41" s="2" t="inlineStr">
        <is>
          <t>CHA-250A</t>
        </is>
      </c>
      <c r="C41" s="2" t="inlineStr">
        <is>
          <t>Chancha 250A</t>
        </is>
      </c>
      <c r="D41" s="2" t="inlineStr">
        <is>
          <t>Disponible</t>
        </is>
      </c>
      <c r="E41" s="2" t="inlineStr"/>
    </row>
    <row r="42">
      <c r="A42" s="2" t="inlineStr">
        <is>
          <t>CHAT-001</t>
        </is>
      </c>
      <c r="B42" s="2" t="inlineStr">
        <is>
          <t>CHA-TABLEROS</t>
        </is>
      </c>
      <c r="C42" s="2" t="inlineStr">
        <is>
          <t>Tablero Chancha</t>
        </is>
      </c>
      <c r="D42" s="2" t="inlineStr">
        <is>
          <t>Disponible</t>
        </is>
      </c>
      <c r="E42" s="2" t="inlineStr"/>
    </row>
    <row r="43">
      <c r="A43" s="2" t="inlineStr">
        <is>
          <t>CHAT-002</t>
        </is>
      </c>
      <c r="B43" s="2" t="inlineStr">
        <is>
          <t>CHA-TABLEROS</t>
        </is>
      </c>
      <c r="C43" s="2" t="inlineStr">
        <is>
          <t>Tablero Chancha</t>
        </is>
      </c>
      <c r="D43" s="2" t="inlineStr">
        <is>
          <t>Disponible</t>
        </is>
      </c>
      <c r="E43" s="2" t="inlineStr"/>
    </row>
    <row r="44">
      <c r="A44" s="2" t="inlineStr">
        <is>
          <t>CHAT-003</t>
        </is>
      </c>
      <c r="B44" s="2" t="inlineStr">
        <is>
          <t>CHA-TABLEROS</t>
        </is>
      </c>
      <c r="C44" s="2" t="inlineStr">
        <is>
          <t>Tablero Chancha</t>
        </is>
      </c>
      <c r="D44" s="2" t="inlineStr">
        <is>
          <t>Disponible</t>
        </is>
      </c>
      <c r="E44" s="2" t="inlineStr"/>
    </row>
    <row r="45">
      <c r="A45" s="2" t="inlineStr">
        <is>
          <t>CHAT-004</t>
        </is>
      </c>
      <c r="B45" s="2" t="inlineStr">
        <is>
          <t>CHA-TABLEROS</t>
        </is>
      </c>
      <c r="C45" s="2" t="inlineStr">
        <is>
          <t>Tablero Chancha</t>
        </is>
      </c>
      <c r="D45" s="2" t="inlineStr">
        <is>
          <t>Disponible</t>
        </is>
      </c>
      <c r="E45" s="2" t="inlineStr"/>
    </row>
    <row r="46">
      <c r="A46" s="2" t="inlineStr">
        <is>
          <t>CHAT-005</t>
        </is>
      </c>
      <c r="B46" s="2" t="inlineStr">
        <is>
          <t>CHA-TABLEROS</t>
        </is>
      </c>
      <c r="C46" s="2" t="inlineStr">
        <is>
          <t>Tablero Chancha</t>
        </is>
      </c>
      <c r="D46" s="2" t="inlineStr">
        <is>
          <t>Disponible</t>
        </is>
      </c>
      <c r="E46" s="2" t="inlineStr"/>
    </row>
    <row r="47">
      <c r="A47" s="2" t="inlineStr">
        <is>
          <t>CHAT-006</t>
        </is>
      </c>
      <c r="B47" s="2" t="inlineStr">
        <is>
          <t>CHA-TABLEROS</t>
        </is>
      </c>
      <c r="C47" s="2" t="inlineStr">
        <is>
          <t>Tablero Chancha</t>
        </is>
      </c>
      <c r="D47" s="2" t="inlineStr">
        <is>
          <t>Disponible</t>
        </is>
      </c>
      <c r="E47" s="2" t="inlineStr"/>
    </row>
    <row r="48">
      <c r="A48" s="2" t="inlineStr">
        <is>
          <t>CHAT-007</t>
        </is>
      </c>
      <c r="B48" s="2" t="inlineStr">
        <is>
          <t>CHA-TABLEROS</t>
        </is>
      </c>
      <c r="C48" s="2" t="inlineStr">
        <is>
          <t>Tablero Chancha</t>
        </is>
      </c>
      <c r="D48" s="2" t="inlineStr">
        <is>
          <t>Disponible</t>
        </is>
      </c>
      <c r="E48" s="2" t="inlineStr"/>
    </row>
    <row r="49">
      <c r="A49" s="2" t="inlineStr">
        <is>
          <t>LUZ-001</t>
        </is>
      </c>
      <c r="B49" s="2" t="inlineStr">
        <is>
          <t>LUZ-TRABAJO</t>
        </is>
      </c>
      <c r="C49" s="2" t="inlineStr">
        <is>
          <t>Luz de trabajo</t>
        </is>
      </c>
      <c r="D49" s="2" t="inlineStr">
        <is>
          <t>Disponible</t>
        </is>
      </c>
      <c r="E49" s="2" t="inlineStr"/>
    </row>
    <row r="50">
      <c r="A50" s="2" t="inlineStr">
        <is>
          <t>LUZ-002</t>
        </is>
      </c>
      <c r="B50" s="2" t="inlineStr">
        <is>
          <t>LUZ-TRABAJO</t>
        </is>
      </c>
      <c r="C50" s="2" t="inlineStr">
        <is>
          <t>Luz de trabajo</t>
        </is>
      </c>
      <c r="D50" s="2" t="inlineStr">
        <is>
          <t>Disponible</t>
        </is>
      </c>
      <c r="E50" s="2" t="inlineStr"/>
    </row>
    <row r="51">
      <c r="A51" s="2" t="inlineStr">
        <is>
          <t>LUZ-003</t>
        </is>
      </c>
      <c r="B51" s="2" t="inlineStr">
        <is>
          <t>LUZ-TRABAJO</t>
        </is>
      </c>
      <c r="C51" s="2" t="inlineStr">
        <is>
          <t>Luz de trabajo</t>
        </is>
      </c>
      <c r="D51" s="2" t="inlineStr">
        <is>
          <t>Disponible</t>
        </is>
      </c>
      <c r="E51" s="2" t="inlineStr"/>
    </row>
    <row r="52">
      <c r="A52" s="2" t="inlineStr">
        <is>
          <t>LUZ-004</t>
        </is>
      </c>
      <c r="B52" s="2" t="inlineStr">
        <is>
          <t>LUZ-TRABAJO</t>
        </is>
      </c>
      <c r="C52" s="2" t="inlineStr">
        <is>
          <t>Luz de trabajo</t>
        </is>
      </c>
      <c r="D52" s="2" t="inlineStr">
        <is>
          <t>Disponible</t>
        </is>
      </c>
      <c r="E52" s="2" t="inlineStr"/>
    </row>
    <row r="53">
      <c r="A53" s="2" t="inlineStr">
        <is>
          <t>LZS-001</t>
        </is>
      </c>
      <c r="B53" s="2" t="inlineStr">
        <is>
          <t>LUZ-SALA</t>
        </is>
      </c>
      <c r="C53" s="2" t="inlineStr">
        <is>
          <t>Luz sala</t>
        </is>
      </c>
      <c r="D53" s="2" t="inlineStr">
        <is>
          <t>Disponible</t>
        </is>
      </c>
      <c r="E53" s="2" t="inlineStr"/>
    </row>
    <row r="54">
      <c r="A54" s="2" t="inlineStr">
        <is>
          <t>LZS-002</t>
        </is>
      </c>
      <c r="B54" s="2" t="inlineStr">
        <is>
          <t>LUZ-SALA</t>
        </is>
      </c>
      <c r="C54" s="2" t="inlineStr">
        <is>
          <t>Luz sala</t>
        </is>
      </c>
      <c r="D54" s="2" t="inlineStr">
        <is>
          <t>Disponible</t>
        </is>
      </c>
      <c r="E54" s="2" t="inlineStr"/>
    </row>
    <row r="55">
      <c r="A55" s="2" t="inlineStr">
        <is>
          <t>LZS-003</t>
        </is>
      </c>
      <c r="B55" s="2" t="inlineStr">
        <is>
          <t>LUZ-SALA</t>
        </is>
      </c>
      <c r="C55" s="2" t="inlineStr">
        <is>
          <t>Luz sala</t>
        </is>
      </c>
      <c r="D55" s="2" t="inlineStr">
        <is>
          <t>Disponible</t>
        </is>
      </c>
      <c r="E55" s="2" t="inlineStr"/>
    </row>
    <row r="56">
      <c r="A56" s="2" t="inlineStr">
        <is>
          <t>LZS-004</t>
        </is>
      </c>
      <c r="B56" s="2" t="inlineStr">
        <is>
          <t>LUZ-SALA</t>
        </is>
      </c>
      <c r="C56" s="2" t="inlineStr">
        <is>
          <t>Luz sala</t>
        </is>
      </c>
      <c r="D56" s="2" t="inlineStr">
        <is>
          <t>Disponible</t>
        </is>
      </c>
      <c r="E56" s="2" t="inlineStr"/>
    </row>
    <row r="57">
      <c r="A57" s="2" t="inlineStr">
        <is>
          <t>LZS-005</t>
        </is>
      </c>
      <c r="B57" s="2" t="inlineStr">
        <is>
          <t>LUZ-SALA</t>
        </is>
      </c>
      <c r="C57" s="2" t="inlineStr">
        <is>
          <t>Luz sala</t>
        </is>
      </c>
      <c r="D57" s="2" t="inlineStr">
        <is>
          <t>Disponible</t>
        </is>
      </c>
      <c r="E57" s="2" t="inlineStr"/>
    </row>
    <row r="58">
      <c r="A58" s="2" t="inlineStr">
        <is>
          <t>LZS-006</t>
        </is>
      </c>
      <c r="B58" s="2" t="inlineStr">
        <is>
          <t>LUZ-SALA</t>
        </is>
      </c>
      <c r="C58" s="2" t="inlineStr">
        <is>
          <t>Luz sala</t>
        </is>
      </c>
      <c r="D58" s="2" t="inlineStr">
        <is>
          <t>Disponible</t>
        </is>
      </c>
      <c r="E58" s="2" t="inlineStr"/>
    </row>
    <row r="59">
      <c r="A59" s="2" t="inlineStr">
        <is>
          <t>BAU-001</t>
        </is>
      </c>
      <c r="B59" s="2" t="inlineStr">
        <is>
          <t>BAUL</t>
        </is>
      </c>
      <c r="C59" s="2" t="inlineStr">
        <is>
          <t>Baúl</t>
        </is>
      </c>
      <c r="D59" s="2" t="inlineStr">
        <is>
          <t>Disponible</t>
        </is>
      </c>
      <c r="E59" s="2" t="inlineStr"/>
    </row>
    <row r="60">
      <c r="A60" s="2" t="inlineStr">
        <is>
          <t>BAU-002</t>
        </is>
      </c>
      <c r="B60" s="2" t="inlineStr">
        <is>
          <t>BAUL</t>
        </is>
      </c>
      <c r="C60" s="2" t="inlineStr">
        <is>
          <t>Baúl</t>
        </is>
      </c>
      <c r="D60" s="2" t="inlineStr">
        <is>
          <t>Disponible</t>
        </is>
      </c>
      <c r="E60" s="2" t="inlineStr"/>
    </row>
    <row r="61">
      <c r="A61" s="2" t="inlineStr">
        <is>
          <t>BAU-003</t>
        </is>
      </c>
      <c r="B61" s="2" t="inlineStr">
        <is>
          <t>BAUL</t>
        </is>
      </c>
      <c r="C61" s="2" t="inlineStr">
        <is>
          <t>Baúl</t>
        </is>
      </c>
      <c r="D61" s="2" t="inlineStr">
        <is>
          <t>Disponible</t>
        </is>
      </c>
      <c r="E61" s="2" t="inlineStr"/>
    </row>
    <row r="62">
      <c r="A62" s="2" t="inlineStr">
        <is>
          <t>BAU-004</t>
        </is>
      </c>
      <c r="B62" s="2" t="inlineStr">
        <is>
          <t>BAUL</t>
        </is>
      </c>
      <c r="C62" s="2" t="inlineStr">
        <is>
          <t>Baúl</t>
        </is>
      </c>
      <c r="D62" s="2" t="inlineStr">
        <is>
          <t>Disponible</t>
        </is>
      </c>
      <c r="E62" s="2" t="inlineStr"/>
    </row>
    <row r="63">
      <c r="A63" s="2" t="inlineStr">
        <is>
          <t>BAU-005</t>
        </is>
      </c>
      <c r="B63" s="2" t="inlineStr">
        <is>
          <t>BAUL</t>
        </is>
      </c>
      <c r="C63" s="2" t="inlineStr">
        <is>
          <t>Baúl</t>
        </is>
      </c>
      <c r="D63" s="2" t="inlineStr">
        <is>
          <t>Disponible</t>
        </is>
      </c>
      <c r="E63" s="2" t="inlineStr"/>
    </row>
    <row r="64">
      <c r="A64" s="2" t="inlineStr">
        <is>
          <t>BAU-006</t>
        </is>
      </c>
      <c r="B64" s="2" t="inlineStr">
        <is>
          <t>BAUL</t>
        </is>
      </c>
      <c r="C64" s="2" t="inlineStr">
        <is>
          <t>Baúl</t>
        </is>
      </c>
      <c r="D64" s="2" t="inlineStr">
        <is>
          <t>Disponible</t>
        </is>
      </c>
      <c r="E64" s="2" t="inlineStr"/>
    </row>
    <row r="65">
      <c r="A65" s="2" t="inlineStr">
        <is>
          <t>BAU-007</t>
        </is>
      </c>
      <c r="B65" s="2" t="inlineStr">
        <is>
          <t>BAUL</t>
        </is>
      </c>
      <c r="C65" s="2" t="inlineStr">
        <is>
          <t>Baúl</t>
        </is>
      </c>
      <c r="D65" s="2" t="inlineStr">
        <is>
          <t>Disponible</t>
        </is>
      </c>
      <c r="E65" s="2" t="inlineStr"/>
    </row>
    <row r="66">
      <c r="A66" s="2" t="inlineStr">
        <is>
          <t>BAU-008</t>
        </is>
      </c>
      <c r="B66" s="2" t="inlineStr">
        <is>
          <t>BAUL</t>
        </is>
      </c>
      <c r="C66" s="2" t="inlineStr">
        <is>
          <t>Baúl</t>
        </is>
      </c>
      <c r="D66" s="2" t="inlineStr">
        <is>
          <t>Disponible</t>
        </is>
      </c>
      <c r="E66" s="2" t="inlineStr"/>
    </row>
    <row r="67">
      <c r="A67" s="2" t="inlineStr">
        <is>
          <t>BAU-009</t>
        </is>
      </c>
      <c r="B67" s="2" t="inlineStr">
        <is>
          <t>BAUL</t>
        </is>
      </c>
      <c r="C67" s="2" t="inlineStr">
        <is>
          <t>Baúl</t>
        </is>
      </c>
      <c r="D67" s="2" t="inlineStr">
        <is>
          <t>Disponible</t>
        </is>
      </c>
      <c r="E67" s="2" t="inlineStr"/>
    </row>
    <row r="68">
      <c r="A68" s="2" t="inlineStr">
        <is>
          <t>BAU-010</t>
        </is>
      </c>
      <c r="B68" s="2" t="inlineStr">
        <is>
          <t>BAUL</t>
        </is>
      </c>
      <c r="C68" s="2" t="inlineStr">
        <is>
          <t>Baúl</t>
        </is>
      </c>
      <c r="D68" s="2" t="inlineStr">
        <is>
          <t>Disponible</t>
        </is>
      </c>
      <c r="E68" s="2" t="inlineStr"/>
    </row>
    <row r="69">
      <c r="A69" s="2" t="inlineStr">
        <is>
          <t>BAU-011</t>
        </is>
      </c>
      <c r="B69" s="2" t="inlineStr">
        <is>
          <t>BAUL</t>
        </is>
      </c>
      <c r="C69" s="2" t="inlineStr">
        <is>
          <t>Baúl</t>
        </is>
      </c>
      <c r="D69" s="2" t="inlineStr">
        <is>
          <t>Disponible</t>
        </is>
      </c>
      <c r="E69" s="2" t="inlineStr"/>
    </row>
    <row r="70">
      <c r="A70" s="2" t="inlineStr">
        <is>
          <t>CAMG-001</t>
        </is>
      </c>
      <c r="B70" s="2" t="inlineStr">
        <is>
          <t>TAB-CAMPO-GRANDE</t>
        </is>
      </c>
      <c r="C70" s="2" t="inlineStr">
        <is>
          <t>Tablero Campo Grande</t>
        </is>
      </c>
      <c r="D70" s="2" t="inlineStr">
        <is>
          <t>Disponible</t>
        </is>
      </c>
      <c r="E70" s="2" t="inlineStr"/>
    </row>
    <row r="71">
      <c r="A71" s="2" t="inlineStr">
        <is>
          <t>CAMG-002</t>
        </is>
      </c>
      <c r="B71" s="2" t="inlineStr">
        <is>
          <t>TAB-CAMPO-GRANDE</t>
        </is>
      </c>
      <c r="C71" s="2" t="inlineStr">
        <is>
          <t>Tablero Campo Grande</t>
        </is>
      </c>
      <c r="D71" s="2" t="inlineStr">
        <is>
          <t>Disponible</t>
        </is>
      </c>
      <c r="E71" s="2" t="inlineStr"/>
    </row>
    <row r="72">
      <c r="A72" s="2" t="inlineStr">
        <is>
          <t>CAMG-003</t>
        </is>
      </c>
      <c r="B72" s="2" t="inlineStr">
        <is>
          <t>TAB-CAMPO-GRANDE</t>
        </is>
      </c>
      <c r="C72" s="2" t="inlineStr">
        <is>
          <t>Tablero Campo Grande</t>
        </is>
      </c>
      <c r="D72" s="2" t="inlineStr">
        <is>
          <t>Disponible</t>
        </is>
      </c>
      <c r="E72" s="2" t="inlineStr"/>
    </row>
    <row r="73">
      <c r="A73" s="2" t="inlineStr">
        <is>
          <t>CAMG-004</t>
        </is>
      </c>
      <c r="B73" s="2" t="inlineStr">
        <is>
          <t>TAB-CAMPO-GRANDE</t>
        </is>
      </c>
      <c r="C73" s="2" t="inlineStr">
        <is>
          <t>Tablero Campo Grande</t>
        </is>
      </c>
      <c r="D73" s="2" t="inlineStr">
        <is>
          <t>Disponible</t>
        </is>
      </c>
      <c r="E73" s="2" t="inlineStr"/>
    </row>
    <row r="74">
      <c r="A74" s="2" t="inlineStr">
        <is>
          <t>CAMG-005</t>
        </is>
      </c>
      <c r="B74" s="2" t="inlineStr">
        <is>
          <t>TAB-CAMPO-GRANDE</t>
        </is>
      </c>
      <c r="C74" s="2" t="inlineStr">
        <is>
          <t>Tablero Campo Grande</t>
        </is>
      </c>
      <c r="D74" s="2" t="inlineStr">
        <is>
          <t>Disponible</t>
        </is>
      </c>
      <c r="E74" s="2" t="inlineStr"/>
    </row>
    <row r="75">
      <c r="A75" s="2" t="inlineStr">
        <is>
          <t>CAMC-001</t>
        </is>
      </c>
      <c r="B75" s="2" t="inlineStr">
        <is>
          <t>TAB-CAMPO-CHICO</t>
        </is>
      </c>
      <c r="C75" s="2" t="inlineStr">
        <is>
          <t>Tablero Campo Chico</t>
        </is>
      </c>
      <c r="D75" s="2" t="inlineStr">
        <is>
          <t>Disponible</t>
        </is>
      </c>
      <c r="E75" s="2" t="inlineStr"/>
    </row>
    <row r="76">
      <c r="A76" s="2" t="inlineStr">
        <is>
          <t>CAMC-002</t>
        </is>
      </c>
      <c r="B76" s="2" t="inlineStr">
        <is>
          <t>TAB-CAMPO-CHICO</t>
        </is>
      </c>
      <c r="C76" s="2" t="inlineStr">
        <is>
          <t>Tablero Campo Chico</t>
        </is>
      </c>
      <c r="D76" s="2" t="inlineStr">
        <is>
          <t>Disponible</t>
        </is>
      </c>
      <c r="E76" s="2" t="inlineStr"/>
    </row>
    <row r="77">
      <c r="A77" s="2" t="inlineStr">
        <is>
          <t>ARA-001</t>
        </is>
      </c>
      <c r="B77" s="2" t="inlineStr">
        <is>
          <t>ARANA-CAMLOCK</t>
        </is>
      </c>
      <c r="C77" s="2" t="inlineStr">
        <is>
          <t>Araña Camlock</t>
        </is>
      </c>
      <c r="D77" s="2" t="inlineStr">
        <is>
          <t>Disponible</t>
        </is>
      </c>
      <c r="E77" s="2" t="inlineStr"/>
    </row>
    <row r="78">
      <c r="A78" s="2" t="inlineStr">
        <is>
          <t>ARA-002</t>
        </is>
      </c>
      <c r="B78" s="2" t="inlineStr">
        <is>
          <t>ARANA-CAMLOCK</t>
        </is>
      </c>
      <c r="C78" s="2" t="inlineStr">
        <is>
          <t>Araña Camlock</t>
        </is>
      </c>
      <c r="D78" s="2" t="inlineStr">
        <is>
          <t>Disponible</t>
        </is>
      </c>
      <c r="E78" s="2" t="inlineStr"/>
    </row>
    <row r="79">
      <c r="A79" s="2" t="inlineStr">
        <is>
          <t>MNG53210-001</t>
        </is>
      </c>
      <c r="B79" s="2" t="inlineStr">
        <is>
          <t>MNG-5X32-10M</t>
        </is>
      </c>
      <c r="C79" s="2" t="inlineStr">
        <is>
          <t>Manga 5x32 de 10 metros</t>
        </is>
      </c>
      <c r="D79" s="2" t="inlineStr">
        <is>
          <t>Disponible</t>
        </is>
      </c>
      <c r="E79" s="2" t="inlineStr"/>
    </row>
    <row r="80">
      <c r="A80" s="2" t="inlineStr">
        <is>
          <t>MNG53210-002</t>
        </is>
      </c>
      <c r="B80" s="2" t="inlineStr">
        <is>
          <t>MNG-5X32-10M</t>
        </is>
      </c>
      <c r="C80" s="2" t="inlineStr">
        <is>
          <t>Manga 5x32 de 10 metros</t>
        </is>
      </c>
      <c r="D80" s="2" t="inlineStr">
        <is>
          <t>Disponible</t>
        </is>
      </c>
      <c r="E80" s="2" t="inlineStr"/>
    </row>
    <row r="81">
      <c r="A81" s="2" t="inlineStr">
        <is>
          <t>MNG53210-003</t>
        </is>
      </c>
      <c r="B81" s="2" t="inlineStr">
        <is>
          <t>MNG-5X32-10M</t>
        </is>
      </c>
      <c r="C81" s="2" t="inlineStr">
        <is>
          <t>Manga 5x32 de 10 metros</t>
        </is>
      </c>
      <c r="D81" s="2" t="inlineStr">
        <is>
          <t>Disponible</t>
        </is>
      </c>
      <c r="E81" s="2" t="inlineStr"/>
    </row>
    <row r="82">
      <c r="A82" s="2" t="inlineStr">
        <is>
          <t>MNG53210-004</t>
        </is>
      </c>
      <c r="B82" s="2" t="inlineStr">
        <is>
          <t>MNG-5X32-10M</t>
        </is>
      </c>
      <c r="C82" s="2" t="inlineStr">
        <is>
          <t>Manga 5x32 de 10 metros</t>
        </is>
      </c>
      <c r="D82" s="2" t="inlineStr">
        <is>
          <t>Disponible</t>
        </is>
      </c>
      <c r="E82" s="2" t="inlineStr"/>
    </row>
    <row r="83">
      <c r="A83" s="2" t="inlineStr">
        <is>
          <t>MNG53210-005</t>
        </is>
      </c>
      <c r="B83" s="2" t="inlineStr">
        <is>
          <t>MNG-5X32-10M</t>
        </is>
      </c>
      <c r="C83" s="2" t="inlineStr">
        <is>
          <t>Manga 5x32 de 10 metros</t>
        </is>
      </c>
      <c r="D83" s="2" t="inlineStr">
        <is>
          <t>Disponible</t>
        </is>
      </c>
      <c r="E83" s="2" t="inlineStr"/>
    </row>
    <row r="84">
      <c r="A84" s="2" t="inlineStr">
        <is>
          <t>MNG53210-006</t>
        </is>
      </c>
      <c r="B84" s="2" t="inlineStr">
        <is>
          <t>MNG-5X32-10M</t>
        </is>
      </c>
      <c r="C84" s="2" t="inlineStr">
        <is>
          <t>Manga 5x32 de 10 metros</t>
        </is>
      </c>
      <c r="D84" s="2" t="inlineStr">
        <is>
          <t>Disponible</t>
        </is>
      </c>
      <c r="E84" s="2" t="inlineStr"/>
    </row>
    <row r="85">
      <c r="A85" s="2" t="inlineStr">
        <is>
          <t>MNG53210-007</t>
        </is>
      </c>
      <c r="B85" s="2" t="inlineStr">
        <is>
          <t>MNG-5X32-10M</t>
        </is>
      </c>
      <c r="C85" s="2" t="inlineStr">
        <is>
          <t>Manga 5x32 de 10 metros</t>
        </is>
      </c>
      <c r="D85" s="2" t="inlineStr">
        <is>
          <t>Disponible</t>
        </is>
      </c>
      <c r="E85" s="2" t="inlineStr"/>
    </row>
    <row r="86">
      <c r="A86" s="2" t="inlineStr">
        <is>
          <t>MNG53210-008</t>
        </is>
      </c>
      <c r="B86" s="2" t="inlineStr">
        <is>
          <t>MNG-5X32-10M</t>
        </is>
      </c>
      <c r="C86" s="2" t="inlineStr">
        <is>
          <t>Manga 5x32 de 10 metros</t>
        </is>
      </c>
      <c r="D86" s="2" t="inlineStr">
        <is>
          <t>Disponible</t>
        </is>
      </c>
      <c r="E86" s="2" t="inlineStr"/>
    </row>
    <row r="87">
      <c r="A87" s="2" t="inlineStr">
        <is>
          <t>MNG53210-009</t>
        </is>
      </c>
      <c r="B87" s="2" t="inlineStr">
        <is>
          <t>MNG-5X32-10M</t>
        </is>
      </c>
      <c r="C87" s="2" t="inlineStr">
        <is>
          <t>Manga 5x32 de 10 metros</t>
        </is>
      </c>
      <c r="D87" s="2" t="inlineStr">
        <is>
          <t>Disponible</t>
        </is>
      </c>
      <c r="E87" s="2" t="inlineStr"/>
    </row>
    <row r="88">
      <c r="A88" s="2" t="inlineStr">
        <is>
          <t>MNG53210-010</t>
        </is>
      </c>
      <c r="B88" s="2" t="inlineStr">
        <is>
          <t>MNG-5X32-10M</t>
        </is>
      </c>
      <c r="C88" s="2" t="inlineStr">
        <is>
          <t>Manga 5x32 de 10 metros</t>
        </is>
      </c>
      <c r="D88" s="2" t="inlineStr">
        <is>
          <t>Disponible</t>
        </is>
      </c>
      <c r="E88" s="2" t="inlineStr"/>
    </row>
    <row r="89">
      <c r="A89" s="2" t="inlineStr">
        <is>
          <t>MNG53210-011</t>
        </is>
      </c>
      <c r="B89" s="2" t="inlineStr">
        <is>
          <t>MNG-5X32-10M</t>
        </is>
      </c>
      <c r="C89" s="2" t="inlineStr">
        <is>
          <t>Manga 5x32 de 10 metros</t>
        </is>
      </c>
      <c r="D89" s="2" t="inlineStr">
        <is>
          <t>Disponible</t>
        </is>
      </c>
      <c r="E89" s="2" t="inlineStr"/>
    </row>
    <row r="90">
      <c r="A90" s="2" t="inlineStr">
        <is>
          <t>MNG53210-012</t>
        </is>
      </c>
      <c r="B90" s="2" t="inlineStr">
        <is>
          <t>MNG-5X32-10M</t>
        </is>
      </c>
      <c r="C90" s="2" t="inlineStr">
        <is>
          <t>Manga 5x32 de 10 metros</t>
        </is>
      </c>
      <c r="D90" s="2" t="inlineStr">
        <is>
          <t>Disponible</t>
        </is>
      </c>
      <c r="E90" s="2" t="inlineStr"/>
    </row>
    <row r="91">
      <c r="A91" s="2" t="inlineStr">
        <is>
          <t>MNG53210-013</t>
        </is>
      </c>
      <c r="B91" s="2" t="inlineStr">
        <is>
          <t>MNG-5X32-10M</t>
        </is>
      </c>
      <c r="C91" s="2" t="inlineStr">
        <is>
          <t>Manga 5x32 de 10 metros</t>
        </is>
      </c>
      <c r="D91" s="2" t="inlineStr">
        <is>
          <t>Disponible</t>
        </is>
      </c>
      <c r="E91" s="2" t="inlineStr"/>
    </row>
    <row r="92">
      <c r="A92" s="2" t="inlineStr">
        <is>
          <t>MNG53210-014</t>
        </is>
      </c>
      <c r="B92" s="2" t="inlineStr">
        <is>
          <t>MNG-5X32-10M</t>
        </is>
      </c>
      <c r="C92" s="2" t="inlineStr">
        <is>
          <t>Manga 5x32 de 10 metros</t>
        </is>
      </c>
      <c r="D92" s="2" t="inlineStr">
        <is>
          <t>Disponible</t>
        </is>
      </c>
      <c r="E92" s="2" t="inlineStr"/>
    </row>
    <row r="93">
      <c r="A93" s="2" t="inlineStr">
        <is>
          <t>MNG53210-015</t>
        </is>
      </c>
      <c r="B93" s="2" t="inlineStr">
        <is>
          <t>MNG-5X32-10M</t>
        </is>
      </c>
      <c r="C93" s="2" t="inlineStr">
        <is>
          <t>Manga 5x32 de 10 metros</t>
        </is>
      </c>
      <c r="D93" s="2" t="inlineStr">
        <is>
          <t>Disponible</t>
        </is>
      </c>
      <c r="E93" s="2" t="inlineStr"/>
    </row>
    <row r="94">
      <c r="A94" s="2" t="inlineStr">
        <is>
          <t>MNG53210-016</t>
        </is>
      </c>
      <c r="B94" s="2" t="inlineStr">
        <is>
          <t>MNG-5X32-10M</t>
        </is>
      </c>
      <c r="C94" s="2" t="inlineStr">
        <is>
          <t>Manga 5x32 de 10 metros</t>
        </is>
      </c>
      <c r="D94" s="2" t="inlineStr">
        <is>
          <t>Disponible</t>
        </is>
      </c>
      <c r="E94" s="2" t="inlineStr"/>
    </row>
    <row r="95">
      <c r="A95" s="2" t="inlineStr">
        <is>
          <t>MNG53210-017</t>
        </is>
      </c>
      <c r="B95" s="2" t="inlineStr">
        <is>
          <t>MNG-5X32-10M</t>
        </is>
      </c>
      <c r="C95" s="2" t="inlineStr">
        <is>
          <t>Manga 5x32 de 10 metros</t>
        </is>
      </c>
      <c r="D95" s="2" t="inlineStr">
        <is>
          <t>Disponible</t>
        </is>
      </c>
      <c r="E95" s="2" t="inlineStr"/>
    </row>
    <row r="96">
      <c r="A96" s="2" t="inlineStr">
        <is>
          <t>MNG53210-018</t>
        </is>
      </c>
      <c r="B96" s="2" t="inlineStr">
        <is>
          <t>MNG-5X32-10M</t>
        </is>
      </c>
      <c r="C96" s="2" t="inlineStr">
        <is>
          <t>Manga 5x32 de 10 metros</t>
        </is>
      </c>
      <c r="D96" s="2" t="inlineStr">
        <is>
          <t>Disponible</t>
        </is>
      </c>
      <c r="E96" s="2" t="inlineStr"/>
    </row>
    <row r="97">
      <c r="A97" s="2" t="inlineStr">
        <is>
          <t>MNG53210-019</t>
        </is>
      </c>
      <c r="B97" s="2" t="inlineStr">
        <is>
          <t>MNG-5X32-10M</t>
        </is>
      </c>
      <c r="C97" s="2" t="inlineStr">
        <is>
          <t>Manga 5x32 de 10 metros</t>
        </is>
      </c>
      <c r="D97" s="2" t="inlineStr">
        <is>
          <t>Disponible</t>
        </is>
      </c>
      <c r="E97" s="2" t="inlineStr"/>
    </row>
    <row r="98">
      <c r="A98" s="2" t="inlineStr">
        <is>
          <t>MNG53210-020</t>
        </is>
      </c>
      <c r="B98" s="2" t="inlineStr">
        <is>
          <t>MNG-5X32-10M</t>
        </is>
      </c>
      <c r="C98" s="2" t="inlineStr">
        <is>
          <t>Manga 5x32 de 10 metros</t>
        </is>
      </c>
      <c r="D98" s="2" t="inlineStr">
        <is>
          <t>Disponible</t>
        </is>
      </c>
      <c r="E98" s="2" t="inlineStr"/>
    </row>
    <row r="99">
      <c r="A99" s="2" t="inlineStr">
        <is>
          <t>MNG53210-021</t>
        </is>
      </c>
      <c r="B99" s="2" t="inlineStr">
        <is>
          <t>MNG-5X32-10M</t>
        </is>
      </c>
      <c r="C99" s="2" t="inlineStr">
        <is>
          <t>Manga 5x32 de 10 metros</t>
        </is>
      </c>
      <c r="D99" s="2" t="inlineStr">
        <is>
          <t>Disponible</t>
        </is>
      </c>
      <c r="E99" s="2" t="inlineStr"/>
    </row>
    <row r="100">
      <c r="A100" s="2" t="inlineStr">
        <is>
          <t>MNG53210-022</t>
        </is>
      </c>
      <c r="B100" s="2" t="inlineStr">
        <is>
          <t>MNG-5X32-10M</t>
        </is>
      </c>
      <c r="C100" s="2" t="inlineStr">
        <is>
          <t>Manga 5x32 de 10 metros</t>
        </is>
      </c>
      <c r="D100" s="2" t="inlineStr">
        <is>
          <t>Disponible</t>
        </is>
      </c>
      <c r="E100" s="2" t="inlineStr"/>
    </row>
    <row r="101">
      <c r="A101" s="2" t="inlineStr">
        <is>
          <t>MNG53210-023</t>
        </is>
      </c>
      <c r="B101" s="2" t="inlineStr">
        <is>
          <t>MNG-5X32-10M</t>
        </is>
      </c>
      <c r="C101" s="2" t="inlineStr">
        <is>
          <t>Manga 5x32 de 10 metros</t>
        </is>
      </c>
      <c r="D101" s="2" t="inlineStr">
        <is>
          <t>Disponible</t>
        </is>
      </c>
      <c r="E101" s="2" t="inlineStr"/>
    </row>
    <row r="102">
      <c r="A102" s="2" t="inlineStr">
        <is>
          <t>MNG53210-024</t>
        </is>
      </c>
      <c r="B102" s="2" t="inlineStr">
        <is>
          <t>MNG-5X32-10M</t>
        </is>
      </c>
      <c r="C102" s="2" t="inlineStr">
        <is>
          <t>Manga 5x32 de 10 metros</t>
        </is>
      </c>
      <c r="D102" s="2" t="inlineStr">
        <is>
          <t>Disponible</t>
        </is>
      </c>
      <c r="E102" s="2" t="inlineStr"/>
    </row>
    <row r="103">
      <c r="A103" s="2" t="inlineStr">
        <is>
          <t>MNG53210-025</t>
        </is>
      </c>
      <c r="B103" s="2" t="inlineStr">
        <is>
          <t>MNG-5X32-10M</t>
        </is>
      </c>
      <c r="C103" s="2" t="inlineStr">
        <is>
          <t>Manga 5x32 de 10 metros</t>
        </is>
      </c>
      <c r="D103" s="2" t="inlineStr">
        <is>
          <t>Disponible</t>
        </is>
      </c>
      <c r="E103" s="2" t="inlineStr"/>
    </row>
    <row r="104">
      <c r="A104" s="2" t="inlineStr">
        <is>
          <t>MNG53210-026</t>
        </is>
      </c>
      <c r="B104" s="2" t="inlineStr">
        <is>
          <t>MNG-5X32-10M</t>
        </is>
      </c>
      <c r="C104" s="2" t="inlineStr">
        <is>
          <t>Manga 5x32 de 10 metros</t>
        </is>
      </c>
      <c r="D104" s="2" t="inlineStr">
        <is>
          <t>Disponible</t>
        </is>
      </c>
      <c r="E104" s="2" t="inlineStr"/>
    </row>
    <row r="105">
      <c r="A105" s="2" t="inlineStr">
        <is>
          <t>MNG53210-027</t>
        </is>
      </c>
      <c r="B105" s="2" t="inlineStr">
        <is>
          <t>MNG-5X32-10M</t>
        </is>
      </c>
      <c r="C105" s="2" t="inlineStr">
        <is>
          <t>Manga 5x32 de 10 metros</t>
        </is>
      </c>
      <c r="D105" s="2" t="inlineStr">
        <is>
          <t>Disponible</t>
        </is>
      </c>
      <c r="E105" s="2" t="inlineStr"/>
    </row>
    <row r="106">
      <c r="A106" s="2" t="inlineStr">
        <is>
          <t>MNG53210-028</t>
        </is>
      </c>
      <c r="B106" s="2" t="inlineStr">
        <is>
          <t>MNG-5X32-10M</t>
        </is>
      </c>
      <c r="C106" s="2" t="inlineStr">
        <is>
          <t>Manga 5x32 de 10 metros</t>
        </is>
      </c>
      <c r="D106" s="2" t="inlineStr">
        <is>
          <t>Disponible</t>
        </is>
      </c>
      <c r="E106" s="2" t="inlineStr"/>
    </row>
    <row r="107">
      <c r="A107" s="2" t="inlineStr">
        <is>
          <t>MNG53210-029</t>
        </is>
      </c>
      <c r="B107" s="2" t="inlineStr">
        <is>
          <t>MNG-5X32-10M</t>
        </is>
      </c>
      <c r="C107" s="2" t="inlineStr">
        <is>
          <t>Manga 5x32 de 10 metros</t>
        </is>
      </c>
      <c r="D107" s="2" t="inlineStr">
        <is>
          <t>Disponible</t>
        </is>
      </c>
      <c r="E107" s="2" t="inlineStr"/>
    </row>
    <row r="108">
      <c r="A108" s="2" t="inlineStr">
        <is>
          <t>MNG53210-030</t>
        </is>
      </c>
      <c r="B108" s="2" t="inlineStr">
        <is>
          <t>MNG-5X32-10M</t>
        </is>
      </c>
      <c r="C108" s="2" t="inlineStr">
        <is>
          <t>Manga 5x32 de 10 metros</t>
        </is>
      </c>
      <c r="D108" s="2" t="inlineStr">
        <is>
          <t>Disponible</t>
        </is>
      </c>
      <c r="E108" s="2" t="inlineStr"/>
    </row>
    <row r="109">
      <c r="A109" s="2" t="inlineStr">
        <is>
          <t>MNG53210-031</t>
        </is>
      </c>
      <c r="B109" s="2" t="inlineStr">
        <is>
          <t>MNG-5X32-10M</t>
        </is>
      </c>
      <c r="C109" s="2" t="inlineStr">
        <is>
          <t>Manga 5x32 de 10 metros</t>
        </is>
      </c>
      <c r="D109" s="2" t="inlineStr">
        <is>
          <t>Disponible</t>
        </is>
      </c>
      <c r="E109" s="2" t="inlineStr"/>
    </row>
    <row r="110">
      <c r="A110" s="2" t="inlineStr">
        <is>
          <t>MNG53210-032</t>
        </is>
      </c>
      <c r="B110" s="2" t="inlineStr">
        <is>
          <t>MNG-5X32-10M</t>
        </is>
      </c>
      <c r="C110" s="2" t="inlineStr">
        <is>
          <t>Manga 5x32 de 10 metros</t>
        </is>
      </c>
      <c r="D110" s="2" t="inlineStr">
        <is>
          <t>Disponible</t>
        </is>
      </c>
      <c r="E110" s="2" t="inlineStr"/>
    </row>
    <row r="111">
      <c r="A111" s="2" t="inlineStr">
        <is>
          <t>MNG53210-033</t>
        </is>
      </c>
      <c r="B111" s="2" t="inlineStr">
        <is>
          <t>MNG-5X32-10M</t>
        </is>
      </c>
      <c r="C111" s="2" t="inlineStr">
        <is>
          <t>Manga 5x32 de 10 metros</t>
        </is>
      </c>
      <c r="D111" s="2" t="inlineStr">
        <is>
          <t>Disponible</t>
        </is>
      </c>
      <c r="E111" s="2" t="inlineStr"/>
    </row>
    <row r="112">
      <c r="A112" s="2" t="inlineStr">
        <is>
          <t>MNG53210-034</t>
        </is>
      </c>
      <c r="B112" s="2" t="inlineStr">
        <is>
          <t>MNG-5X32-10M</t>
        </is>
      </c>
      <c r="C112" s="2" t="inlineStr">
        <is>
          <t>Manga 5x32 de 10 metros</t>
        </is>
      </c>
      <c r="D112" s="2" t="inlineStr">
        <is>
          <t>Disponible</t>
        </is>
      </c>
      <c r="E112" s="2" t="inlineStr"/>
    </row>
    <row r="113">
      <c r="A113" s="2" t="inlineStr">
        <is>
          <t>MNG53210-035</t>
        </is>
      </c>
      <c r="B113" s="2" t="inlineStr">
        <is>
          <t>MNG-5X32-10M</t>
        </is>
      </c>
      <c r="C113" s="2" t="inlineStr">
        <is>
          <t>Manga 5x32 de 10 metros</t>
        </is>
      </c>
      <c r="D113" s="2" t="inlineStr">
        <is>
          <t>Disponible</t>
        </is>
      </c>
      <c r="E113" s="2" t="inlineStr"/>
    </row>
    <row r="114">
      <c r="A114" s="2" t="inlineStr">
        <is>
          <t>MNG53210-036</t>
        </is>
      </c>
      <c r="B114" s="2" t="inlineStr">
        <is>
          <t>MNG-5X32-10M</t>
        </is>
      </c>
      <c r="C114" s="2" t="inlineStr">
        <is>
          <t>Manga 5x32 de 10 metros</t>
        </is>
      </c>
      <c r="D114" s="2" t="inlineStr">
        <is>
          <t>Disponible</t>
        </is>
      </c>
      <c r="E114" s="2" t="inlineStr"/>
    </row>
    <row r="115">
      <c r="A115" s="2" t="inlineStr">
        <is>
          <t>MNG53210-037</t>
        </is>
      </c>
      <c r="B115" s="2" t="inlineStr">
        <is>
          <t>MNG-5X32-10M</t>
        </is>
      </c>
      <c r="C115" s="2" t="inlineStr">
        <is>
          <t>Manga 5x32 de 10 metros</t>
        </is>
      </c>
      <c r="D115" s="2" t="inlineStr">
        <is>
          <t>Disponible</t>
        </is>
      </c>
      <c r="E115" s="2" t="inlineStr"/>
    </row>
    <row r="116">
      <c r="A116" s="2" t="inlineStr">
        <is>
          <t>MNG53210-038</t>
        </is>
      </c>
      <c r="B116" s="2" t="inlineStr">
        <is>
          <t>MNG-5X32-10M</t>
        </is>
      </c>
      <c r="C116" s="2" t="inlineStr">
        <is>
          <t>Manga 5x32 de 10 metros</t>
        </is>
      </c>
      <c r="D116" s="2" t="inlineStr">
        <is>
          <t>Disponible</t>
        </is>
      </c>
      <c r="E116" s="2" t="inlineStr"/>
    </row>
    <row r="117">
      <c r="A117" s="2" t="inlineStr">
        <is>
          <t>MNG53210-039</t>
        </is>
      </c>
      <c r="B117" s="2" t="inlineStr">
        <is>
          <t>MNG-5X32-10M</t>
        </is>
      </c>
      <c r="C117" s="2" t="inlineStr">
        <is>
          <t>Manga 5x32 de 10 metros</t>
        </is>
      </c>
      <c r="D117" s="2" t="inlineStr">
        <is>
          <t>Disponible</t>
        </is>
      </c>
      <c r="E117" s="2" t="inlineStr"/>
    </row>
    <row r="118">
      <c r="A118" s="2" t="inlineStr">
        <is>
          <t>MNG53210-040</t>
        </is>
      </c>
      <c r="B118" s="2" t="inlineStr">
        <is>
          <t>MNG-5X32-10M</t>
        </is>
      </c>
      <c r="C118" s="2" t="inlineStr">
        <is>
          <t>Manga 5x32 de 10 metros</t>
        </is>
      </c>
      <c r="D118" s="2" t="inlineStr">
        <is>
          <t>Disponible</t>
        </is>
      </c>
      <c r="E118" s="2" t="inlineStr"/>
    </row>
    <row r="119">
      <c r="A119" s="2" t="inlineStr">
        <is>
          <t>MNG53210-041</t>
        </is>
      </c>
      <c r="B119" s="2" t="inlineStr">
        <is>
          <t>MNG-5X32-10M</t>
        </is>
      </c>
      <c r="C119" s="2" t="inlineStr">
        <is>
          <t>Manga 5x32 de 10 metros</t>
        </is>
      </c>
      <c r="D119" s="2" t="inlineStr">
        <is>
          <t>Disponible</t>
        </is>
      </c>
      <c r="E119" s="2" t="inlineStr"/>
    </row>
    <row r="120">
      <c r="A120" s="2" t="inlineStr">
        <is>
          <t>MNG53210-042</t>
        </is>
      </c>
      <c r="B120" s="2" t="inlineStr">
        <is>
          <t>MNG-5X32-10M</t>
        </is>
      </c>
      <c r="C120" s="2" t="inlineStr">
        <is>
          <t>Manga 5x32 de 10 metros</t>
        </is>
      </c>
      <c r="D120" s="2" t="inlineStr">
        <is>
          <t>Disponible</t>
        </is>
      </c>
      <c r="E120" s="2" t="inlineStr"/>
    </row>
    <row r="121">
      <c r="A121" s="2" t="inlineStr">
        <is>
          <t>MNG53210-043</t>
        </is>
      </c>
      <c r="B121" s="2" t="inlineStr">
        <is>
          <t>MNG-5X32-10M</t>
        </is>
      </c>
      <c r="C121" s="2" t="inlineStr">
        <is>
          <t>Manga 5x32 de 10 metros</t>
        </is>
      </c>
      <c r="D121" s="2" t="inlineStr">
        <is>
          <t>Disponible</t>
        </is>
      </c>
      <c r="E121" s="2" t="inlineStr"/>
    </row>
    <row r="122">
      <c r="A122" s="2" t="inlineStr">
        <is>
          <t>MNG53210-044</t>
        </is>
      </c>
      <c r="B122" s="2" t="inlineStr">
        <is>
          <t>MNG-5X32-10M</t>
        </is>
      </c>
      <c r="C122" s="2" t="inlineStr">
        <is>
          <t>Manga 5x32 de 10 metros</t>
        </is>
      </c>
      <c r="D122" s="2" t="inlineStr">
        <is>
          <t>Disponible</t>
        </is>
      </c>
      <c r="E122" s="2" t="inlineStr"/>
    </row>
    <row r="123">
      <c r="A123" s="2" t="inlineStr">
        <is>
          <t>MNG53210-045</t>
        </is>
      </c>
      <c r="B123" s="2" t="inlineStr">
        <is>
          <t>MNG-5X32-10M</t>
        </is>
      </c>
      <c r="C123" s="2" t="inlineStr">
        <is>
          <t>Manga 5x32 de 10 metros</t>
        </is>
      </c>
      <c r="D123" s="2" t="inlineStr">
        <is>
          <t>Disponible</t>
        </is>
      </c>
      <c r="E123" s="2" t="inlineStr"/>
    </row>
    <row r="124">
      <c r="A124" s="2" t="inlineStr">
        <is>
          <t>MNG53210-046</t>
        </is>
      </c>
      <c r="B124" s="2" t="inlineStr">
        <is>
          <t>MNG-5X32-10M</t>
        </is>
      </c>
      <c r="C124" s="2" t="inlineStr">
        <is>
          <t>Manga 5x32 de 10 metros</t>
        </is>
      </c>
      <c r="D124" s="2" t="inlineStr">
        <is>
          <t>Disponible</t>
        </is>
      </c>
      <c r="E124" s="2" t="inlineStr"/>
    </row>
    <row r="125">
      <c r="A125" s="2" t="inlineStr">
        <is>
          <t>MNG53210-047</t>
        </is>
      </c>
      <c r="B125" s="2" t="inlineStr">
        <is>
          <t>MNG-5X32-10M</t>
        </is>
      </c>
      <c r="C125" s="2" t="inlineStr">
        <is>
          <t>Manga 5x32 de 10 metros</t>
        </is>
      </c>
      <c r="D125" s="2" t="inlineStr">
        <is>
          <t>Disponible</t>
        </is>
      </c>
      <c r="E125" s="2" t="inlineStr"/>
    </row>
    <row r="126">
      <c r="A126" s="2" t="inlineStr">
        <is>
          <t>MNG53210-048</t>
        </is>
      </c>
      <c r="B126" s="2" t="inlineStr">
        <is>
          <t>MNG-5X32-10M</t>
        </is>
      </c>
      <c r="C126" s="2" t="inlineStr">
        <is>
          <t>Manga 5x32 de 10 metros</t>
        </is>
      </c>
      <c r="D126" s="2" t="inlineStr">
        <is>
          <t>Disponible</t>
        </is>
      </c>
      <c r="E126" s="2" t="inlineStr"/>
    </row>
    <row r="127">
      <c r="A127" s="2" t="inlineStr">
        <is>
          <t>MNG53215-001</t>
        </is>
      </c>
      <c r="B127" s="2" t="inlineStr">
        <is>
          <t>MNG-5X32-15M</t>
        </is>
      </c>
      <c r="C127" s="2" t="inlineStr">
        <is>
          <t>Manga 5x32 de 15 metros</t>
        </is>
      </c>
      <c r="D127" s="2" t="inlineStr">
        <is>
          <t>Disponible</t>
        </is>
      </c>
      <c r="E127" s="2" t="inlineStr"/>
    </row>
    <row r="128">
      <c r="A128" s="2" t="inlineStr">
        <is>
          <t>MNG53215-002</t>
        </is>
      </c>
      <c r="B128" s="2" t="inlineStr">
        <is>
          <t>MNG-5X32-15M</t>
        </is>
      </c>
      <c r="C128" s="2" t="inlineStr">
        <is>
          <t>Manga 5x32 de 15 metros</t>
        </is>
      </c>
      <c r="D128" s="2" t="inlineStr">
        <is>
          <t>Disponible</t>
        </is>
      </c>
      <c r="E128" s="2" t="inlineStr"/>
    </row>
    <row r="129">
      <c r="A129" s="2" t="inlineStr">
        <is>
          <t>MNG53215-003</t>
        </is>
      </c>
      <c r="B129" s="2" t="inlineStr">
        <is>
          <t>MNG-5X32-15M</t>
        </is>
      </c>
      <c r="C129" s="2" t="inlineStr">
        <is>
          <t>Manga 5x32 de 15 metros</t>
        </is>
      </c>
      <c r="D129" s="2" t="inlineStr">
        <is>
          <t>Disponible</t>
        </is>
      </c>
      <c r="E129" s="2" t="inlineStr"/>
    </row>
    <row r="130">
      <c r="A130" s="2" t="inlineStr">
        <is>
          <t>MNG53215-004</t>
        </is>
      </c>
      <c r="B130" s="2" t="inlineStr">
        <is>
          <t>MNG-5X32-15M</t>
        </is>
      </c>
      <c r="C130" s="2" t="inlineStr">
        <is>
          <t>Manga 5x32 de 15 metros</t>
        </is>
      </c>
      <c r="D130" s="2" t="inlineStr">
        <is>
          <t>Disponible</t>
        </is>
      </c>
      <c r="E130" s="2" t="inlineStr"/>
    </row>
    <row r="131">
      <c r="A131" s="2" t="inlineStr">
        <is>
          <t>MNG53215-005</t>
        </is>
      </c>
      <c r="B131" s="2" t="inlineStr">
        <is>
          <t>MNG-5X32-15M</t>
        </is>
      </c>
      <c r="C131" s="2" t="inlineStr">
        <is>
          <t>Manga 5x32 de 15 metros</t>
        </is>
      </c>
      <c r="D131" s="2" t="inlineStr">
        <is>
          <t>Disponible</t>
        </is>
      </c>
      <c r="E131" s="2" t="inlineStr"/>
    </row>
    <row r="132">
      <c r="A132" s="2" t="inlineStr">
        <is>
          <t>MNG53215-006</t>
        </is>
      </c>
      <c r="B132" s="2" t="inlineStr">
        <is>
          <t>MNG-5X32-15M</t>
        </is>
      </c>
      <c r="C132" s="2" t="inlineStr">
        <is>
          <t>Manga 5x32 de 15 metros</t>
        </is>
      </c>
      <c r="D132" s="2" t="inlineStr">
        <is>
          <t>Disponible</t>
        </is>
      </c>
      <c r="E132" s="2" t="inlineStr"/>
    </row>
    <row r="133">
      <c r="A133" s="2" t="inlineStr">
        <is>
          <t>MNG53215-007</t>
        </is>
      </c>
      <c r="B133" s="2" t="inlineStr">
        <is>
          <t>MNG-5X32-15M</t>
        </is>
      </c>
      <c r="C133" s="2" t="inlineStr">
        <is>
          <t>Manga 5x32 de 15 metros</t>
        </is>
      </c>
      <c r="D133" s="2" t="inlineStr">
        <is>
          <t>Disponible</t>
        </is>
      </c>
      <c r="E133" s="2" t="inlineStr"/>
    </row>
    <row r="134">
      <c r="A134" s="2" t="inlineStr">
        <is>
          <t>MNG53215-008</t>
        </is>
      </c>
      <c r="B134" s="2" t="inlineStr">
        <is>
          <t>MNG-5X32-15M</t>
        </is>
      </c>
      <c r="C134" s="2" t="inlineStr">
        <is>
          <t>Manga 5x32 de 15 metros</t>
        </is>
      </c>
      <c r="D134" s="2" t="inlineStr">
        <is>
          <t>Disponible</t>
        </is>
      </c>
      <c r="E134" s="2" t="inlineStr"/>
    </row>
    <row r="135">
      <c r="A135" s="2" t="inlineStr">
        <is>
          <t>MNG53215-009</t>
        </is>
      </c>
      <c r="B135" s="2" t="inlineStr">
        <is>
          <t>MNG-5X32-15M</t>
        </is>
      </c>
      <c r="C135" s="2" t="inlineStr">
        <is>
          <t>Manga 5x32 de 15 metros</t>
        </is>
      </c>
      <c r="D135" s="2" t="inlineStr">
        <is>
          <t>Disponible</t>
        </is>
      </c>
      <c r="E135" s="2" t="inlineStr"/>
    </row>
    <row r="136">
      <c r="A136" s="2" t="inlineStr">
        <is>
          <t>MNG53215-010</t>
        </is>
      </c>
      <c r="B136" s="2" t="inlineStr">
        <is>
          <t>MNG-5X32-15M</t>
        </is>
      </c>
      <c r="C136" s="2" t="inlineStr">
        <is>
          <t>Manga 5x32 de 15 metros</t>
        </is>
      </c>
      <c r="D136" s="2" t="inlineStr">
        <is>
          <t>Disponible</t>
        </is>
      </c>
      <c r="E136" s="2" t="inlineStr"/>
    </row>
    <row r="137">
      <c r="A137" s="2" t="inlineStr">
        <is>
          <t>MNG53215-011</t>
        </is>
      </c>
      <c r="B137" s="2" t="inlineStr">
        <is>
          <t>MNG-5X32-15M</t>
        </is>
      </c>
      <c r="C137" s="2" t="inlineStr">
        <is>
          <t>Manga 5x32 de 15 metros</t>
        </is>
      </c>
      <c r="D137" s="2" t="inlineStr">
        <is>
          <t>Disponible</t>
        </is>
      </c>
      <c r="E137" s="2" t="inlineStr"/>
    </row>
    <row r="138">
      <c r="A138" s="2" t="inlineStr">
        <is>
          <t>MNG53215-012</t>
        </is>
      </c>
      <c r="B138" s="2" t="inlineStr">
        <is>
          <t>MNG-5X32-15M</t>
        </is>
      </c>
      <c r="C138" s="2" t="inlineStr">
        <is>
          <t>Manga 5x32 de 15 metros</t>
        </is>
      </c>
      <c r="D138" s="2" t="inlineStr">
        <is>
          <t>Disponible</t>
        </is>
      </c>
      <c r="E138" s="2" t="inlineStr"/>
    </row>
    <row r="139">
      <c r="A139" s="2" t="inlineStr">
        <is>
          <t>MNG53215-013</t>
        </is>
      </c>
      <c r="B139" s="2" t="inlineStr">
        <is>
          <t>MNG-5X32-15M</t>
        </is>
      </c>
      <c r="C139" s="2" t="inlineStr">
        <is>
          <t>Manga 5x32 de 15 metros</t>
        </is>
      </c>
      <c r="D139" s="2" t="inlineStr">
        <is>
          <t>Disponible</t>
        </is>
      </c>
      <c r="E139" s="2" t="inlineStr"/>
    </row>
    <row r="140">
      <c r="A140" s="2" t="inlineStr">
        <is>
          <t>MNG53215-014</t>
        </is>
      </c>
      <c r="B140" s="2" t="inlineStr">
        <is>
          <t>MNG-5X32-15M</t>
        </is>
      </c>
      <c r="C140" s="2" t="inlineStr">
        <is>
          <t>Manga 5x32 de 15 metros</t>
        </is>
      </c>
      <c r="D140" s="2" t="inlineStr">
        <is>
          <t>Disponible</t>
        </is>
      </c>
      <c r="E140" s="2" t="inlineStr"/>
    </row>
    <row r="141">
      <c r="A141" s="2" t="inlineStr">
        <is>
          <t>MNG53215-015</t>
        </is>
      </c>
      <c r="B141" s="2" t="inlineStr">
        <is>
          <t>MNG-5X32-15M</t>
        </is>
      </c>
      <c r="C141" s="2" t="inlineStr">
        <is>
          <t>Manga 5x32 de 15 metros</t>
        </is>
      </c>
      <c r="D141" s="2" t="inlineStr">
        <is>
          <t>Disponible</t>
        </is>
      </c>
      <c r="E141" s="2" t="inlineStr"/>
    </row>
    <row r="142">
      <c r="A142" s="2" t="inlineStr">
        <is>
          <t>MNG53215-016</t>
        </is>
      </c>
      <c r="B142" s="2" t="inlineStr">
        <is>
          <t>MNG-5X32-15M</t>
        </is>
      </c>
      <c r="C142" s="2" t="inlineStr">
        <is>
          <t>Manga 5x32 de 15 metros</t>
        </is>
      </c>
      <c r="D142" s="2" t="inlineStr">
        <is>
          <t>Disponible</t>
        </is>
      </c>
      <c r="E142" s="2" t="inlineStr"/>
    </row>
    <row r="143">
      <c r="A143" s="2" t="inlineStr">
        <is>
          <t>MNG53215-017</t>
        </is>
      </c>
      <c r="B143" s="2" t="inlineStr">
        <is>
          <t>MNG-5X32-15M</t>
        </is>
      </c>
      <c r="C143" s="2" t="inlineStr">
        <is>
          <t>Manga 5x32 de 15 metros</t>
        </is>
      </c>
      <c r="D143" s="2" t="inlineStr">
        <is>
          <t>Disponible</t>
        </is>
      </c>
      <c r="E143" s="2" t="inlineStr"/>
    </row>
    <row r="144">
      <c r="A144" s="2" t="inlineStr">
        <is>
          <t>MNG53215-018</t>
        </is>
      </c>
      <c r="B144" s="2" t="inlineStr">
        <is>
          <t>MNG-5X32-15M</t>
        </is>
      </c>
      <c r="C144" s="2" t="inlineStr">
        <is>
          <t>Manga 5x32 de 15 metros</t>
        </is>
      </c>
      <c r="D144" s="2" t="inlineStr">
        <is>
          <t>Disponible</t>
        </is>
      </c>
      <c r="E144" s="2" t="inlineStr"/>
    </row>
    <row r="145">
      <c r="A145" s="2" t="inlineStr">
        <is>
          <t>MNG53215-019</t>
        </is>
      </c>
      <c r="B145" s="2" t="inlineStr">
        <is>
          <t>MNG-5X32-15M</t>
        </is>
      </c>
      <c r="C145" s="2" t="inlineStr">
        <is>
          <t>Manga 5x32 de 15 metros</t>
        </is>
      </c>
      <c r="D145" s="2" t="inlineStr">
        <is>
          <t>Disponible</t>
        </is>
      </c>
      <c r="E145" s="2" t="inlineStr"/>
    </row>
    <row r="146">
      <c r="A146" s="2" t="inlineStr">
        <is>
          <t>MNG53215-020</t>
        </is>
      </c>
      <c r="B146" s="2" t="inlineStr">
        <is>
          <t>MNG-5X32-15M</t>
        </is>
      </c>
      <c r="C146" s="2" t="inlineStr">
        <is>
          <t>Manga 5x32 de 15 metros</t>
        </is>
      </c>
      <c r="D146" s="2" t="inlineStr">
        <is>
          <t>Disponible</t>
        </is>
      </c>
      <c r="E146" s="2" t="inlineStr"/>
    </row>
    <row r="147">
      <c r="A147" s="2" t="inlineStr">
        <is>
          <t>MNG53215-021</t>
        </is>
      </c>
      <c r="B147" s="2" t="inlineStr">
        <is>
          <t>MNG-5X32-15M</t>
        </is>
      </c>
      <c r="C147" s="2" t="inlineStr">
        <is>
          <t>Manga 5x32 de 15 metros</t>
        </is>
      </c>
      <c r="D147" s="2" t="inlineStr">
        <is>
          <t>Disponible</t>
        </is>
      </c>
      <c r="E147" s="2" t="inlineStr"/>
    </row>
    <row r="148">
      <c r="A148" s="2" t="inlineStr">
        <is>
          <t>MNG53215-022</t>
        </is>
      </c>
      <c r="B148" s="2" t="inlineStr">
        <is>
          <t>MNG-5X32-15M</t>
        </is>
      </c>
      <c r="C148" s="2" t="inlineStr">
        <is>
          <t>Manga 5x32 de 15 metros</t>
        </is>
      </c>
      <c r="D148" s="2" t="inlineStr">
        <is>
          <t>Disponible</t>
        </is>
      </c>
      <c r="E148" s="2" t="inlineStr"/>
    </row>
    <row r="149">
      <c r="A149" s="2" t="inlineStr">
        <is>
          <t>MNG53215-023</t>
        </is>
      </c>
      <c r="B149" s="2" t="inlineStr">
        <is>
          <t>MNG-5X32-15M</t>
        </is>
      </c>
      <c r="C149" s="2" t="inlineStr">
        <is>
          <t>Manga 5x32 de 15 metros</t>
        </is>
      </c>
      <c r="D149" s="2" t="inlineStr">
        <is>
          <t>Disponible</t>
        </is>
      </c>
      <c r="E149" s="2" t="inlineStr"/>
    </row>
    <row r="150">
      <c r="A150" s="2" t="inlineStr">
        <is>
          <t>MNG53215-024</t>
        </is>
      </c>
      <c r="B150" s="2" t="inlineStr">
        <is>
          <t>MNG-5X32-15M</t>
        </is>
      </c>
      <c r="C150" s="2" t="inlineStr">
        <is>
          <t>Manga 5x32 de 15 metros</t>
        </is>
      </c>
      <c r="D150" s="2" t="inlineStr">
        <is>
          <t>Disponible</t>
        </is>
      </c>
      <c r="E150" s="2" t="inlineStr"/>
    </row>
    <row r="151">
      <c r="A151" s="2" t="inlineStr">
        <is>
          <t>MNG53215-025</t>
        </is>
      </c>
      <c r="B151" s="2" t="inlineStr">
        <is>
          <t>MNG-5X32-15M</t>
        </is>
      </c>
      <c r="C151" s="2" t="inlineStr">
        <is>
          <t>Manga 5x32 de 15 metros</t>
        </is>
      </c>
      <c r="D151" s="2" t="inlineStr">
        <is>
          <t>Disponible</t>
        </is>
      </c>
      <c r="E151" s="2" t="inlineStr"/>
    </row>
    <row r="152">
      <c r="A152" s="2" t="inlineStr">
        <is>
          <t>MNG53215-026</t>
        </is>
      </c>
      <c r="B152" s="2" t="inlineStr">
        <is>
          <t>MNG-5X32-15M</t>
        </is>
      </c>
      <c r="C152" s="2" t="inlineStr">
        <is>
          <t>Manga 5x32 de 15 metros</t>
        </is>
      </c>
      <c r="D152" s="2" t="inlineStr">
        <is>
          <t>Disponible</t>
        </is>
      </c>
      <c r="E152" s="2" t="inlineStr"/>
    </row>
    <row r="153">
      <c r="A153" s="2" t="inlineStr">
        <is>
          <t>MNG53215-027</t>
        </is>
      </c>
      <c r="B153" s="2" t="inlineStr">
        <is>
          <t>MNG-5X32-15M</t>
        </is>
      </c>
      <c r="C153" s="2" t="inlineStr">
        <is>
          <t>Manga 5x32 de 15 metros</t>
        </is>
      </c>
      <c r="D153" s="2" t="inlineStr">
        <is>
          <t>Disponible</t>
        </is>
      </c>
      <c r="E153" s="2" t="inlineStr"/>
    </row>
    <row r="154">
      <c r="A154" s="2" t="inlineStr">
        <is>
          <t>MNG53215-028</t>
        </is>
      </c>
      <c r="B154" s="2" t="inlineStr">
        <is>
          <t>MNG-5X32-15M</t>
        </is>
      </c>
      <c r="C154" s="2" t="inlineStr">
        <is>
          <t>Manga 5x32 de 15 metros</t>
        </is>
      </c>
      <c r="D154" s="2" t="inlineStr">
        <is>
          <t>Disponible</t>
        </is>
      </c>
      <c r="E154" s="2" t="inlineStr"/>
    </row>
    <row r="155">
      <c r="A155" s="2" t="inlineStr">
        <is>
          <t>MNG53220-001</t>
        </is>
      </c>
      <c r="B155" s="2" t="inlineStr">
        <is>
          <t>MNG-5X32-20M</t>
        </is>
      </c>
      <c r="C155" s="2" t="inlineStr">
        <is>
          <t>Manga 5x32 de 20 metros</t>
        </is>
      </c>
      <c r="D155" s="2" t="inlineStr">
        <is>
          <t>Disponible</t>
        </is>
      </c>
      <c r="E155" s="2" t="inlineStr"/>
    </row>
    <row r="156">
      <c r="A156" s="2" t="inlineStr">
        <is>
          <t>MNG53220-002</t>
        </is>
      </c>
      <c r="B156" s="2" t="inlineStr">
        <is>
          <t>MNG-5X32-20M</t>
        </is>
      </c>
      <c r="C156" s="2" t="inlineStr">
        <is>
          <t>Manga 5x32 de 20 metros</t>
        </is>
      </c>
      <c r="D156" s="2" t="inlineStr">
        <is>
          <t>Disponible</t>
        </is>
      </c>
      <c r="E156" s="2" t="inlineStr"/>
    </row>
    <row r="157">
      <c r="A157" s="2" t="inlineStr">
        <is>
          <t>MNG53220-003</t>
        </is>
      </c>
      <c r="B157" s="2" t="inlineStr">
        <is>
          <t>MNG-5X32-20M</t>
        </is>
      </c>
      <c r="C157" s="2" t="inlineStr">
        <is>
          <t>Manga 5x32 de 20 metros</t>
        </is>
      </c>
      <c r="D157" s="2" t="inlineStr">
        <is>
          <t>Disponible</t>
        </is>
      </c>
      <c r="E157" s="2" t="inlineStr"/>
    </row>
    <row r="158">
      <c r="A158" s="2" t="inlineStr">
        <is>
          <t>MNG53220-004</t>
        </is>
      </c>
      <c r="B158" s="2" t="inlineStr">
        <is>
          <t>MNG-5X32-20M</t>
        </is>
      </c>
      <c r="C158" s="2" t="inlineStr">
        <is>
          <t>Manga 5x32 de 20 metros</t>
        </is>
      </c>
      <c r="D158" s="2" t="inlineStr">
        <is>
          <t>Disponible</t>
        </is>
      </c>
      <c r="E158" s="2" t="inlineStr"/>
    </row>
    <row r="159">
      <c r="A159" s="2" t="inlineStr">
        <is>
          <t>MNG53220-005</t>
        </is>
      </c>
      <c r="B159" s="2" t="inlineStr">
        <is>
          <t>MNG-5X32-20M</t>
        </is>
      </c>
      <c r="C159" s="2" t="inlineStr">
        <is>
          <t>Manga 5x32 de 20 metros</t>
        </is>
      </c>
      <c r="D159" s="2" t="inlineStr">
        <is>
          <t>Disponible</t>
        </is>
      </c>
      <c r="E159" s="2" t="inlineStr"/>
    </row>
    <row r="160">
      <c r="A160" s="2" t="inlineStr">
        <is>
          <t>MNG53220-006</t>
        </is>
      </c>
      <c r="B160" s="2" t="inlineStr">
        <is>
          <t>MNG-5X32-20M</t>
        </is>
      </c>
      <c r="C160" s="2" t="inlineStr">
        <is>
          <t>Manga 5x32 de 20 metros</t>
        </is>
      </c>
      <c r="D160" s="2" t="inlineStr">
        <is>
          <t>Disponible</t>
        </is>
      </c>
      <c r="E160" s="2" t="inlineStr"/>
    </row>
    <row r="161">
      <c r="A161" s="2" t="inlineStr">
        <is>
          <t>MNG53220-007</t>
        </is>
      </c>
      <c r="B161" s="2" t="inlineStr">
        <is>
          <t>MNG-5X32-20M</t>
        </is>
      </c>
      <c r="C161" s="2" t="inlineStr">
        <is>
          <t>Manga 5x32 de 20 metros</t>
        </is>
      </c>
      <c r="D161" s="2" t="inlineStr">
        <is>
          <t>Disponible</t>
        </is>
      </c>
      <c r="E161" s="2" t="inlineStr"/>
    </row>
    <row r="162">
      <c r="A162" s="2" t="inlineStr">
        <is>
          <t>MNG53220-008</t>
        </is>
      </c>
      <c r="B162" s="2" t="inlineStr">
        <is>
          <t>MNG-5X32-20M</t>
        </is>
      </c>
      <c r="C162" s="2" t="inlineStr">
        <is>
          <t>Manga 5x32 de 20 metros</t>
        </is>
      </c>
      <c r="D162" s="2" t="inlineStr">
        <is>
          <t>Disponible</t>
        </is>
      </c>
      <c r="E162" s="2" t="inlineStr"/>
    </row>
    <row r="163">
      <c r="A163" s="2" t="inlineStr">
        <is>
          <t>MNG53220-009</t>
        </is>
      </c>
      <c r="B163" s="2" t="inlineStr">
        <is>
          <t>MNG-5X32-20M</t>
        </is>
      </c>
      <c r="C163" s="2" t="inlineStr">
        <is>
          <t>Manga 5x32 de 20 metros</t>
        </is>
      </c>
      <c r="D163" s="2" t="inlineStr">
        <is>
          <t>Disponible</t>
        </is>
      </c>
      <c r="E163" s="2" t="inlineStr"/>
    </row>
    <row r="164">
      <c r="A164" s="2" t="inlineStr">
        <is>
          <t>MNG53220-010</t>
        </is>
      </c>
      <c r="B164" s="2" t="inlineStr">
        <is>
          <t>MNG-5X32-20M</t>
        </is>
      </c>
      <c r="C164" s="2" t="inlineStr">
        <is>
          <t>Manga 5x32 de 20 metros</t>
        </is>
      </c>
      <c r="D164" s="2" t="inlineStr">
        <is>
          <t>Disponible</t>
        </is>
      </c>
      <c r="E164" s="2" t="inlineStr"/>
    </row>
    <row r="165">
      <c r="A165" s="2" t="inlineStr">
        <is>
          <t>MNG53220-011</t>
        </is>
      </c>
      <c r="B165" s="2" t="inlineStr">
        <is>
          <t>MNG-5X32-20M</t>
        </is>
      </c>
      <c r="C165" s="2" t="inlineStr">
        <is>
          <t>Manga 5x32 de 20 metros</t>
        </is>
      </c>
      <c r="D165" s="2" t="inlineStr">
        <is>
          <t>Disponible</t>
        </is>
      </c>
      <c r="E165" s="2" t="inlineStr"/>
    </row>
    <row r="166">
      <c r="A166" s="2" t="inlineStr">
        <is>
          <t>MNG53220-012</t>
        </is>
      </c>
      <c r="B166" s="2" t="inlineStr">
        <is>
          <t>MNG-5X32-20M</t>
        </is>
      </c>
      <c r="C166" s="2" t="inlineStr">
        <is>
          <t>Manga 5x32 de 20 metros</t>
        </is>
      </c>
      <c r="D166" s="2" t="inlineStr">
        <is>
          <t>Disponible</t>
        </is>
      </c>
      <c r="E166" s="2" t="inlineStr"/>
    </row>
    <row r="167">
      <c r="A167" s="2" t="inlineStr">
        <is>
          <t>MNG53220-013</t>
        </is>
      </c>
      <c r="B167" s="2" t="inlineStr">
        <is>
          <t>MNG-5X32-20M</t>
        </is>
      </c>
      <c r="C167" s="2" t="inlineStr">
        <is>
          <t>Manga 5x32 de 20 metros</t>
        </is>
      </c>
      <c r="D167" s="2" t="inlineStr">
        <is>
          <t>Disponible</t>
        </is>
      </c>
      <c r="E167" s="2" t="inlineStr"/>
    </row>
    <row r="168">
      <c r="A168" s="2" t="inlineStr">
        <is>
          <t>MNG53220-014</t>
        </is>
      </c>
      <c r="B168" s="2" t="inlineStr">
        <is>
          <t>MNG-5X32-20M</t>
        </is>
      </c>
      <c r="C168" s="2" t="inlineStr">
        <is>
          <t>Manga 5x32 de 20 metros</t>
        </is>
      </c>
      <c r="D168" s="2" t="inlineStr">
        <is>
          <t>Disponible</t>
        </is>
      </c>
      <c r="E168" s="2" t="inlineStr"/>
    </row>
    <row r="169">
      <c r="A169" s="2" t="inlineStr">
        <is>
          <t>MNG53220-015</t>
        </is>
      </c>
      <c r="B169" s="2" t="inlineStr">
        <is>
          <t>MNG-5X32-20M</t>
        </is>
      </c>
      <c r="C169" s="2" t="inlineStr">
        <is>
          <t>Manga 5x32 de 20 metros</t>
        </is>
      </c>
      <c r="D169" s="2" t="inlineStr">
        <is>
          <t>Disponible</t>
        </is>
      </c>
      <c r="E169" s="2" t="inlineStr"/>
    </row>
    <row r="170">
      <c r="A170" s="2" t="inlineStr">
        <is>
          <t>MNG53220-016</t>
        </is>
      </c>
      <c r="B170" s="2" t="inlineStr">
        <is>
          <t>MNG-5X32-20M</t>
        </is>
      </c>
      <c r="C170" s="2" t="inlineStr">
        <is>
          <t>Manga 5x32 de 20 metros</t>
        </is>
      </c>
      <c r="D170" s="2" t="inlineStr">
        <is>
          <t>Disponible</t>
        </is>
      </c>
      <c r="E170" s="2" t="inlineStr"/>
    </row>
    <row r="171">
      <c r="A171" s="2" t="inlineStr">
        <is>
          <t>MNG53220-017</t>
        </is>
      </c>
      <c r="B171" s="2" t="inlineStr">
        <is>
          <t>MNG-5X32-20M</t>
        </is>
      </c>
      <c r="C171" s="2" t="inlineStr">
        <is>
          <t>Manga 5x32 de 20 metros</t>
        </is>
      </c>
      <c r="D171" s="2" t="inlineStr">
        <is>
          <t>Disponible</t>
        </is>
      </c>
      <c r="E171" s="2" t="inlineStr"/>
    </row>
    <row r="172">
      <c r="A172" s="2" t="inlineStr">
        <is>
          <t>MNG53220-018</t>
        </is>
      </c>
      <c r="B172" s="2" t="inlineStr">
        <is>
          <t>MNG-5X32-20M</t>
        </is>
      </c>
      <c r="C172" s="2" t="inlineStr">
        <is>
          <t>Manga 5x32 de 20 metros</t>
        </is>
      </c>
      <c r="D172" s="2" t="inlineStr">
        <is>
          <t>Disponible</t>
        </is>
      </c>
      <c r="E172" s="2" t="inlineStr"/>
    </row>
    <row r="173">
      <c r="A173" s="2" t="inlineStr">
        <is>
          <t>MNG53220-019</t>
        </is>
      </c>
      <c r="B173" s="2" t="inlineStr">
        <is>
          <t>MNG-5X32-20M</t>
        </is>
      </c>
      <c r="C173" s="2" t="inlineStr">
        <is>
          <t>Manga 5x32 de 20 metros</t>
        </is>
      </c>
      <c r="D173" s="2" t="inlineStr">
        <is>
          <t>Disponible</t>
        </is>
      </c>
      <c r="E173" s="2" t="inlineStr"/>
    </row>
    <row r="174">
      <c r="A174" s="2" t="inlineStr">
        <is>
          <t>MNG53220-020</t>
        </is>
      </c>
      <c r="B174" s="2" t="inlineStr">
        <is>
          <t>MNG-5X32-20M</t>
        </is>
      </c>
      <c r="C174" s="2" t="inlineStr">
        <is>
          <t>Manga 5x32 de 20 metros</t>
        </is>
      </c>
      <c r="D174" s="2" t="inlineStr">
        <is>
          <t>Disponible</t>
        </is>
      </c>
      <c r="E174" s="2" t="inlineStr"/>
    </row>
    <row r="175">
      <c r="A175" s="2" t="inlineStr">
        <is>
          <t>MNG53230-001</t>
        </is>
      </c>
      <c r="B175" s="2" t="inlineStr">
        <is>
          <t>MNG-5X32-30M</t>
        </is>
      </c>
      <c r="C175" s="2" t="inlineStr">
        <is>
          <t>Manga 5x32 de 30 metros</t>
        </is>
      </c>
      <c r="D175" s="2" t="inlineStr">
        <is>
          <t>Disponible</t>
        </is>
      </c>
      <c r="E175" s="2" t="inlineStr"/>
    </row>
    <row r="176">
      <c r="A176" s="2" t="inlineStr">
        <is>
          <t>MNG53230-002</t>
        </is>
      </c>
      <c r="B176" s="2" t="inlineStr">
        <is>
          <t>MNG-5X32-30M</t>
        </is>
      </c>
      <c r="C176" s="2" t="inlineStr">
        <is>
          <t>Manga 5x32 de 30 metros</t>
        </is>
      </c>
      <c r="D176" s="2" t="inlineStr">
        <is>
          <t>Disponible</t>
        </is>
      </c>
      <c r="E176" s="2" t="inlineStr"/>
    </row>
    <row r="177">
      <c r="A177" s="2" t="inlineStr">
        <is>
          <t>MNG53230-003</t>
        </is>
      </c>
      <c r="B177" s="2" t="inlineStr">
        <is>
          <t>MNG-5X32-30M</t>
        </is>
      </c>
      <c r="C177" s="2" t="inlineStr">
        <is>
          <t>Manga 5x32 de 30 metros</t>
        </is>
      </c>
      <c r="D177" s="2" t="inlineStr">
        <is>
          <t>Disponible</t>
        </is>
      </c>
      <c r="E177" s="2" t="inlineStr"/>
    </row>
    <row r="178">
      <c r="A178" s="2" t="inlineStr">
        <is>
          <t>MNG53230-004</t>
        </is>
      </c>
      <c r="B178" s="2" t="inlineStr">
        <is>
          <t>MNG-5X32-30M</t>
        </is>
      </c>
      <c r="C178" s="2" t="inlineStr">
        <is>
          <t>Manga 5x32 de 30 metros</t>
        </is>
      </c>
      <c r="D178" s="2" t="inlineStr">
        <is>
          <t>Disponible</t>
        </is>
      </c>
      <c r="E178" s="2" t="inlineStr"/>
    </row>
    <row r="179">
      <c r="A179" s="2" t="inlineStr">
        <is>
          <t>MNG53230-005</t>
        </is>
      </c>
      <c r="B179" s="2" t="inlineStr">
        <is>
          <t>MNG-5X32-30M</t>
        </is>
      </c>
      <c r="C179" s="2" t="inlineStr">
        <is>
          <t>Manga 5x32 de 30 metros</t>
        </is>
      </c>
      <c r="D179" s="2" t="inlineStr">
        <is>
          <t>Disponible</t>
        </is>
      </c>
      <c r="E179" s="2" t="inlineStr"/>
    </row>
    <row r="180">
      <c r="A180" s="2" t="inlineStr">
        <is>
          <t>MNG53230-006</t>
        </is>
      </c>
      <c r="B180" s="2" t="inlineStr">
        <is>
          <t>MNG-5X32-30M</t>
        </is>
      </c>
      <c r="C180" s="2" t="inlineStr">
        <is>
          <t>Manga 5x32 de 30 metros</t>
        </is>
      </c>
      <c r="D180" s="2" t="inlineStr">
        <is>
          <t>Disponible</t>
        </is>
      </c>
      <c r="E180" s="2" t="inlineStr"/>
    </row>
    <row r="181">
      <c r="A181" s="2" t="inlineStr">
        <is>
          <t>MNG53230-007</t>
        </is>
      </c>
      <c r="B181" s="2" t="inlineStr">
        <is>
          <t>MNG-5X32-30M</t>
        </is>
      </c>
      <c r="C181" s="2" t="inlineStr">
        <is>
          <t>Manga 5x32 de 30 metros</t>
        </is>
      </c>
      <c r="D181" s="2" t="inlineStr">
        <is>
          <t>Disponible</t>
        </is>
      </c>
      <c r="E181" s="2" t="inlineStr"/>
    </row>
    <row r="182">
      <c r="A182" s="2" t="inlineStr">
        <is>
          <t>MNG53230-008</t>
        </is>
      </c>
      <c r="B182" s="2" t="inlineStr">
        <is>
          <t>MNG-5X32-30M</t>
        </is>
      </c>
      <c r="C182" s="2" t="inlineStr">
        <is>
          <t>Manga 5x32 de 30 metros</t>
        </is>
      </c>
      <c r="D182" s="2" t="inlineStr">
        <is>
          <t>Disponible</t>
        </is>
      </c>
      <c r="E182" s="2" t="inlineStr"/>
    </row>
    <row r="183">
      <c r="A183" s="2" t="inlineStr">
        <is>
          <t>MNG53230-009</t>
        </is>
      </c>
      <c r="B183" s="2" t="inlineStr">
        <is>
          <t>MNG-5X32-30M</t>
        </is>
      </c>
      <c r="C183" s="2" t="inlineStr">
        <is>
          <t>Manga 5x32 de 30 metros</t>
        </is>
      </c>
      <c r="D183" s="2" t="inlineStr">
        <is>
          <t>Disponible</t>
        </is>
      </c>
      <c r="E183" s="2" t="inlineStr"/>
    </row>
    <row r="184">
      <c r="A184" s="2" t="inlineStr">
        <is>
          <t>MNG53230-010</t>
        </is>
      </c>
      <c r="B184" s="2" t="inlineStr">
        <is>
          <t>MNG-5X32-30M</t>
        </is>
      </c>
      <c r="C184" s="2" t="inlineStr">
        <is>
          <t>Manga 5x32 de 30 metros</t>
        </is>
      </c>
      <c r="D184" s="2" t="inlineStr">
        <is>
          <t>Disponible</t>
        </is>
      </c>
      <c r="E184" s="2" t="inlineStr"/>
    </row>
    <row r="185">
      <c r="A185" s="2" t="inlineStr">
        <is>
          <t>MNG53230-011</t>
        </is>
      </c>
      <c r="B185" s="2" t="inlineStr">
        <is>
          <t>MNG-5X32-30M</t>
        </is>
      </c>
      <c r="C185" s="2" t="inlineStr">
        <is>
          <t>Manga 5x32 de 30 metros</t>
        </is>
      </c>
      <c r="D185" s="2" t="inlineStr">
        <is>
          <t>Disponible</t>
        </is>
      </c>
      <c r="E185" s="2" t="inlineStr"/>
    </row>
    <row r="186">
      <c r="A186" s="2" t="inlineStr">
        <is>
          <t>MNG53230-012</t>
        </is>
      </c>
      <c r="B186" s="2" t="inlineStr">
        <is>
          <t>MNG-5X32-30M</t>
        </is>
      </c>
      <c r="C186" s="2" t="inlineStr">
        <is>
          <t>Manga 5x32 de 30 metros</t>
        </is>
      </c>
      <c r="D186" s="2" t="inlineStr">
        <is>
          <t>Disponible</t>
        </is>
      </c>
      <c r="E186" s="2" t="inlineStr"/>
    </row>
    <row r="187">
      <c r="A187" s="2" t="inlineStr">
        <is>
          <t>MNG53230-013</t>
        </is>
      </c>
      <c r="B187" s="2" t="inlineStr">
        <is>
          <t>MNG-5X32-30M</t>
        </is>
      </c>
      <c r="C187" s="2" t="inlineStr">
        <is>
          <t>Manga 5x32 de 30 metros</t>
        </is>
      </c>
      <c r="D187" s="2" t="inlineStr">
        <is>
          <t>Disponible</t>
        </is>
      </c>
      <c r="E187" s="2" t="inlineStr"/>
    </row>
    <row r="188">
      <c r="A188" s="2" t="inlineStr">
        <is>
          <t>MEN31620-001</t>
        </is>
      </c>
      <c r="B188" s="2" t="inlineStr">
        <is>
          <t>MEN-3X16-20M</t>
        </is>
      </c>
      <c r="C188" s="2" t="inlineStr">
        <is>
          <t>Meneque 3x16 de 20 metros</t>
        </is>
      </c>
      <c r="D188" s="2" t="inlineStr">
        <is>
          <t>Disponible</t>
        </is>
      </c>
      <c r="E188" s="2" t="inlineStr"/>
    </row>
    <row r="189">
      <c r="A189" s="2" t="inlineStr">
        <is>
          <t>MEN31620-002</t>
        </is>
      </c>
      <c r="B189" s="2" t="inlineStr">
        <is>
          <t>MEN-3X16-20M</t>
        </is>
      </c>
      <c r="C189" s="2" t="inlineStr">
        <is>
          <t>Meneque 3x16 de 20 metros</t>
        </is>
      </c>
      <c r="D189" s="2" t="inlineStr">
        <is>
          <t>Disponible</t>
        </is>
      </c>
      <c r="E189" s="2" t="inlineStr"/>
    </row>
    <row r="190">
      <c r="A190" s="2" t="inlineStr">
        <is>
          <t>MEN31620-003</t>
        </is>
      </c>
      <c r="B190" s="2" t="inlineStr">
        <is>
          <t>MEN-3X16-20M</t>
        </is>
      </c>
      <c r="C190" s="2" t="inlineStr">
        <is>
          <t>Meneque 3x16 de 20 metros</t>
        </is>
      </c>
      <c r="D190" s="2" t="inlineStr">
        <is>
          <t>Disponible</t>
        </is>
      </c>
      <c r="E190" s="2" t="inlineStr"/>
    </row>
    <row r="191">
      <c r="A191" s="2" t="inlineStr">
        <is>
          <t>MEN31620-004</t>
        </is>
      </c>
      <c r="B191" s="2" t="inlineStr">
        <is>
          <t>MEN-3X16-20M</t>
        </is>
      </c>
      <c r="C191" s="2" t="inlineStr">
        <is>
          <t>Meneque 3x16 de 20 metros</t>
        </is>
      </c>
      <c r="D191" s="2" t="inlineStr">
        <is>
          <t>Disponible</t>
        </is>
      </c>
      <c r="E191" s="2" t="inlineStr"/>
    </row>
    <row r="192">
      <c r="A192" s="2" t="inlineStr">
        <is>
          <t>MEN31620-005</t>
        </is>
      </c>
      <c r="B192" s="2" t="inlineStr">
        <is>
          <t>MEN-3X16-20M</t>
        </is>
      </c>
      <c r="C192" s="2" t="inlineStr">
        <is>
          <t>Meneque 3x16 de 20 metros</t>
        </is>
      </c>
      <c r="D192" s="2" t="inlineStr">
        <is>
          <t>Disponible</t>
        </is>
      </c>
      <c r="E192" s="2" t="inlineStr"/>
    </row>
    <row r="193">
      <c r="A193" s="2" t="inlineStr">
        <is>
          <t>MEN31620-006</t>
        </is>
      </c>
      <c r="B193" s="2" t="inlineStr">
        <is>
          <t>MEN-3X16-20M</t>
        </is>
      </c>
      <c r="C193" s="2" t="inlineStr">
        <is>
          <t>Meneque 3x16 de 20 metros</t>
        </is>
      </c>
      <c r="D193" s="2" t="inlineStr">
        <is>
          <t>Disponible</t>
        </is>
      </c>
      <c r="E193" s="2" t="inlineStr"/>
    </row>
    <row r="194">
      <c r="A194" s="2" t="inlineStr">
        <is>
          <t>MEN31620-007</t>
        </is>
      </c>
      <c r="B194" s="2" t="inlineStr">
        <is>
          <t>MEN-3X16-20M</t>
        </is>
      </c>
      <c r="C194" s="2" t="inlineStr">
        <is>
          <t>Meneque 3x16 de 20 metros</t>
        </is>
      </c>
      <c r="D194" s="2" t="inlineStr">
        <is>
          <t>Disponible</t>
        </is>
      </c>
      <c r="E194" s="2" t="inlineStr"/>
    </row>
    <row r="195">
      <c r="A195" s="2" t="inlineStr">
        <is>
          <t>MEN31620-008</t>
        </is>
      </c>
      <c r="B195" s="2" t="inlineStr">
        <is>
          <t>MEN-3X16-20M</t>
        </is>
      </c>
      <c r="C195" s="2" t="inlineStr">
        <is>
          <t>Meneque 3x16 de 20 metros</t>
        </is>
      </c>
      <c r="D195" s="2" t="inlineStr">
        <is>
          <t>Disponible</t>
        </is>
      </c>
      <c r="E195" s="2" t="inlineStr"/>
    </row>
    <row r="196">
      <c r="A196" s="2" t="inlineStr">
        <is>
          <t>MEN31620-009</t>
        </is>
      </c>
      <c r="B196" s="2" t="inlineStr">
        <is>
          <t>MEN-3X16-20M</t>
        </is>
      </c>
      <c r="C196" s="2" t="inlineStr">
        <is>
          <t>Meneque 3x16 de 20 metros</t>
        </is>
      </c>
      <c r="D196" s="2" t="inlineStr">
        <is>
          <t>Disponible</t>
        </is>
      </c>
      <c r="E196" s="2" t="inlineStr"/>
    </row>
    <row r="197">
      <c r="A197" s="2" t="inlineStr">
        <is>
          <t>MEN31620-010</t>
        </is>
      </c>
      <c r="B197" s="2" t="inlineStr">
        <is>
          <t>MEN-3X16-20M</t>
        </is>
      </c>
      <c r="C197" s="2" t="inlineStr">
        <is>
          <t>Meneque 3x16 de 20 metros</t>
        </is>
      </c>
      <c r="D197" s="2" t="inlineStr">
        <is>
          <t>Disponible</t>
        </is>
      </c>
      <c r="E197" s="2" t="inlineStr"/>
    </row>
    <row r="198">
      <c r="A198" s="2" t="inlineStr">
        <is>
          <t>MEN31620-011</t>
        </is>
      </c>
      <c r="B198" s="2" t="inlineStr">
        <is>
          <t>MEN-3X16-20M</t>
        </is>
      </c>
      <c r="C198" s="2" t="inlineStr">
        <is>
          <t>Meneque 3x16 de 20 metros</t>
        </is>
      </c>
      <c r="D198" s="2" t="inlineStr">
        <is>
          <t>Disponible</t>
        </is>
      </c>
      <c r="E198" s="2" t="inlineStr"/>
    </row>
    <row r="199">
      <c r="A199" s="2" t="inlineStr">
        <is>
          <t>MEN31620-012</t>
        </is>
      </c>
      <c r="B199" s="2" t="inlineStr">
        <is>
          <t>MEN-3X16-20M</t>
        </is>
      </c>
      <c r="C199" s="2" t="inlineStr">
        <is>
          <t>Meneque 3x16 de 20 metros</t>
        </is>
      </c>
      <c r="D199" s="2" t="inlineStr">
        <is>
          <t>Disponible</t>
        </is>
      </c>
      <c r="E199" s="2" t="inlineStr"/>
    </row>
    <row r="200">
      <c r="A200" s="2" t="inlineStr">
        <is>
          <t>MEN31620-013</t>
        </is>
      </c>
      <c r="B200" s="2" t="inlineStr">
        <is>
          <t>MEN-3X16-20M</t>
        </is>
      </c>
      <c r="C200" s="2" t="inlineStr">
        <is>
          <t>Meneque 3x16 de 20 metros</t>
        </is>
      </c>
      <c r="D200" s="2" t="inlineStr">
        <is>
          <t>Disponible</t>
        </is>
      </c>
      <c r="E200" s="2" t="inlineStr"/>
    </row>
    <row r="201">
      <c r="A201" s="2" t="inlineStr">
        <is>
          <t>MEN31620-014</t>
        </is>
      </c>
      <c r="B201" s="2" t="inlineStr">
        <is>
          <t>MEN-3X16-20M</t>
        </is>
      </c>
      <c r="C201" s="2" t="inlineStr">
        <is>
          <t>Meneque 3x16 de 20 metros</t>
        </is>
      </c>
      <c r="D201" s="2" t="inlineStr">
        <is>
          <t>Disponible</t>
        </is>
      </c>
      <c r="E201" s="2" t="inlineStr"/>
    </row>
    <row r="202">
      <c r="A202" s="2" t="inlineStr">
        <is>
          <t>MEN31620-015</t>
        </is>
      </c>
      <c r="B202" s="2" t="inlineStr">
        <is>
          <t>MEN-3X16-20M</t>
        </is>
      </c>
      <c r="C202" s="2" t="inlineStr">
        <is>
          <t>Meneque 3x16 de 20 metros</t>
        </is>
      </c>
      <c r="D202" s="2" t="inlineStr">
        <is>
          <t>Disponible</t>
        </is>
      </c>
      <c r="E202" s="2" t="inlineStr"/>
    </row>
    <row r="203">
      <c r="A203" s="2" t="inlineStr">
        <is>
          <t>MEN31620-016</t>
        </is>
      </c>
      <c r="B203" s="2" t="inlineStr">
        <is>
          <t>MEN-3X16-20M</t>
        </is>
      </c>
      <c r="C203" s="2" t="inlineStr">
        <is>
          <t>Meneque 3x16 de 20 metros</t>
        </is>
      </c>
      <c r="D203" s="2" t="inlineStr">
        <is>
          <t>Disponible</t>
        </is>
      </c>
      <c r="E203" s="2" t="inlineStr"/>
    </row>
    <row r="204">
      <c r="A204" s="2" t="inlineStr">
        <is>
          <t>MEN31620-017</t>
        </is>
      </c>
      <c r="B204" s="2" t="inlineStr">
        <is>
          <t>MEN-3X16-20M</t>
        </is>
      </c>
      <c r="C204" s="2" t="inlineStr">
        <is>
          <t>Meneque 3x16 de 20 metros</t>
        </is>
      </c>
      <c r="D204" s="2" t="inlineStr">
        <is>
          <t>Disponible</t>
        </is>
      </c>
      <c r="E204" s="2" t="inlineStr"/>
    </row>
    <row r="205">
      <c r="A205" s="2" t="inlineStr">
        <is>
          <t>MEN31620-018</t>
        </is>
      </c>
      <c r="B205" s="2" t="inlineStr">
        <is>
          <t>MEN-3X16-20M</t>
        </is>
      </c>
      <c r="C205" s="2" t="inlineStr">
        <is>
          <t>Meneque 3x16 de 20 metros</t>
        </is>
      </c>
      <c r="D205" s="2" t="inlineStr">
        <is>
          <t>Disponible</t>
        </is>
      </c>
      <c r="E205" s="2" t="inlineStr"/>
    </row>
    <row r="206">
      <c r="A206" s="2" t="inlineStr">
        <is>
          <t>MEN31620-019</t>
        </is>
      </c>
      <c r="B206" s="2" t="inlineStr">
        <is>
          <t>MEN-3X16-20M</t>
        </is>
      </c>
      <c r="C206" s="2" t="inlineStr">
        <is>
          <t>Meneque 3x16 de 20 metros</t>
        </is>
      </c>
      <c r="D206" s="2" t="inlineStr">
        <is>
          <t>Disponible</t>
        </is>
      </c>
      <c r="E206" s="2" t="inlineStr"/>
    </row>
    <row r="207">
      <c r="A207" s="2" t="inlineStr">
        <is>
          <t>MEN31620-020</t>
        </is>
      </c>
      <c r="B207" s="2" t="inlineStr">
        <is>
          <t>MEN-3X16-20M</t>
        </is>
      </c>
      <c r="C207" s="2" t="inlineStr">
        <is>
          <t>Meneque 3x16 de 20 metros</t>
        </is>
      </c>
      <c r="D207" s="2" t="inlineStr">
        <is>
          <t>Disponible</t>
        </is>
      </c>
      <c r="E207" s="2" t="inlineStr"/>
    </row>
    <row r="208">
      <c r="A208" s="2" t="inlineStr">
        <is>
          <t>MEN31620-021</t>
        </is>
      </c>
      <c r="B208" s="2" t="inlineStr">
        <is>
          <t>MEN-3X16-20M</t>
        </is>
      </c>
      <c r="C208" s="2" t="inlineStr">
        <is>
          <t>Meneque 3x16 de 20 metros</t>
        </is>
      </c>
      <c r="D208" s="2" t="inlineStr">
        <is>
          <t>Disponible</t>
        </is>
      </c>
      <c r="E208" s="2" t="inlineStr"/>
    </row>
    <row r="209">
      <c r="A209" s="2" t="inlineStr">
        <is>
          <t>MEN31620-022</t>
        </is>
      </c>
      <c r="B209" s="2" t="inlineStr">
        <is>
          <t>MEN-3X16-20M</t>
        </is>
      </c>
      <c r="C209" s="2" t="inlineStr">
        <is>
          <t>Meneque 3x16 de 20 metros</t>
        </is>
      </c>
      <c r="D209" s="2" t="inlineStr">
        <is>
          <t>Disponible</t>
        </is>
      </c>
      <c r="E209" s="2" t="inlineStr"/>
    </row>
    <row r="210">
      <c r="A210" s="2" t="inlineStr">
        <is>
          <t>MEN31620-023</t>
        </is>
      </c>
      <c r="B210" s="2" t="inlineStr">
        <is>
          <t>MEN-3X16-20M</t>
        </is>
      </c>
      <c r="C210" s="2" t="inlineStr">
        <is>
          <t>Meneque 3x16 de 20 metros</t>
        </is>
      </c>
      <c r="D210" s="2" t="inlineStr">
        <is>
          <t>Disponible</t>
        </is>
      </c>
      <c r="E210" s="2" t="inlineStr"/>
    </row>
    <row r="211">
      <c r="A211" s="2" t="inlineStr">
        <is>
          <t>MEN31620-024</t>
        </is>
      </c>
      <c r="B211" s="2" t="inlineStr">
        <is>
          <t>MEN-3X16-20M</t>
        </is>
      </c>
      <c r="C211" s="2" t="inlineStr">
        <is>
          <t>Meneque 3x16 de 20 metros</t>
        </is>
      </c>
      <c r="D211" s="2" t="inlineStr">
        <is>
          <t>Disponible</t>
        </is>
      </c>
      <c r="E211" s="2" t="inlineStr"/>
    </row>
    <row r="212">
      <c r="A212" s="2" t="inlineStr">
        <is>
          <t>MEN31620-025</t>
        </is>
      </c>
      <c r="B212" s="2" t="inlineStr">
        <is>
          <t>MEN-3X16-20M</t>
        </is>
      </c>
      <c r="C212" s="2" t="inlineStr">
        <is>
          <t>Meneque 3x16 de 20 metros</t>
        </is>
      </c>
      <c r="D212" s="2" t="inlineStr">
        <is>
          <t>Disponible</t>
        </is>
      </c>
      <c r="E212" s="2" t="inlineStr"/>
    </row>
    <row r="213">
      <c r="A213" s="2" t="inlineStr">
        <is>
          <t>MEN31620-026</t>
        </is>
      </c>
      <c r="B213" s="2" t="inlineStr">
        <is>
          <t>MEN-3X16-20M</t>
        </is>
      </c>
      <c r="C213" s="2" t="inlineStr">
        <is>
          <t>Meneque 3x16 de 20 metros</t>
        </is>
      </c>
      <c r="D213" s="2" t="inlineStr">
        <is>
          <t>Disponible</t>
        </is>
      </c>
      <c r="E213" s="2" t="inlineStr"/>
    </row>
    <row r="214">
      <c r="A214" s="2" t="inlineStr">
        <is>
          <t>MEN31620-027</t>
        </is>
      </c>
      <c r="B214" s="2" t="inlineStr">
        <is>
          <t>MEN-3X16-20M</t>
        </is>
      </c>
      <c r="C214" s="2" t="inlineStr">
        <is>
          <t>Meneque 3x16 de 20 metros</t>
        </is>
      </c>
      <c r="D214" s="2" t="inlineStr">
        <is>
          <t>Disponible</t>
        </is>
      </c>
      <c r="E214" s="2" t="inlineStr"/>
    </row>
    <row r="215">
      <c r="A215" s="2" t="inlineStr">
        <is>
          <t>MEN31620-028</t>
        </is>
      </c>
      <c r="B215" s="2" t="inlineStr">
        <is>
          <t>MEN-3X16-20M</t>
        </is>
      </c>
      <c r="C215" s="2" t="inlineStr">
        <is>
          <t>Meneque 3x16 de 20 metros</t>
        </is>
      </c>
      <c r="D215" s="2" t="inlineStr">
        <is>
          <t>Disponible</t>
        </is>
      </c>
      <c r="E215" s="2" t="inlineStr"/>
    </row>
    <row r="216">
      <c r="A216" s="2" t="inlineStr">
        <is>
          <t>MEN31620-029</t>
        </is>
      </c>
      <c r="B216" s="2" t="inlineStr">
        <is>
          <t>MEN-3X16-20M</t>
        </is>
      </c>
      <c r="C216" s="2" t="inlineStr">
        <is>
          <t>Meneque 3x16 de 20 metros</t>
        </is>
      </c>
      <c r="D216" s="2" t="inlineStr">
        <is>
          <t>Disponible</t>
        </is>
      </c>
      <c r="E216" s="2" t="inlineStr"/>
    </row>
    <row r="217">
      <c r="A217" s="2" t="inlineStr">
        <is>
          <t>MEN31620-030</t>
        </is>
      </c>
      <c r="B217" s="2" t="inlineStr">
        <is>
          <t>MEN-3X16-20M</t>
        </is>
      </c>
      <c r="C217" s="2" t="inlineStr">
        <is>
          <t>Meneque 3x16 de 20 metros</t>
        </is>
      </c>
      <c r="D217" s="2" t="inlineStr">
        <is>
          <t>Disponible</t>
        </is>
      </c>
      <c r="E217" s="2" t="inlineStr"/>
    </row>
    <row r="218">
      <c r="A218" s="2" t="inlineStr">
        <is>
          <t>MEN31614-001</t>
        </is>
      </c>
      <c r="B218" s="2" t="inlineStr">
        <is>
          <t>MEN-3X16-14M</t>
        </is>
      </c>
      <c r="C218" s="2" t="inlineStr">
        <is>
          <t>Meneque 3x16 de 14 metros</t>
        </is>
      </c>
      <c r="D218" s="2" t="inlineStr">
        <is>
          <t>Disponible</t>
        </is>
      </c>
      <c r="E218" s="2" t="inlineStr"/>
    </row>
    <row r="219">
      <c r="A219" s="2" t="inlineStr">
        <is>
          <t>MEN31614-002</t>
        </is>
      </c>
      <c r="B219" s="2" t="inlineStr">
        <is>
          <t>MEN-3X16-14M</t>
        </is>
      </c>
      <c r="C219" s="2" t="inlineStr">
        <is>
          <t>Meneque 3x16 de 14 metros</t>
        </is>
      </c>
      <c r="D219" s="2" t="inlineStr">
        <is>
          <t>Disponible</t>
        </is>
      </c>
      <c r="E219" s="2" t="inlineStr"/>
    </row>
    <row r="220">
      <c r="A220" s="2" t="inlineStr">
        <is>
          <t>MEN31614-003</t>
        </is>
      </c>
      <c r="B220" s="2" t="inlineStr">
        <is>
          <t>MEN-3X16-14M</t>
        </is>
      </c>
      <c r="C220" s="2" t="inlineStr">
        <is>
          <t>Meneque 3x16 de 14 metros</t>
        </is>
      </c>
      <c r="D220" s="2" t="inlineStr">
        <is>
          <t>Disponible</t>
        </is>
      </c>
      <c r="E220" s="2" t="inlineStr"/>
    </row>
    <row r="221">
      <c r="A221" s="2" t="inlineStr">
        <is>
          <t>MEN31614-004</t>
        </is>
      </c>
      <c r="B221" s="2" t="inlineStr">
        <is>
          <t>MEN-3X16-14M</t>
        </is>
      </c>
      <c r="C221" s="2" t="inlineStr">
        <is>
          <t>Meneque 3x16 de 14 metros</t>
        </is>
      </c>
      <c r="D221" s="2" t="inlineStr">
        <is>
          <t>Disponible</t>
        </is>
      </c>
      <c r="E221" s="2" t="inlineStr"/>
    </row>
    <row r="222">
      <c r="A222" s="2" t="inlineStr">
        <is>
          <t>MEN31614-005</t>
        </is>
      </c>
      <c r="B222" s="2" t="inlineStr">
        <is>
          <t>MEN-3X16-14M</t>
        </is>
      </c>
      <c r="C222" s="2" t="inlineStr">
        <is>
          <t>Meneque 3x16 de 14 metros</t>
        </is>
      </c>
      <c r="D222" s="2" t="inlineStr">
        <is>
          <t>Disponible</t>
        </is>
      </c>
      <c r="E222" s="2" t="inlineStr"/>
    </row>
    <row r="223">
      <c r="A223" s="2" t="inlineStr">
        <is>
          <t>MEN31614-006</t>
        </is>
      </c>
      <c r="B223" s="2" t="inlineStr">
        <is>
          <t>MEN-3X16-14M</t>
        </is>
      </c>
      <c r="C223" s="2" t="inlineStr">
        <is>
          <t>Meneque 3x16 de 14 metros</t>
        </is>
      </c>
      <c r="D223" s="2" t="inlineStr">
        <is>
          <t>Disponible</t>
        </is>
      </c>
      <c r="E223" s="2" t="inlineStr"/>
    </row>
    <row r="224">
      <c r="A224" s="2" t="inlineStr">
        <is>
          <t>MEN31614-007</t>
        </is>
      </c>
      <c r="B224" s="2" t="inlineStr">
        <is>
          <t>MEN-3X16-14M</t>
        </is>
      </c>
      <c r="C224" s="2" t="inlineStr">
        <is>
          <t>Meneque 3x16 de 14 metros</t>
        </is>
      </c>
      <c r="D224" s="2" t="inlineStr">
        <is>
          <t>Disponible</t>
        </is>
      </c>
      <c r="E224" s="2" t="inlineStr"/>
    </row>
    <row r="225">
      <c r="A225" s="2" t="inlineStr">
        <is>
          <t>MEN31614-008</t>
        </is>
      </c>
      <c r="B225" s="2" t="inlineStr">
        <is>
          <t>MEN-3X16-14M</t>
        </is>
      </c>
      <c r="C225" s="2" t="inlineStr">
        <is>
          <t>Meneque 3x16 de 14 metros</t>
        </is>
      </c>
      <c r="D225" s="2" t="inlineStr">
        <is>
          <t>Disponible</t>
        </is>
      </c>
      <c r="E225" s="2" t="inlineStr"/>
    </row>
    <row r="226">
      <c r="A226" s="2" t="inlineStr">
        <is>
          <t>MEN31614-009</t>
        </is>
      </c>
      <c r="B226" s="2" t="inlineStr">
        <is>
          <t>MEN-3X16-14M</t>
        </is>
      </c>
      <c r="C226" s="2" t="inlineStr">
        <is>
          <t>Meneque 3x16 de 14 metros</t>
        </is>
      </c>
      <c r="D226" s="2" t="inlineStr">
        <is>
          <t>Disponible</t>
        </is>
      </c>
      <c r="E226" s="2" t="inlineStr"/>
    </row>
    <row r="227">
      <c r="A227" s="2" t="inlineStr">
        <is>
          <t>MEN31614-010</t>
        </is>
      </c>
      <c r="B227" s="2" t="inlineStr">
        <is>
          <t>MEN-3X16-14M</t>
        </is>
      </c>
      <c r="C227" s="2" t="inlineStr">
        <is>
          <t>Meneque 3x16 de 14 metros</t>
        </is>
      </c>
      <c r="D227" s="2" t="inlineStr">
        <is>
          <t>Disponible</t>
        </is>
      </c>
      <c r="E227" s="2" t="inlineStr"/>
    </row>
    <row r="228">
      <c r="A228" s="2" t="inlineStr">
        <is>
          <t>MEN31614-011</t>
        </is>
      </c>
      <c r="B228" s="2" t="inlineStr">
        <is>
          <t>MEN-3X16-14M</t>
        </is>
      </c>
      <c r="C228" s="2" t="inlineStr">
        <is>
          <t>Meneque 3x16 de 14 metros</t>
        </is>
      </c>
      <c r="D228" s="2" t="inlineStr">
        <is>
          <t>Disponible</t>
        </is>
      </c>
      <c r="E228" s="2" t="inlineStr"/>
    </row>
    <row r="229">
      <c r="A229" s="2" t="inlineStr">
        <is>
          <t>MEN31614-012</t>
        </is>
      </c>
      <c r="B229" s="2" t="inlineStr">
        <is>
          <t>MEN-3X16-14M</t>
        </is>
      </c>
      <c r="C229" s="2" t="inlineStr">
        <is>
          <t>Meneque 3x16 de 14 metros</t>
        </is>
      </c>
      <c r="D229" s="2" t="inlineStr">
        <is>
          <t>Disponible</t>
        </is>
      </c>
      <c r="E229" s="2" t="inlineStr"/>
    </row>
    <row r="230">
      <c r="A230" s="2" t="inlineStr">
        <is>
          <t>MEN31614-013</t>
        </is>
      </c>
      <c r="B230" s="2" t="inlineStr">
        <is>
          <t>MEN-3X16-14M</t>
        </is>
      </c>
      <c r="C230" s="2" t="inlineStr">
        <is>
          <t>Meneque 3x16 de 14 metros</t>
        </is>
      </c>
      <c r="D230" s="2" t="inlineStr">
        <is>
          <t>Disponible</t>
        </is>
      </c>
      <c r="E230" s="2" t="inlineStr"/>
    </row>
    <row r="231">
      <c r="A231" s="2" t="inlineStr">
        <is>
          <t>MEN31614-014</t>
        </is>
      </c>
      <c r="B231" s="2" t="inlineStr">
        <is>
          <t>MEN-3X16-14M</t>
        </is>
      </c>
      <c r="C231" s="2" t="inlineStr">
        <is>
          <t>Meneque 3x16 de 14 metros</t>
        </is>
      </c>
      <c r="D231" s="2" t="inlineStr">
        <is>
          <t>Disponible</t>
        </is>
      </c>
      <c r="E231" s="2" t="inlineStr"/>
    </row>
    <row r="232">
      <c r="A232" s="2" t="inlineStr">
        <is>
          <t>MEN31614-015</t>
        </is>
      </c>
      <c r="B232" s="2" t="inlineStr">
        <is>
          <t>MEN-3X16-14M</t>
        </is>
      </c>
      <c r="C232" s="2" t="inlineStr">
        <is>
          <t>Meneque 3x16 de 14 metros</t>
        </is>
      </c>
      <c r="D232" s="2" t="inlineStr">
        <is>
          <t>Disponible</t>
        </is>
      </c>
      <c r="E232" s="2" t="inlineStr"/>
    </row>
    <row r="233">
      <c r="A233" s="2" t="inlineStr">
        <is>
          <t>MEN31614-016</t>
        </is>
      </c>
      <c r="B233" s="2" t="inlineStr">
        <is>
          <t>MEN-3X16-14M</t>
        </is>
      </c>
      <c r="C233" s="2" t="inlineStr">
        <is>
          <t>Meneque 3x16 de 14 metros</t>
        </is>
      </c>
      <c r="D233" s="2" t="inlineStr">
        <is>
          <t>Disponible</t>
        </is>
      </c>
      <c r="E233" s="2" t="inlineStr"/>
    </row>
    <row r="234">
      <c r="A234" s="2" t="inlineStr">
        <is>
          <t>MEN31614-017</t>
        </is>
      </c>
      <c r="B234" s="2" t="inlineStr">
        <is>
          <t>MEN-3X16-14M</t>
        </is>
      </c>
      <c r="C234" s="2" t="inlineStr">
        <is>
          <t>Meneque 3x16 de 14 metros</t>
        </is>
      </c>
      <c r="D234" s="2" t="inlineStr">
        <is>
          <t>Disponible</t>
        </is>
      </c>
      <c r="E234" s="2" t="inlineStr"/>
    </row>
    <row r="235">
      <c r="A235" s="2" t="inlineStr">
        <is>
          <t>MEN516A16-001</t>
        </is>
      </c>
      <c r="B235" s="2" t="inlineStr">
        <is>
          <t>MEN-5X16-A-16A</t>
        </is>
      </c>
      <c r="C235" s="2" t="inlineStr">
        <is>
          <t>Meneque 5x16 a 16A</t>
        </is>
      </c>
      <c r="D235" s="2" t="inlineStr">
        <is>
          <t>Disponible</t>
        </is>
      </c>
      <c r="E235" s="2" t="inlineStr"/>
    </row>
    <row r="236">
      <c r="A236" s="2" t="inlineStr">
        <is>
          <t>MEN516A16-002</t>
        </is>
      </c>
      <c r="B236" s="2" t="inlineStr">
        <is>
          <t>MEN-5X16-A-16A</t>
        </is>
      </c>
      <c r="C236" s="2" t="inlineStr">
        <is>
          <t>Meneque 5x16 a 16A</t>
        </is>
      </c>
      <c r="D236" s="2" t="inlineStr">
        <is>
          <t>Disponible</t>
        </is>
      </c>
      <c r="E236" s="2" t="inlineStr"/>
    </row>
    <row r="237">
      <c r="A237" s="2" t="inlineStr">
        <is>
          <t>MEN516A16-003</t>
        </is>
      </c>
      <c r="B237" s="2" t="inlineStr">
        <is>
          <t>MEN-5X16-A-16A</t>
        </is>
      </c>
      <c r="C237" s="2" t="inlineStr">
        <is>
          <t>Meneque 5x16 a 16A</t>
        </is>
      </c>
      <c r="D237" s="2" t="inlineStr">
        <is>
          <t>Disponible</t>
        </is>
      </c>
      <c r="E237" s="2" t="inlineStr"/>
    </row>
    <row r="238">
      <c r="A238" s="2" t="inlineStr">
        <is>
          <t>MEN516A16-004</t>
        </is>
      </c>
      <c r="B238" s="2" t="inlineStr">
        <is>
          <t>MEN-5X16-A-16A</t>
        </is>
      </c>
      <c r="C238" s="2" t="inlineStr">
        <is>
          <t>Meneque 5x16 a 16A</t>
        </is>
      </c>
      <c r="D238" s="2" t="inlineStr">
        <is>
          <t>Disponible</t>
        </is>
      </c>
      <c r="E238" s="2" t="inlineStr"/>
    </row>
    <row r="239">
      <c r="A239" s="2" t="inlineStr">
        <is>
          <t>MEN516A16-005</t>
        </is>
      </c>
      <c r="B239" s="2" t="inlineStr">
        <is>
          <t>MEN-5X16-A-16A</t>
        </is>
      </c>
      <c r="C239" s="2" t="inlineStr">
        <is>
          <t>Meneque 5x16 a 16A</t>
        </is>
      </c>
      <c r="D239" s="2" t="inlineStr">
        <is>
          <t>Disponible</t>
        </is>
      </c>
      <c r="E239" s="2" t="inlineStr"/>
    </row>
    <row r="240">
      <c r="A240" s="2" t="inlineStr">
        <is>
          <t>MEN516A16-006</t>
        </is>
      </c>
      <c r="B240" s="2" t="inlineStr">
        <is>
          <t>MEN-5X16-A-16A</t>
        </is>
      </c>
      <c r="C240" s="2" t="inlineStr">
        <is>
          <t>Meneque 5x16 a 16A</t>
        </is>
      </c>
      <c r="D240" s="2" t="inlineStr">
        <is>
          <t>Disponible</t>
        </is>
      </c>
      <c r="E240" s="2" t="inlineStr"/>
    </row>
    <row r="241">
      <c r="A241" s="2" t="inlineStr">
        <is>
          <t>MEN516A16-007</t>
        </is>
      </c>
      <c r="B241" s="2" t="inlineStr">
        <is>
          <t>MEN-5X16-A-16A</t>
        </is>
      </c>
      <c r="C241" s="2" t="inlineStr">
        <is>
          <t>Meneque 5x16 a 16A</t>
        </is>
      </c>
      <c r="D241" s="2" t="inlineStr">
        <is>
          <t>Disponible</t>
        </is>
      </c>
      <c r="E241" s="2" t="inlineStr"/>
    </row>
    <row r="242">
      <c r="A242" s="2" t="inlineStr">
        <is>
          <t>MEN516A16-008</t>
        </is>
      </c>
      <c r="B242" s="2" t="inlineStr">
        <is>
          <t>MEN-5X16-A-16A</t>
        </is>
      </c>
      <c r="C242" s="2" t="inlineStr">
        <is>
          <t>Meneque 5x16 a 16A</t>
        </is>
      </c>
      <c r="D242" s="2" t="inlineStr">
        <is>
          <t>Disponible</t>
        </is>
      </c>
      <c r="E242" s="2" t="inlineStr"/>
    </row>
    <row r="243">
      <c r="A243" s="2" t="inlineStr">
        <is>
          <t>MEN516A16-009</t>
        </is>
      </c>
      <c r="B243" s="2" t="inlineStr">
        <is>
          <t>MEN-5X16-A-16A</t>
        </is>
      </c>
      <c r="C243" s="2" t="inlineStr">
        <is>
          <t>Meneque 5x16 a 16A</t>
        </is>
      </c>
      <c r="D243" s="2" t="inlineStr">
        <is>
          <t>Disponible</t>
        </is>
      </c>
      <c r="E243" s="2" t="inlineStr"/>
    </row>
    <row r="244">
      <c r="A244" s="2" t="inlineStr">
        <is>
          <t>MEN516A16-010</t>
        </is>
      </c>
      <c r="B244" s="2" t="inlineStr">
        <is>
          <t>MEN-5X16-A-16A</t>
        </is>
      </c>
      <c r="C244" s="2" t="inlineStr">
        <is>
          <t>Meneque 5x16 a 16A</t>
        </is>
      </c>
      <c r="D244" s="2" t="inlineStr">
        <is>
          <t>Disponible</t>
        </is>
      </c>
      <c r="E244" s="2" t="inlineStr"/>
    </row>
    <row r="245">
      <c r="A245" s="2" t="inlineStr">
        <is>
          <t>MEN516A16-011</t>
        </is>
      </c>
      <c r="B245" s="2" t="inlineStr">
        <is>
          <t>MEN-5X16-A-16A</t>
        </is>
      </c>
      <c r="C245" s="2" t="inlineStr">
        <is>
          <t>Meneque 5x16 a 16A</t>
        </is>
      </c>
      <c r="D245" s="2" t="inlineStr">
        <is>
          <t>Disponible</t>
        </is>
      </c>
      <c r="E245" s="2" t="inlineStr"/>
    </row>
    <row r="246">
      <c r="A246" s="2" t="inlineStr">
        <is>
          <t>MEN516A16-012</t>
        </is>
      </c>
      <c r="B246" s="2" t="inlineStr">
        <is>
          <t>MEN-5X16-A-16A</t>
        </is>
      </c>
      <c r="C246" s="2" t="inlineStr">
        <is>
          <t>Meneque 5x16 a 16A</t>
        </is>
      </c>
      <c r="D246" s="2" t="inlineStr">
        <is>
          <t>Disponible</t>
        </is>
      </c>
      <c r="E246" s="2" t="inlineStr"/>
    </row>
    <row r="247">
      <c r="A247" s="2" t="inlineStr">
        <is>
          <t>MEN516A16-013</t>
        </is>
      </c>
      <c r="B247" s="2" t="inlineStr">
        <is>
          <t>MEN-5X16-A-16A</t>
        </is>
      </c>
      <c r="C247" s="2" t="inlineStr">
        <is>
          <t>Meneque 5x16 a 16A</t>
        </is>
      </c>
      <c r="D247" s="2" t="inlineStr">
        <is>
          <t>Disponible</t>
        </is>
      </c>
      <c r="E247" s="2" t="inlineStr"/>
    </row>
    <row r="248">
      <c r="A248" s="2" t="inlineStr">
        <is>
          <t>MEN516A16-014</t>
        </is>
      </c>
      <c r="B248" s="2" t="inlineStr">
        <is>
          <t>MEN-5X16-A-16A</t>
        </is>
      </c>
      <c r="C248" s="2" t="inlineStr">
        <is>
          <t>Meneque 5x16 a 16A</t>
        </is>
      </c>
      <c r="D248" s="2" t="inlineStr">
        <is>
          <t>Disponible</t>
        </is>
      </c>
      <c r="E248" s="2" t="inlineStr"/>
    </row>
    <row r="249">
      <c r="A249" s="2" t="inlineStr">
        <is>
          <t>MEN516A16-015</t>
        </is>
      </c>
      <c r="B249" s="2" t="inlineStr">
        <is>
          <t>MEN-5X16-A-16A</t>
        </is>
      </c>
      <c r="C249" s="2" t="inlineStr">
        <is>
          <t>Meneque 5x16 a 16A</t>
        </is>
      </c>
      <c r="D249" s="2" t="inlineStr">
        <is>
          <t>Disponible</t>
        </is>
      </c>
      <c r="E249" s="2" t="inlineStr"/>
    </row>
    <row r="250">
      <c r="A250" s="2" t="inlineStr">
        <is>
          <t>MEN31630-001</t>
        </is>
      </c>
      <c r="B250" s="2" t="inlineStr">
        <is>
          <t>MEN-3X16-30M</t>
        </is>
      </c>
      <c r="C250" s="2" t="inlineStr">
        <is>
          <t>Meneke 3x16 de 30 metros</t>
        </is>
      </c>
      <c r="D250" s="2" t="inlineStr">
        <is>
          <t>Disponible</t>
        </is>
      </c>
      <c r="E250" s="2" t="inlineStr"/>
    </row>
    <row r="251">
      <c r="A251" s="2" t="inlineStr">
        <is>
          <t>MEN31630-002</t>
        </is>
      </c>
      <c r="B251" s="2" t="inlineStr">
        <is>
          <t>MEN-3X16-30M</t>
        </is>
      </c>
      <c r="C251" s="2" t="inlineStr">
        <is>
          <t>Meneke 3x16 de 30 metros</t>
        </is>
      </c>
      <c r="D251" s="2" t="inlineStr">
        <is>
          <t>Disponible</t>
        </is>
      </c>
      <c r="E251" s="2" t="inlineStr"/>
    </row>
    <row r="252">
      <c r="A252" s="2" t="inlineStr">
        <is>
          <t>MEN31630-003</t>
        </is>
      </c>
      <c r="B252" s="2" t="inlineStr">
        <is>
          <t>MEN-3X16-30M</t>
        </is>
      </c>
      <c r="C252" s="2" t="inlineStr">
        <is>
          <t>Meneke 3x16 de 30 metros</t>
        </is>
      </c>
      <c r="D252" s="2" t="inlineStr">
        <is>
          <t>Disponible</t>
        </is>
      </c>
      <c r="E252" s="2" t="inlineStr"/>
    </row>
    <row r="253">
      <c r="A253" s="2" t="inlineStr">
        <is>
          <t>MEN31630-004</t>
        </is>
      </c>
      <c r="B253" s="2" t="inlineStr">
        <is>
          <t>MEN-3X16-30M</t>
        </is>
      </c>
      <c r="C253" s="2" t="inlineStr">
        <is>
          <t>Meneke 3x16 de 30 metros</t>
        </is>
      </c>
      <c r="D253" s="2" t="inlineStr">
        <is>
          <t>Disponible</t>
        </is>
      </c>
      <c r="E253" s="2" t="inlineStr"/>
    </row>
    <row r="254">
      <c r="A254" s="2" t="inlineStr">
        <is>
          <t>MEN31630-005</t>
        </is>
      </c>
      <c r="B254" s="2" t="inlineStr">
        <is>
          <t>MEN-3X16-30M</t>
        </is>
      </c>
      <c r="C254" s="2" t="inlineStr">
        <is>
          <t>Meneke 3x16 de 30 metros</t>
        </is>
      </c>
      <c r="D254" s="2" t="inlineStr">
        <is>
          <t>Disponible</t>
        </is>
      </c>
      <c r="E254" s="2" t="inlineStr"/>
    </row>
    <row r="255">
      <c r="A255" s="2" t="inlineStr">
        <is>
          <t>MEN31630-006</t>
        </is>
      </c>
      <c r="B255" s="2" t="inlineStr">
        <is>
          <t>MEN-3X16-30M</t>
        </is>
      </c>
      <c r="C255" s="2" t="inlineStr">
        <is>
          <t>Meneke 3x16 de 30 metros</t>
        </is>
      </c>
      <c r="D255" s="2" t="inlineStr">
        <is>
          <t>Disponible</t>
        </is>
      </c>
      <c r="E255" s="2" t="inlineStr"/>
    </row>
    <row r="256">
      <c r="A256" s="2" t="inlineStr">
        <is>
          <t>MEN31630-007</t>
        </is>
      </c>
      <c r="B256" s="2" t="inlineStr">
        <is>
          <t>MEN-3X16-30M</t>
        </is>
      </c>
      <c r="C256" s="2" t="inlineStr">
        <is>
          <t>Meneke 3x16 de 30 metros</t>
        </is>
      </c>
      <c r="D256" s="2" t="inlineStr">
        <is>
          <t>Disponible</t>
        </is>
      </c>
      <c r="E256" s="2" t="inlineStr"/>
    </row>
    <row r="257">
      <c r="A257" s="2" t="inlineStr">
        <is>
          <t>MEN31630-008</t>
        </is>
      </c>
      <c r="B257" s="2" t="inlineStr">
        <is>
          <t>MEN-3X16-30M</t>
        </is>
      </c>
      <c r="C257" s="2" t="inlineStr">
        <is>
          <t>Meneke 3x16 de 30 metros</t>
        </is>
      </c>
      <c r="D257" s="2" t="inlineStr">
        <is>
          <t>Disponible</t>
        </is>
      </c>
      <c r="E257" s="2" t="inlineStr"/>
    </row>
    <row r="258">
      <c r="A258" s="2" t="inlineStr">
        <is>
          <t>MEN31630-009</t>
        </is>
      </c>
      <c r="B258" s="2" t="inlineStr">
        <is>
          <t>MEN-3X16-30M</t>
        </is>
      </c>
      <c r="C258" s="2" t="inlineStr">
        <is>
          <t>Meneke 3x16 de 30 metros</t>
        </is>
      </c>
      <c r="D258" s="2" t="inlineStr">
        <is>
          <t>Disponible</t>
        </is>
      </c>
      <c r="E258" s="2" t="inlineStr"/>
    </row>
    <row r="259">
      <c r="A259" s="2" t="inlineStr">
        <is>
          <t>MEN31630-010</t>
        </is>
      </c>
      <c r="B259" s="2" t="inlineStr">
        <is>
          <t>MEN-3X16-30M</t>
        </is>
      </c>
      <c r="C259" s="2" t="inlineStr">
        <is>
          <t>Meneke 3x16 de 30 metros</t>
        </is>
      </c>
      <c r="D259" s="2" t="inlineStr">
        <is>
          <t>Disponible</t>
        </is>
      </c>
      <c r="E259" s="2" t="inlineStr"/>
    </row>
    <row r="260">
      <c r="A260" s="2" t="inlineStr">
        <is>
          <t>MEN31630-011</t>
        </is>
      </c>
      <c r="B260" s="2" t="inlineStr">
        <is>
          <t>MEN-3X16-30M</t>
        </is>
      </c>
      <c r="C260" s="2" t="inlineStr">
        <is>
          <t>Meneke 3x16 de 30 metros</t>
        </is>
      </c>
      <c r="D260" s="2" t="inlineStr">
        <is>
          <t>Disponible</t>
        </is>
      </c>
      <c r="E260" s="2" t="inlineStr"/>
    </row>
    <row r="261">
      <c r="A261" s="2" t="inlineStr">
        <is>
          <t>MEN31630-012</t>
        </is>
      </c>
      <c r="B261" s="2" t="inlineStr">
        <is>
          <t>MEN-3X16-30M</t>
        </is>
      </c>
      <c r="C261" s="2" t="inlineStr">
        <is>
          <t>Meneke 3x16 de 30 metros</t>
        </is>
      </c>
      <c r="D261" s="2" t="inlineStr">
        <is>
          <t>Disponible</t>
        </is>
      </c>
      <c r="E261" s="2" t="inlineStr"/>
    </row>
    <row r="262">
      <c r="A262" s="2" t="inlineStr">
        <is>
          <t>MEN31630-013</t>
        </is>
      </c>
      <c r="B262" s="2" t="inlineStr">
        <is>
          <t>MEN-3X16-30M</t>
        </is>
      </c>
      <c r="C262" s="2" t="inlineStr">
        <is>
          <t>Meneke 3x16 de 30 metros</t>
        </is>
      </c>
      <c r="D262" s="2" t="inlineStr">
        <is>
          <t>Disponible</t>
        </is>
      </c>
      <c r="E262" s="2" t="inlineStr"/>
    </row>
    <row r="263">
      <c r="A263" s="2" t="inlineStr">
        <is>
          <t>MEN31630-014</t>
        </is>
      </c>
      <c r="B263" s="2" t="inlineStr">
        <is>
          <t>MEN-3X16-30M</t>
        </is>
      </c>
      <c r="C263" s="2" t="inlineStr">
        <is>
          <t>Meneke 3x16 de 30 metros</t>
        </is>
      </c>
      <c r="D263" s="2" t="inlineStr">
        <is>
          <t>Disponible</t>
        </is>
      </c>
      <c r="E263" s="2" t="inlineStr"/>
    </row>
    <row r="264">
      <c r="A264" s="2" t="inlineStr">
        <is>
          <t>MEN31630-015</t>
        </is>
      </c>
      <c r="B264" s="2" t="inlineStr">
        <is>
          <t>MEN-3X16-30M</t>
        </is>
      </c>
      <c r="C264" s="2" t="inlineStr">
        <is>
          <t>Meneke 3x16 de 30 metros</t>
        </is>
      </c>
      <c r="D264" s="2" t="inlineStr">
        <is>
          <t>Disponible</t>
        </is>
      </c>
      <c r="E264" s="2" t="inlineStr"/>
    </row>
    <row r="265">
      <c r="A265" s="2" t="inlineStr">
        <is>
          <t>MEN31630-016</t>
        </is>
      </c>
      <c r="B265" s="2" t="inlineStr">
        <is>
          <t>MEN-3X16-30M</t>
        </is>
      </c>
      <c r="C265" s="2" t="inlineStr">
        <is>
          <t>Meneke 3x16 de 30 metros</t>
        </is>
      </c>
      <c r="D265" s="2" t="inlineStr">
        <is>
          <t>Disponible</t>
        </is>
      </c>
      <c r="E265" s="2" t="inlineStr"/>
    </row>
    <row r="266">
      <c r="A266" s="2" t="inlineStr">
        <is>
          <t>MEN31630-017</t>
        </is>
      </c>
      <c r="B266" s="2" t="inlineStr">
        <is>
          <t>MEN-3X16-30M</t>
        </is>
      </c>
      <c r="C266" s="2" t="inlineStr">
        <is>
          <t>Meneke 3x16 de 30 metros</t>
        </is>
      </c>
      <c r="D266" s="2" t="inlineStr">
        <is>
          <t>Disponible</t>
        </is>
      </c>
      <c r="E266" s="2" t="inlineStr"/>
    </row>
    <row r="267">
      <c r="A267" s="2" t="inlineStr">
        <is>
          <t>MEN31630-018</t>
        </is>
      </c>
      <c r="B267" s="2" t="inlineStr">
        <is>
          <t>MEN-3X16-30M</t>
        </is>
      </c>
      <c r="C267" s="2" t="inlineStr">
        <is>
          <t>Meneke 3x16 de 30 metros</t>
        </is>
      </c>
      <c r="D267" s="2" t="inlineStr">
        <is>
          <t>Disponible</t>
        </is>
      </c>
      <c r="E267" s="2" t="inlineStr"/>
    </row>
    <row r="268">
      <c r="A268" s="2" t="inlineStr">
        <is>
          <t>MEN31630-019</t>
        </is>
      </c>
      <c r="B268" s="2" t="inlineStr">
        <is>
          <t>MEN-3X16-30M</t>
        </is>
      </c>
      <c r="C268" s="2" t="inlineStr">
        <is>
          <t>Meneke 3x16 de 30 metros</t>
        </is>
      </c>
      <c r="D268" s="2" t="inlineStr">
        <is>
          <t>Disponible</t>
        </is>
      </c>
      <c r="E268" s="2" t="inlineStr"/>
    </row>
    <row r="269">
      <c r="A269" s="2" t="inlineStr">
        <is>
          <t>MEN31630-020</t>
        </is>
      </c>
      <c r="B269" s="2" t="inlineStr">
        <is>
          <t>MEN-3X16-30M</t>
        </is>
      </c>
      <c r="C269" s="2" t="inlineStr">
        <is>
          <t>Meneke 3x16 de 30 metros</t>
        </is>
      </c>
      <c r="D269" s="2" t="inlineStr">
        <is>
          <t>Disponible</t>
        </is>
      </c>
      <c r="E269" s="2" t="inlineStr"/>
    </row>
    <row r="270">
      <c r="A270" s="2" t="inlineStr">
        <is>
          <t>MEN31630-021</t>
        </is>
      </c>
      <c r="B270" s="2" t="inlineStr">
        <is>
          <t>MEN-3X16-30M</t>
        </is>
      </c>
      <c r="C270" s="2" t="inlineStr">
        <is>
          <t>Meneke 3x16 de 30 metros</t>
        </is>
      </c>
      <c r="D270" s="2" t="inlineStr">
        <is>
          <t>Disponible</t>
        </is>
      </c>
      <c r="E270" s="2" t="inlineStr"/>
    </row>
    <row r="271">
      <c r="A271" s="2" t="inlineStr">
        <is>
          <t>MEN31630-022</t>
        </is>
      </c>
      <c r="B271" s="2" t="inlineStr">
        <is>
          <t>MEN-3X16-30M</t>
        </is>
      </c>
      <c r="C271" s="2" t="inlineStr">
        <is>
          <t>Meneke 3x16 de 30 metros</t>
        </is>
      </c>
      <c r="D271" s="2" t="inlineStr">
        <is>
          <t>Disponible</t>
        </is>
      </c>
      <c r="E271" s="2" t="inlineStr"/>
    </row>
    <row r="272">
      <c r="A272" s="2" t="inlineStr">
        <is>
          <t>MEN31630-023</t>
        </is>
      </c>
      <c r="B272" s="2" t="inlineStr">
        <is>
          <t>MEN-3X16-30M</t>
        </is>
      </c>
      <c r="C272" s="2" t="inlineStr">
        <is>
          <t>Meneke 3x16 de 30 metros</t>
        </is>
      </c>
      <c r="D272" s="2" t="inlineStr">
        <is>
          <t>Disponible</t>
        </is>
      </c>
      <c r="E272" s="2" t="inlineStr"/>
    </row>
    <row r="273">
      <c r="A273" s="2" t="inlineStr">
        <is>
          <t>MEN31630-024</t>
        </is>
      </c>
      <c r="B273" s="2" t="inlineStr">
        <is>
          <t>MEN-3X16-30M</t>
        </is>
      </c>
      <c r="C273" s="2" t="inlineStr">
        <is>
          <t>Meneke 3x16 de 30 metros</t>
        </is>
      </c>
      <c r="D273" s="2" t="inlineStr">
        <is>
          <t>Disponible</t>
        </is>
      </c>
      <c r="E273" s="2" t="inlineStr"/>
    </row>
    <row r="274">
      <c r="A274" s="2" t="inlineStr">
        <is>
          <t>MEN31630-025</t>
        </is>
      </c>
      <c r="B274" s="2" t="inlineStr">
        <is>
          <t>MEN-3X16-30M</t>
        </is>
      </c>
      <c r="C274" s="2" t="inlineStr">
        <is>
          <t>Meneke 3x16 de 30 metros</t>
        </is>
      </c>
      <c r="D274" s="2" t="inlineStr">
        <is>
          <t>Disponible</t>
        </is>
      </c>
      <c r="E274" s="2" t="inlineStr"/>
    </row>
    <row r="275">
      <c r="A275" s="2" t="inlineStr">
        <is>
          <t>MEN31630-026</t>
        </is>
      </c>
      <c r="B275" s="2" t="inlineStr">
        <is>
          <t>MEN-3X16-30M</t>
        </is>
      </c>
      <c r="C275" s="2" t="inlineStr">
        <is>
          <t>Meneke 3x16 de 30 metros</t>
        </is>
      </c>
      <c r="D275" s="2" t="inlineStr">
        <is>
          <t>Disponible</t>
        </is>
      </c>
      <c r="E275" s="2" t="inlineStr"/>
    </row>
    <row r="276">
      <c r="A276" s="2" t="inlineStr">
        <is>
          <t>MEN31630-027</t>
        </is>
      </c>
      <c r="B276" s="2" t="inlineStr">
        <is>
          <t>MEN-3X16-30M</t>
        </is>
      </c>
      <c r="C276" s="2" t="inlineStr">
        <is>
          <t>Meneke 3x16 de 30 metros</t>
        </is>
      </c>
      <c r="D276" s="2" t="inlineStr">
        <is>
          <t>Disponible</t>
        </is>
      </c>
      <c r="E276" s="2" t="inlineStr"/>
    </row>
    <row r="277">
      <c r="A277" s="2" t="inlineStr">
        <is>
          <t>MEN31630-028</t>
        </is>
      </c>
      <c r="B277" s="2" t="inlineStr">
        <is>
          <t>MEN-3X16-30M</t>
        </is>
      </c>
      <c r="C277" s="2" t="inlineStr">
        <is>
          <t>Meneke 3x16 de 30 metros</t>
        </is>
      </c>
      <c r="D277" s="2" t="inlineStr">
        <is>
          <t>Disponible</t>
        </is>
      </c>
      <c r="E277" s="2" t="inlineStr"/>
    </row>
    <row r="278">
      <c r="A278" s="2" t="inlineStr">
        <is>
          <t>MEN31630-029</t>
        </is>
      </c>
      <c r="B278" s="2" t="inlineStr">
        <is>
          <t>MEN-3X16-30M</t>
        </is>
      </c>
      <c r="C278" s="2" t="inlineStr">
        <is>
          <t>Meneke 3x16 de 30 metros</t>
        </is>
      </c>
      <c r="D278" s="2" t="inlineStr">
        <is>
          <t>Disponible</t>
        </is>
      </c>
      <c r="E278" s="2" t="inlineStr"/>
    </row>
    <row r="279">
      <c r="A279" s="2" t="inlineStr">
        <is>
          <t>MEN31630-030</t>
        </is>
      </c>
      <c r="B279" s="2" t="inlineStr">
        <is>
          <t>MEN-3X16-30M</t>
        </is>
      </c>
      <c r="C279" s="2" t="inlineStr">
        <is>
          <t>Meneke 3x16 de 30 metros</t>
        </is>
      </c>
      <c r="D279" s="2" t="inlineStr">
        <is>
          <t>Disponible</t>
        </is>
      </c>
      <c r="E279" s="2" t="inlineStr"/>
    </row>
    <row r="280">
      <c r="A280" s="2" t="inlineStr">
        <is>
          <t>MEN31610-001</t>
        </is>
      </c>
      <c r="B280" s="2" t="inlineStr"/>
      <c r="C280" s="2" t="inlineStr"/>
      <c r="D280" s="2" t="inlineStr">
        <is>
          <t>Disponible</t>
        </is>
      </c>
      <c r="E280" s="2" t="inlineStr"/>
    </row>
    <row r="281">
      <c r="A281" s="2" t="inlineStr">
        <is>
          <t>MEN31610-002</t>
        </is>
      </c>
      <c r="B281" s="2" t="inlineStr"/>
      <c r="C281" s="2" t="inlineStr"/>
      <c r="D281" s="2" t="inlineStr">
        <is>
          <t>Disponible</t>
        </is>
      </c>
      <c r="E281" s="2" t="inlineStr"/>
    </row>
    <row r="282">
      <c r="A282" s="2" t="inlineStr">
        <is>
          <t>MEN31610-003</t>
        </is>
      </c>
      <c r="B282" s="2" t="inlineStr"/>
      <c r="C282" s="2" t="inlineStr"/>
      <c r="D282" s="2" t="inlineStr">
        <is>
          <t>Disponible</t>
        </is>
      </c>
      <c r="E282" s="2" t="inlineStr"/>
    </row>
    <row r="283">
      <c r="A283" s="2" t="inlineStr">
        <is>
          <t>MEN31610-004</t>
        </is>
      </c>
      <c r="B283" s="2" t="inlineStr"/>
      <c r="C283" s="2" t="inlineStr"/>
      <c r="D283" s="2" t="inlineStr">
        <is>
          <t>Disponible</t>
        </is>
      </c>
      <c r="E283" s="2" t="inlineStr"/>
    </row>
    <row r="284">
      <c r="A284" s="2" t="inlineStr">
        <is>
          <t>MEN31610-005</t>
        </is>
      </c>
      <c r="B284" s="2" t="inlineStr"/>
      <c r="C284" s="2" t="inlineStr"/>
      <c r="D284" s="2" t="inlineStr">
        <is>
          <t>Disponible</t>
        </is>
      </c>
      <c r="E284" s="2" t="inlineStr"/>
    </row>
    <row r="285">
      <c r="A285" s="2" t="inlineStr">
        <is>
          <t>MEN31610-006</t>
        </is>
      </c>
      <c r="B285" s="2" t="inlineStr"/>
      <c r="C285" s="2" t="inlineStr"/>
      <c r="D285" s="2" t="inlineStr">
        <is>
          <t>Disponible</t>
        </is>
      </c>
      <c r="E285" s="2" t="inlineStr"/>
    </row>
    <row r="286">
      <c r="A286" s="2" t="inlineStr">
        <is>
          <t>MEN31610-007</t>
        </is>
      </c>
      <c r="B286" s="2" t="inlineStr"/>
      <c r="C286" s="2" t="inlineStr"/>
      <c r="D286" s="2" t="inlineStr">
        <is>
          <t>Disponible</t>
        </is>
      </c>
      <c r="E286" s="2" t="inlineStr"/>
    </row>
    <row r="287">
      <c r="A287" s="2" t="inlineStr">
        <is>
          <t>MEN31610-008</t>
        </is>
      </c>
      <c r="B287" s="2" t="inlineStr"/>
      <c r="C287" s="2" t="inlineStr"/>
      <c r="D287" s="2" t="inlineStr">
        <is>
          <t>Disponible</t>
        </is>
      </c>
      <c r="E287" s="2" t="inlineStr"/>
    </row>
    <row r="288">
      <c r="A288" s="2" t="inlineStr">
        <is>
          <t>MEN31610-009</t>
        </is>
      </c>
      <c r="B288" s="2" t="inlineStr"/>
      <c r="C288" s="2" t="inlineStr"/>
      <c r="D288" s="2" t="inlineStr">
        <is>
          <t>Disponible</t>
        </is>
      </c>
      <c r="E288" s="2" t="inlineStr"/>
    </row>
    <row r="289">
      <c r="A289" s="2" t="inlineStr">
        <is>
          <t>MEN31610-010</t>
        </is>
      </c>
      <c r="B289" s="2" t="inlineStr"/>
      <c r="C289" s="2" t="inlineStr"/>
      <c r="D289" s="2" t="inlineStr">
        <is>
          <t>Disponible</t>
        </is>
      </c>
      <c r="E289" s="2" t="inlineStr"/>
    </row>
    <row r="290">
      <c r="A290" s="2" t="inlineStr">
        <is>
          <t>MEN31610-011</t>
        </is>
      </c>
      <c r="B290" s="2" t="inlineStr"/>
      <c r="C290" s="2" t="inlineStr"/>
      <c r="D290" s="2" t="inlineStr">
        <is>
          <t>Disponible</t>
        </is>
      </c>
      <c r="E290" s="2" t="inlineStr"/>
    </row>
    <row r="291">
      <c r="A291" s="2" t="inlineStr">
        <is>
          <t>MEN31610-012</t>
        </is>
      </c>
      <c r="B291" s="2" t="inlineStr"/>
      <c r="C291" s="2" t="inlineStr"/>
      <c r="D291" s="2" t="inlineStr">
        <is>
          <t>Disponible</t>
        </is>
      </c>
      <c r="E291" s="2" t="inlineStr"/>
    </row>
    <row r="292">
      <c r="A292" s="2" t="inlineStr">
        <is>
          <t>MEN31610-013</t>
        </is>
      </c>
      <c r="B292" s="2" t="inlineStr"/>
      <c r="C292" s="2" t="inlineStr"/>
      <c r="D292" s="2" t="inlineStr">
        <is>
          <t>Disponible</t>
        </is>
      </c>
      <c r="E292" s="2" t="inlineStr"/>
    </row>
    <row r="293">
      <c r="A293" s="2" t="inlineStr">
        <is>
          <t>MEN31610-014</t>
        </is>
      </c>
      <c r="B293" s="2" t="inlineStr"/>
      <c r="C293" s="2" t="inlineStr"/>
      <c r="D293" s="2" t="inlineStr">
        <is>
          <t>Disponible</t>
        </is>
      </c>
      <c r="E293" s="2" t="inlineStr"/>
    </row>
    <row r="294">
      <c r="A294" s="2" t="inlineStr">
        <is>
          <t>MEN31610-015</t>
        </is>
      </c>
      <c r="B294" s="2" t="inlineStr"/>
      <c r="C294" s="2" t="inlineStr"/>
      <c r="D294" s="2" t="inlineStr">
        <is>
          <t>Disponible</t>
        </is>
      </c>
      <c r="E294" s="2" t="inlineStr"/>
    </row>
    <row r="295">
      <c r="A295" s="2" t="inlineStr">
        <is>
          <t>MEN31610-016</t>
        </is>
      </c>
      <c r="B295" s="2" t="inlineStr"/>
      <c r="C295" s="2" t="inlineStr"/>
      <c r="D295" s="2" t="inlineStr">
        <is>
          <t>Disponible</t>
        </is>
      </c>
      <c r="E295" s="2" t="inlineStr"/>
    </row>
    <row r="296">
      <c r="A296" s="2" t="inlineStr">
        <is>
          <t>MEN31610-017</t>
        </is>
      </c>
      <c r="B296" s="2" t="inlineStr"/>
      <c r="C296" s="2" t="inlineStr"/>
      <c r="D296" s="2" t="inlineStr">
        <is>
          <t>Disponible</t>
        </is>
      </c>
      <c r="E296" s="2" t="inlineStr"/>
    </row>
    <row r="297">
      <c r="A297" s="2" t="inlineStr">
        <is>
          <t>MEN31610-018</t>
        </is>
      </c>
      <c r="B297" s="2" t="inlineStr"/>
      <c r="C297" s="2" t="inlineStr"/>
      <c r="D297" s="2" t="inlineStr">
        <is>
          <t>Disponible</t>
        </is>
      </c>
      <c r="E297" s="2" t="inlineStr"/>
    </row>
    <row r="298">
      <c r="A298" s="2" t="inlineStr">
        <is>
          <t>MEN31610-019</t>
        </is>
      </c>
      <c r="B298" s="2" t="inlineStr"/>
      <c r="C298" s="2" t="inlineStr"/>
      <c r="D298" s="2" t="inlineStr">
        <is>
          <t>Disponible</t>
        </is>
      </c>
      <c r="E298" s="2" t="inlineStr"/>
    </row>
    <row r="299">
      <c r="A299" s="2" t="inlineStr">
        <is>
          <t>MEN31610-020</t>
        </is>
      </c>
      <c r="B299" s="2" t="inlineStr"/>
      <c r="C299" s="2" t="inlineStr"/>
      <c r="D299" s="2" t="inlineStr">
        <is>
          <t>Disponible</t>
        </is>
      </c>
      <c r="E299" s="2" t="inlineStr"/>
    </row>
    <row r="300">
      <c r="A300" s="2" t="inlineStr">
        <is>
          <t>MEN31610-021</t>
        </is>
      </c>
      <c r="B300" s="2" t="inlineStr"/>
      <c r="C300" s="2" t="inlineStr"/>
      <c r="D300" s="2" t="inlineStr">
        <is>
          <t>Disponible</t>
        </is>
      </c>
      <c r="E300" s="2" t="inlineStr"/>
    </row>
    <row r="301">
      <c r="A301" s="2" t="inlineStr">
        <is>
          <t>MEN31610-022</t>
        </is>
      </c>
      <c r="B301" s="2" t="inlineStr"/>
      <c r="C301" s="2" t="inlineStr"/>
      <c r="D301" s="2" t="inlineStr">
        <is>
          <t>Disponible</t>
        </is>
      </c>
      <c r="E301" s="2" t="inlineStr"/>
    </row>
    <row r="302">
      <c r="A302" s="2" t="inlineStr">
        <is>
          <t>MEN31610-023</t>
        </is>
      </c>
      <c r="B302" s="2" t="inlineStr"/>
      <c r="C302" s="2" t="inlineStr"/>
      <c r="D302" s="2" t="inlineStr">
        <is>
          <t>Disponible</t>
        </is>
      </c>
      <c r="E302" s="2" t="inlineStr"/>
    </row>
    <row r="303">
      <c r="A303" s="2" t="inlineStr">
        <is>
          <t>MEN31610-024</t>
        </is>
      </c>
      <c r="B303" s="2" t="inlineStr"/>
      <c r="C303" s="2" t="inlineStr"/>
      <c r="D303" s="2" t="inlineStr">
        <is>
          <t>Disponible</t>
        </is>
      </c>
      <c r="E303" s="2" t="inlineStr"/>
    </row>
    <row r="304">
      <c r="A304" s="2" t="inlineStr">
        <is>
          <t>MEN31610-025</t>
        </is>
      </c>
      <c r="B304" s="2" t="inlineStr"/>
      <c r="C304" s="2" t="inlineStr"/>
      <c r="D304" s="2" t="inlineStr">
        <is>
          <t>Disponible</t>
        </is>
      </c>
      <c r="E304" s="2" t="inlineStr"/>
    </row>
    <row r="305">
      <c r="A305" s="2" t="inlineStr">
        <is>
          <t>MEN31610-026</t>
        </is>
      </c>
      <c r="B305" s="2" t="inlineStr"/>
      <c r="C305" s="2" t="inlineStr"/>
      <c r="D305" s="2" t="inlineStr">
        <is>
          <t>Disponible</t>
        </is>
      </c>
      <c r="E305" s="2" t="inlineStr"/>
    </row>
    <row r="306">
      <c r="A306" s="2" t="inlineStr">
        <is>
          <t>MEN31610-027</t>
        </is>
      </c>
      <c r="B306" s="2" t="inlineStr"/>
      <c r="C306" s="2" t="inlineStr"/>
      <c r="D306" s="2" t="inlineStr">
        <is>
          <t>Disponible</t>
        </is>
      </c>
      <c r="E306" s="2" t="inlineStr"/>
    </row>
    <row r="307">
      <c r="A307" s="2" t="inlineStr">
        <is>
          <t>MEN31610-028</t>
        </is>
      </c>
      <c r="B307" s="2" t="inlineStr"/>
      <c r="C307" s="2" t="inlineStr"/>
      <c r="D307" s="2" t="inlineStr">
        <is>
          <t>Disponible</t>
        </is>
      </c>
      <c r="E307" s="2" t="inlineStr"/>
    </row>
    <row r="308">
      <c r="A308" s="2" t="inlineStr">
        <is>
          <t>MEN31610-029</t>
        </is>
      </c>
      <c r="B308" s="2" t="inlineStr"/>
      <c r="C308" s="2" t="inlineStr"/>
      <c r="D308" s="2" t="inlineStr">
        <is>
          <t>Disponible</t>
        </is>
      </c>
      <c r="E308" s="2" t="inlineStr"/>
    </row>
    <row r="309">
      <c r="A309" s="2" t="inlineStr">
        <is>
          <t>MEN31610-030</t>
        </is>
      </c>
      <c r="B309" s="2" t="inlineStr"/>
      <c r="C309" s="2" t="inlineStr"/>
      <c r="D309" s="2" t="inlineStr">
        <is>
          <t>Disponible</t>
        </is>
      </c>
      <c r="E309" s="2" t="inlineStr"/>
    </row>
    <row r="310">
      <c r="A310" s="2" t="inlineStr">
        <is>
          <t>MEN31610-031</t>
        </is>
      </c>
      <c r="B310" s="2" t="inlineStr"/>
      <c r="C310" s="2" t="inlineStr"/>
      <c r="D310" s="2" t="inlineStr">
        <is>
          <t>Disponible</t>
        </is>
      </c>
      <c r="E310" s="2" t="inlineStr"/>
    </row>
    <row r="311">
      <c r="A311" s="2" t="inlineStr">
        <is>
          <t>MEN31610-032</t>
        </is>
      </c>
      <c r="B311" s="2" t="inlineStr"/>
      <c r="C311" s="2" t="inlineStr"/>
      <c r="D311" s="2" t="inlineStr">
        <is>
          <t>Disponible</t>
        </is>
      </c>
      <c r="E311" s="2" t="inlineStr"/>
    </row>
    <row r="312">
      <c r="A312" s="2" t="inlineStr">
        <is>
          <t>MEN31610-033</t>
        </is>
      </c>
      <c r="B312" s="2" t="inlineStr"/>
      <c r="C312" s="2" t="inlineStr"/>
      <c r="D312" s="2" t="inlineStr">
        <is>
          <t>Disponible</t>
        </is>
      </c>
      <c r="E312" s="2" t="inlineStr"/>
    </row>
    <row r="313">
      <c r="A313" s="2" t="inlineStr">
        <is>
          <t>MEN31610-034</t>
        </is>
      </c>
      <c r="B313" s="2" t="inlineStr"/>
      <c r="C313" s="2" t="inlineStr"/>
      <c r="D313" s="2" t="inlineStr">
        <is>
          <t>Disponible</t>
        </is>
      </c>
      <c r="E313" s="2" t="inlineStr"/>
    </row>
    <row r="314">
      <c r="A314" s="2" t="inlineStr">
        <is>
          <t>MEN31610-035</t>
        </is>
      </c>
      <c r="B314" s="2" t="inlineStr"/>
      <c r="C314" s="2" t="inlineStr"/>
      <c r="D314" s="2" t="inlineStr">
        <is>
          <t>Disponible</t>
        </is>
      </c>
      <c r="E314" s="2" t="inlineStr"/>
    </row>
    <row r="315">
      <c r="A315" s="2" t="inlineStr">
        <is>
          <t>MEN31610-036</t>
        </is>
      </c>
      <c r="B315" s="2" t="inlineStr"/>
      <c r="C315" s="2" t="inlineStr"/>
      <c r="D315" s="2" t="inlineStr">
        <is>
          <t>Disponible</t>
        </is>
      </c>
      <c r="E315" s="2" t="inlineStr"/>
    </row>
    <row r="316">
      <c r="A316" s="2" t="inlineStr">
        <is>
          <t>MEN31610-037</t>
        </is>
      </c>
      <c r="B316" s="2" t="inlineStr"/>
      <c r="C316" s="2" t="inlineStr"/>
      <c r="D316" s="2" t="inlineStr">
        <is>
          <t>Disponible</t>
        </is>
      </c>
      <c r="E316" s="2" t="inlineStr"/>
    </row>
    <row r="317">
      <c r="A317" s="2" t="inlineStr">
        <is>
          <t>MEN31610-038</t>
        </is>
      </c>
      <c r="B317" s="2" t="inlineStr"/>
      <c r="C317" s="2" t="inlineStr"/>
      <c r="D317" s="2" t="inlineStr">
        <is>
          <t>Disponible</t>
        </is>
      </c>
      <c r="E317" s="2" t="inlineStr"/>
    </row>
    <row r="318">
      <c r="A318" s="2" t="inlineStr">
        <is>
          <t>MEN31610-039</t>
        </is>
      </c>
      <c r="B318" s="2" t="inlineStr"/>
      <c r="C318" s="2" t="inlineStr"/>
      <c r="D318" s="2" t="inlineStr">
        <is>
          <t>Disponible</t>
        </is>
      </c>
      <c r="E318" s="2" t="inlineStr"/>
    </row>
    <row r="319">
      <c r="A319" s="2" t="inlineStr">
        <is>
          <t>MEN31610-040</t>
        </is>
      </c>
      <c r="B319" s="2" t="inlineStr"/>
      <c r="C319" s="2" t="inlineStr"/>
      <c r="D319" s="2" t="inlineStr">
        <is>
          <t>Disponible</t>
        </is>
      </c>
      <c r="E319" s="2" t="inlineStr"/>
    </row>
    <row r="320">
      <c r="A320" s="2" t="inlineStr">
        <is>
          <t>MEN31610-041</t>
        </is>
      </c>
      <c r="B320" s="2" t="inlineStr"/>
      <c r="C320" s="2" t="inlineStr"/>
      <c r="D320" s="2" t="inlineStr">
        <is>
          <t>Disponible</t>
        </is>
      </c>
      <c r="E320" s="2" t="inlineStr"/>
    </row>
    <row r="321">
      <c r="A321" s="2" t="inlineStr">
        <is>
          <t>MEN31610-042</t>
        </is>
      </c>
      <c r="B321" s="2" t="inlineStr"/>
      <c r="C321" s="2" t="inlineStr"/>
      <c r="D321" s="2" t="inlineStr">
        <is>
          <t>Disponible</t>
        </is>
      </c>
      <c r="E321" s="2" t="inlineStr"/>
    </row>
    <row r="322">
      <c r="A322" s="2" t="inlineStr">
        <is>
          <t>MEN31610-043</t>
        </is>
      </c>
      <c r="B322" s="2" t="inlineStr"/>
      <c r="C322" s="2" t="inlineStr"/>
      <c r="D322" s="2" t="inlineStr">
        <is>
          <t>Disponible</t>
        </is>
      </c>
      <c r="E322" s="2" t="inlineStr"/>
    </row>
    <row r="323">
      <c r="A323" s="2" t="inlineStr">
        <is>
          <t>MEN31610-044</t>
        </is>
      </c>
      <c r="B323" s="2" t="inlineStr"/>
      <c r="C323" s="2" t="inlineStr"/>
      <c r="D323" s="2" t="inlineStr">
        <is>
          <t>Disponible</t>
        </is>
      </c>
      <c r="E323" s="2" t="inlineStr"/>
    </row>
    <row r="324">
      <c r="A324" s="2" t="inlineStr">
        <is>
          <t>MEN31610-045</t>
        </is>
      </c>
      <c r="B324" s="2" t="inlineStr"/>
      <c r="C324" s="2" t="inlineStr"/>
      <c r="D324" s="2" t="inlineStr">
        <is>
          <t>Disponible</t>
        </is>
      </c>
      <c r="E324" s="2" t="inlineStr"/>
    </row>
    <row r="325">
      <c r="A325" s="2" t="inlineStr">
        <is>
          <t>MEN31610-046</t>
        </is>
      </c>
      <c r="B325" s="2" t="inlineStr"/>
      <c r="C325" s="2" t="inlineStr"/>
      <c r="D325" s="2" t="inlineStr">
        <is>
          <t>Disponible</t>
        </is>
      </c>
      <c r="E325" s="2" t="inlineStr"/>
    </row>
    <row r="326">
      <c r="A326" s="2" t="inlineStr">
        <is>
          <t>MEN31610-047</t>
        </is>
      </c>
      <c r="B326" s="2" t="inlineStr"/>
      <c r="C326" s="2" t="inlineStr"/>
      <c r="D326" s="2" t="inlineStr">
        <is>
          <t>Disponible</t>
        </is>
      </c>
      <c r="E326" s="2" t="inlineStr"/>
    </row>
    <row r="327">
      <c r="A327" s="2" t="inlineStr">
        <is>
          <t>MEN31610-048</t>
        </is>
      </c>
      <c r="B327" s="2" t="inlineStr"/>
      <c r="C327" s="2" t="inlineStr"/>
      <c r="D327" s="2" t="inlineStr">
        <is>
          <t>Disponible</t>
        </is>
      </c>
      <c r="E327" s="2" t="inlineStr"/>
    </row>
    <row r="328">
      <c r="A328" s="2" t="inlineStr">
        <is>
          <t>MEN31610-049</t>
        </is>
      </c>
      <c r="B328" s="2" t="inlineStr"/>
      <c r="C328" s="2" t="inlineStr"/>
      <c r="D328" s="2" t="inlineStr">
        <is>
          <t>Disponible</t>
        </is>
      </c>
      <c r="E328" s="2" t="inlineStr"/>
    </row>
    <row r="329">
      <c r="A329" s="2" t="inlineStr">
        <is>
          <t>MEN31610-050</t>
        </is>
      </c>
      <c r="B329" s="2" t="inlineStr"/>
      <c r="C329" s="2" t="inlineStr"/>
      <c r="D329" s="2" t="inlineStr">
        <is>
          <t>Disponible</t>
        </is>
      </c>
      <c r="E329" s="2" t="inlineStr"/>
    </row>
    <row r="330">
      <c r="A330" s="2" t="inlineStr">
        <is>
          <t>MEN31610-051</t>
        </is>
      </c>
      <c r="B330" s="2" t="inlineStr"/>
      <c r="C330" s="2" t="inlineStr"/>
      <c r="D330" s="2" t="inlineStr">
        <is>
          <t>Disponible</t>
        </is>
      </c>
      <c r="E330" s="2" t="inlineStr"/>
    </row>
    <row r="331">
      <c r="A331" s="2" t="inlineStr">
        <is>
          <t>MEN31610-052</t>
        </is>
      </c>
      <c r="B331" s="2" t="inlineStr"/>
      <c r="C331" s="2" t="inlineStr"/>
      <c r="D331" s="2" t="inlineStr">
        <is>
          <t>Disponible</t>
        </is>
      </c>
      <c r="E331" s="2" t="inlineStr"/>
    </row>
    <row r="332">
      <c r="A332" s="2" t="inlineStr">
        <is>
          <t>MEN31610-053</t>
        </is>
      </c>
      <c r="B332" s="2" t="inlineStr"/>
      <c r="C332" s="2" t="inlineStr"/>
      <c r="D332" s="2" t="inlineStr">
        <is>
          <t>Disponible</t>
        </is>
      </c>
      <c r="E332" s="2" t="inlineStr"/>
    </row>
    <row r="333">
      <c r="A333" s="2" t="inlineStr">
        <is>
          <t>MEN31610-054</t>
        </is>
      </c>
      <c r="B333" s="2" t="inlineStr"/>
      <c r="C333" s="2" t="inlineStr"/>
      <c r="D333" s="2" t="inlineStr">
        <is>
          <t>Disponible</t>
        </is>
      </c>
      <c r="E333" s="2" t="inlineStr"/>
    </row>
    <row r="334">
      <c r="A334" s="2" t="inlineStr">
        <is>
          <t>MEN31610-055</t>
        </is>
      </c>
      <c r="B334" s="2" t="inlineStr"/>
      <c r="C334" s="2" t="inlineStr"/>
      <c r="D334" s="2" t="inlineStr">
        <is>
          <t>Disponible</t>
        </is>
      </c>
      <c r="E334" s="2" t="inlineStr"/>
    </row>
    <row r="335">
      <c r="A335" s="2" t="inlineStr">
        <is>
          <t>MEN31610-056</t>
        </is>
      </c>
      <c r="B335" s="2" t="inlineStr"/>
      <c r="C335" s="2" t="inlineStr"/>
      <c r="D335" s="2" t="inlineStr">
        <is>
          <t>Disponible</t>
        </is>
      </c>
      <c r="E335" s="2" t="inlineStr"/>
    </row>
    <row r="336">
      <c r="A336" s="2" t="inlineStr">
        <is>
          <t>MEN31610-057</t>
        </is>
      </c>
      <c r="B336" s="2" t="inlineStr"/>
      <c r="C336" s="2" t="inlineStr"/>
      <c r="D336" s="2" t="inlineStr">
        <is>
          <t>Disponible</t>
        </is>
      </c>
      <c r="E336" s="2" t="inlineStr"/>
    </row>
    <row r="337">
      <c r="A337" s="2" t="inlineStr">
        <is>
          <t>MEN31610-058</t>
        </is>
      </c>
      <c r="B337" s="2" t="inlineStr"/>
      <c r="C337" s="2" t="inlineStr"/>
      <c r="D337" s="2" t="inlineStr">
        <is>
          <t>Disponible</t>
        </is>
      </c>
      <c r="E337" s="2" t="inlineStr"/>
    </row>
    <row r="338">
      <c r="A338" s="2" t="inlineStr">
        <is>
          <t>MEN31610-059</t>
        </is>
      </c>
      <c r="B338" s="2" t="inlineStr"/>
      <c r="C338" s="2" t="inlineStr"/>
      <c r="D338" s="2" t="inlineStr">
        <is>
          <t>Disponible</t>
        </is>
      </c>
      <c r="E338" s="2" t="inlineStr"/>
    </row>
    <row r="339">
      <c r="A339" s="2" t="inlineStr">
        <is>
          <t>MEN31610-060</t>
        </is>
      </c>
      <c r="B339" s="2" t="inlineStr"/>
      <c r="C339" s="2" t="inlineStr"/>
      <c r="D339" s="2" t="inlineStr">
        <is>
          <t>Disponible</t>
        </is>
      </c>
      <c r="E339" s="2" t="inlineStr"/>
    </row>
    <row r="340">
      <c r="A340" s="2" t="inlineStr">
        <is>
          <t>MEN31610-061</t>
        </is>
      </c>
      <c r="B340" s="2" t="inlineStr"/>
      <c r="C340" s="2" t="inlineStr"/>
      <c r="D340" s="2" t="inlineStr">
        <is>
          <t>Disponible</t>
        </is>
      </c>
      <c r="E340" s="2" t="inlineStr"/>
    </row>
    <row r="341">
      <c r="A341" s="2" t="inlineStr">
        <is>
          <t>MEN31610-062</t>
        </is>
      </c>
      <c r="B341" s="2" t="inlineStr"/>
      <c r="C341" s="2" t="inlineStr"/>
      <c r="D341" s="2" t="inlineStr">
        <is>
          <t>Disponible</t>
        </is>
      </c>
      <c r="E341" s="2" t="inlineStr"/>
    </row>
    <row r="342">
      <c r="A342" s="2" t="inlineStr">
        <is>
          <t>MEN31610-063</t>
        </is>
      </c>
      <c r="B342" s="2" t="inlineStr"/>
      <c r="C342" s="2" t="inlineStr"/>
      <c r="D342" s="2" t="inlineStr">
        <is>
          <t>Disponible</t>
        </is>
      </c>
      <c r="E342" s="2" t="inlineStr"/>
    </row>
    <row r="343">
      <c r="A343" s="2" t="inlineStr">
        <is>
          <t>MEN31610-064</t>
        </is>
      </c>
      <c r="B343" s="2" t="inlineStr"/>
      <c r="C343" s="2" t="inlineStr"/>
      <c r="D343" s="2" t="inlineStr">
        <is>
          <t>Disponible</t>
        </is>
      </c>
      <c r="E343" s="2" t="inlineStr"/>
    </row>
    <row r="344">
      <c r="A344" s="2" t="inlineStr">
        <is>
          <t>MEN31610-065</t>
        </is>
      </c>
      <c r="B344" s="2" t="inlineStr"/>
      <c r="C344" s="2" t="inlineStr"/>
      <c r="D344" s="2" t="inlineStr">
        <is>
          <t>Disponible</t>
        </is>
      </c>
      <c r="E344" s="2" t="inlineStr"/>
    </row>
    <row r="345">
      <c r="A345" s="2" t="inlineStr">
        <is>
          <t>MEN31610-066</t>
        </is>
      </c>
      <c r="B345" s="2" t="inlineStr"/>
      <c r="C345" s="2" t="inlineStr"/>
      <c r="D345" s="2" t="inlineStr">
        <is>
          <t>Disponible</t>
        </is>
      </c>
      <c r="E345" s="2" t="inlineStr"/>
    </row>
    <row r="346">
      <c r="A346" s="2" t="inlineStr">
        <is>
          <t>MEN31610-067</t>
        </is>
      </c>
      <c r="B346" s="2" t="inlineStr"/>
      <c r="C346" s="2" t="inlineStr"/>
      <c r="D346" s="2" t="inlineStr">
        <is>
          <t>Disponible</t>
        </is>
      </c>
      <c r="E346" s="2" t="inlineStr"/>
    </row>
    <row r="347">
      <c r="A347" s="2" t="inlineStr">
        <is>
          <t>MEN31610-068</t>
        </is>
      </c>
      <c r="B347" s="2" t="inlineStr"/>
      <c r="C347" s="2" t="inlineStr"/>
      <c r="D347" s="2" t="inlineStr">
        <is>
          <t>Disponible</t>
        </is>
      </c>
      <c r="E347" s="2" t="inlineStr"/>
    </row>
    <row r="348">
      <c r="A348" s="2" t="inlineStr">
        <is>
          <t>MEN31610-069</t>
        </is>
      </c>
      <c r="B348" s="2" t="inlineStr"/>
      <c r="C348" s="2" t="inlineStr"/>
      <c r="D348" s="2" t="inlineStr">
        <is>
          <t>Disponible</t>
        </is>
      </c>
      <c r="E348" s="2" t="inlineStr"/>
    </row>
    <row r="349">
      <c r="A349" s="2" t="inlineStr">
        <is>
          <t>MEN31610-070</t>
        </is>
      </c>
      <c r="B349" s="2" t="inlineStr"/>
      <c r="C349" s="2" t="inlineStr"/>
      <c r="D349" s="2" t="inlineStr">
        <is>
          <t>Disponible</t>
        </is>
      </c>
      <c r="E349" s="2" t="inlineStr"/>
    </row>
    <row r="350">
      <c r="A350" s="2" t="inlineStr">
        <is>
          <t>MEN31610-071</t>
        </is>
      </c>
      <c r="B350" s="2" t="inlineStr"/>
      <c r="C350" s="2" t="inlineStr"/>
      <c r="D350" s="2" t="inlineStr">
        <is>
          <t>Disponible</t>
        </is>
      </c>
      <c r="E350" s="2" t="inlineStr"/>
    </row>
    <row r="351">
      <c r="A351" s="2" t="inlineStr">
        <is>
          <t>MEN31610-072</t>
        </is>
      </c>
      <c r="B351" s="2" t="inlineStr"/>
      <c r="C351" s="2" t="inlineStr"/>
      <c r="D351" s="2" t="inlineStr">
        <is>
          <t>Disponible</t>
        </is>
      </c>
      <c r="E351" s="2" t="inlineStr"/>
    </row>
    <row r="352">
      <c r="A352" s="2" t="inlineStr">
        <is>
          <t>MEN31610-073</t>
        </is>
      </c>
      <c r="B352" s="2" t="inlineStr"/>
      <c r="C352" s="2" t="inlineStr"/>
      <c r="D352" s="2" t="inlineStr">
        <is>
          <t>Disponible</t>
        </is>
      </c>
      <c r="E352" s="2" t="inlineStr"/>
    </row>
    <row r="353">
      <c r="A353" s="2" t="inlineStr">
        <is>
          <t>MEN31610-074</t>
        </is>
      </c>
      <c r="B353" s="2" t="inlineStr"/>
      <c r="C353" s="2" t="inlineStr"/>
      <c r="D353" s="2" t="inlineStr">
        <is>
          <t>Disponible</t>
        </is>
      </c>
      <c r="E353" s="2" t="inlineStr"/>
    </row>
    <row r="354">
      <c r="A354" s="2" t="inlineStr">
        <is>
          <t>MEN31610-075</t>
        </is>
      </c>
      <c r="B354" s="2" t="inlineStr"/>
      <c r="C354" s="2" t="inlineStr"/>
      <c r="D354" s="2" t="inlineStr">
        <is>
          <t>Disponible</t>
        </is>
      </c>
      <c r="E354" s="2" t="inlineStr"/>
    </row>
    <row r="355">
      <c r="A355" s="2" t="inlineStr">
        <is>
          <t>MEN31610-076</t>
        </is>
      </c>
      <c r="B355" s="2" t="inlineStr"/>
      <c r="C355" s="2" t="inlineStr"/>
      <c r="D355" s="2" t="inlineStr">
        <is>
          <t>Disponible</t>
        </is>
      </c>
      <c r="E355" s="2" t="inlineStr"/>
    </row>
    <row r="356">
      <c r="A356" s="2" t="inlineStr">
        <is>
          <t>MEN31610-077</t>
        </is>
      </c>
      <c r="B356" s="2" t="inlineStr"/>
      <c r="C356" s="2" t="inlineStr"/>
      <c r="D356" s="2" t="inlineStr">
        <is>
          <t>Disponible</t>
        </is>
      </c>
      <c r="E356" s="2" t="inlineStr"/>
    </row>
    <row r="357">
      <c r="A357" s="2" t="inlineStr">
        <is>
          <t>MEN31610-078</t>
        </is>
      </c>
      <c r="B357" s="2" t="inlineStr"/>
      <c r="C357" s="2" t="inlineStr"/>
      <c r="D357" s="2" t="inlineStr">
        <is>
          <t>Disponible</t>
        </is>
      </c>
      <c r="E357" s="2" t="inlineStr"/>
    </row>
    <row r="358">
      <c r="A358" s="2" t="inlineStr">
        <is>
          <t>MEN31610-079</t>
        </is>
      </c>
      <c r="B358" s="2" t="inlineStr"/>
      <c r="C358" s="2" t="inlineStr"/>
      <c r="D358" s="2" t="inlineStr">
        <is>
          <t>Disponible</t>
        </is>
      </c>
      <c r="E358" s="2" t="inlineStr"/>
    </row>
    <row r="359">
      <c r="A359" s="2" t="inlineStr">
        <is>
          <t>MEN31610-080</t>
        </is>
      </c>
      <c r="B359" s="2" t="inlineStr"/>
      <c r="C359" s="2" t="inlineStr"/>
      <c r="D359" s="2" t="inlineStr">
        <is>
          <t>Disponible</t>
        </is>
      </c>
      <c r="E359" s="2" t="inlineStr"/>
    </row>
    <row r="360">
      <c r="A360" s="2" t="inlineStr">
        <is>
          <t>MEN31610-081</t>
        </is>
      </c>
      <c r="B360" s="2" t="inlineStr"/>
      <c r="C360" s="2" t="inlineStr"/>
      <c r="D360" s="2" t="inlineStr">
        <is>
          <t>Disponible</t>
        </is>
      </c>
      <c r="E360" s="2" t="inlineStr"/>
    </row>
    <row r="361">
      <c r="A361" s="2" t="inlineStr">
        <is>
          <t>MEN31610-082</t>
        </is>
      </c>
      <c r="B361" s="2" t="inlineStr"/>
      <c r="C361" s="2" t="inlineStr"/>
      <c r="D361" s="2" t="inlineStr">
        <is>
          <t>Disponible</t>
        </is>
      </c>
      <c r="E361" s="2" t="inlineStr"/>
    </row>
    <row r="362">
      <c r="A362" s="2" t="inlineStr">
        <is>
          <t>MEN31610-083</t>
        </is>
      </c>
      <c r="B362" s="2" t="inlineStr"/>
      <c r="C362" s="2" t="inlineStr"/>
      <c r="D362" s="2" t="inlineStr">
        <is>
          <t>Disponible</t>
        </is>
      </c>
      <c r="E362" s="2" t="inlineStr"/>
    </row>
    <row r="363">
      <c r="A363" s="2" t="inlineStr">
        <is>
          <t>MEN31610-084</t>
        </is>
      </c>
      <c r="B363" s="2" t="inlineStr"/>
      <c r="C363" s="2" t="inlineStr"/>
      <c r="D363" s="2" t="inlineStr">
        <is>
          <t>Disponible</t>
        </is>
      </c>
      <c r="E363" s="2" t="inlineStr"/>
    </row>
    <row r="364">
      <c r="A364" s="2" t="inlineStr">
        <is>
          <t>MEN31610-085</t>
        </is>
      </c>
      <c r="B364" s="2" t="inlineStr"/>
      <c r="C364" s="2" t="inlineStr"/>
      <c r="D364" s="2" t="inlineStr">
        <is>
          <t>Disponible</t>
        </is>
      </c>
      <c r="E364" s="2" t="inlineStr"/>
    </row>
    <row r="365">
      <c r="A365" s="2" t="inlineStr">
        <is>
          <t>MEN31610-086</t>
        </is>
      </c>
      <c r="B365" s="2" t="inlineStr"/>
      <c r="C365" s="2" t="inlineStr"/>
      <c r="D365" s="2" t="inlineStr">
        <is>
          <t>Disponible</t>
        </is>
      </c>
      <c r="E365" s="2" t="inlineStr"/>
    </row>
    <row r="366">
      <c r="A366" s="2" t="inlineStr">
        <is>
          <t>MEN31610-087</t>
        </is>
      </c>
      <c r="B366" s="2" t="inlineStr"/>
      <c r="C366" s="2" t="inlineStr"/>
      <c r="D366" s="2" t="inlineStr">
        <is>
          <t>Disponible</t>
        </is>
      </c>
      <c r="E366" s="2" t="inlineStr"/>
    </row>
    <row r="367">
      <c r="A367" s="2" t="inlineStr">
        <is>
          <t>MEN31610-088</t>
        </is>
      </c>
      <c r="B367" s="2" t="inlineStr"/>
      <c r="C367" s="2" t="inlineStr"/>
      <c r="D367" s="2" t="inlineStr">
        <is>
          <t>Disponible</t>
        </is>
      </c>
      <c r="E367" s="2" t="inlineStr"/>
    </row>
    <row r="368">
      <c r="A368" s="2" t="inlineStr">
        <is>
          <t>MEN31610-089</t>
        </is>
      </c>
      <c r="B368" s="2" t="inlineStr"/>
      <c r="C368" s="2" t="inlineStr"/>
      <c r="D368" s="2" t="inlineStr">
        <is>
          <t>Disponible</t>
        </is>
      </c>
      <c r="E368" s="2" t="inlineStr"/>
    </row>
    <row r="369">
      <c r="A369" s="2" t="inlineStr">
        <is>
          <t>MEN31610-090</t>
        </is>
      </c>
      <c r="B369" s="2" t="inlineStr"/>
      <c r="C369" s="2" t="inlineStr"/>
      <c r="D369" s="2" t="inlineStr">
        <is>
          <t>Disponible</t>
        </is>
      </c>
      <c r="E369" s="2" t="inlineStr"/>
    </row>
    <row r="370">
      <c r="A370" s="2" t="inlineStr">
        <is>
          <t>MEN31610-091</t>
        </is>
      </c>
      <c r="B370" s="2" t="inlineStr"/>
      <c r="C370" s="2" t="inlineStr"/>
      <c r="D370" s="2" t="inlineStr">
        <is>
          <t>Disponible</t>
        </is>
      </c>
      <c r="E370" s="2" t="inlineStr"/>
    </row>
    <row r="371">
      <c r="A371" s="2" t="inlineStr">
        <is>
          <t>MEN31610-092</t>
        </is>
      </c>
      <c r="B371" s="2" t="inlineStr"/>
      <c r="C371" s="2" t="inlineStr"/>
      <c r="D371" s="2" t="inlineStr">
        <is>
          <t>Disponible</t>
        </is>
      </c>
      <c r="E371" s="2" t="inlineStr"/>
    </row>
    <row r="372">
      <c r="A372" s="2" t="inlineStr">
        <is>
          <t>MEN31610-093</t>
        </is>
      </c>
      <c r="B372" s="2" t="inlineStr"/>
      <c r="C372" s="2" t="inlineStr"/>
      <c r="D372" s="2" t="inlineStr">
        <is>
          <t>Disponible</t>
        </is>
      </c>
      <c r="E372" s="2" t="inlineStr"/>
    </row>
    <row r="373">
      <c r="A373" s="2" t="inlineStr">
        <is>
          <t>MEN31610-094</t>
        </is>
      </c>
      <c r="B373" s="2" t="inlineStr"/>
      <c r="C373" s="2" t="inlineStr"/>
      <c r="D373" s="2" t="inlineStr">
        <is>
          <t>Disponible</t>
        </is>
      </c>
      <c r="E373" s="2" t="inlineStr"/>
    </row>
    <row r="374">
      <c r="A374" s="2" t="inlineStr">
        <is>
          <t>MEN31610-095</t>
        </is>
      </c>
      <c r="B374" s="2" t="inlineStr"/>
      <c r="C374" s="2" t="inlineStr"/>
      <c r="D374" s="2" t="inlineStr">
        <is>
          <t>Disponible</t>
        </is>
      </c>
      <c r="E374" s="2" t="inlineStr"/>
    </row>
    <row r="375">
      <c r="A375" s="2" t="inlineStr">
        <is>
          <t>MEN31610-096</t>
        </is>
      </c>
      <c r="B375" s="2" t="inlineStr"/>
      <c r="C375" s="2" t="inlineStr"/>
      <c r="D375" s="2" t="inlineStr">
        <is>
          <t>Disponible</t>
        </is>
      </c>
      <c r="E375" s="2" t="inlineStr"/>
    </row>
    <row r="376">
      <c r="A376" s="2" t="inlineStr">
        <is>
          <t>MEN31610-097</t>
        </is>
      </c>
      <c r="B376" s="2" t="inlineStr"/>
      <c r="C376" s="2" t="inlineStr"/>
      <c r="D376" s="2" t="inlineStr">
        <is>
          <t>Disponible</t>
        </is>
      </c>
      <c r="E376" s="2" t="inlineStr"/>
    </row>
    <row r="377">
      <c r="A377" s="2" t="inlineStr">
        <is>
          <t>MEN31610-098</t>
        </is>
      </c>
      <c r="B377" s="2" t="inlineStr"/>
      <c r="C377" s="2" t="inlineStr"/>
      <c r="D377" s="2" t="inlineStr">
        <is>
          <t>Disponible</t>
        </is>
      </c>
      <c r="E377" s="2" t="inlineStr"/>
    </row>
    <row r="378">
      <c r="A378" s="2" t="inlineStr">
        <is>
          <t>MEN31610-099</t>
        </is>
      </c>
      <c r="B378" s="2" t="inlineStr"/>
      <c r="C378" s="2" t="inlineStr"/>
      <c r="D378" s="2" t="inlineStr">
        <is>
          <t>Disponible</t>
        </is>
      </c>
      <c r="E378" s="2" t="inlineStr"/>
    </row>
    <row r="379">
      <c r="A379" s="2" t="inlineStr">
        <is>
          <t>MEN31610-100</t>
        </is>
      </c>
      <c r="B379" s="2" t="inlineStr"/>
      <c r="C379" s="2" t="inlineStr"/>
      <c r="D379" s="2" t="inlineStr">
        <is>
          <t>Disponible</t>
        </is>
      </c>
      <c r="E379" s="2" t="inlineStr"/>
    </row>
    <row r="380">
      <c r="A380" s="2" t="inlineStr">
        <is>
          <t>MEN31610-101</t>
        </is>
      </c>
      <c r="B380" s="2" t="inlineStr"/>
      <c r="C380" s="2" t="inlineStr"/>
      <c r="D380" s="2" t="inlineStr">
        <is>
          <t>Disponible</t>
        </is>
      </c>
      <c r="E380" s="2" t="inlineStr"/>
    </row>
    <row r="381">
      <c r="A381" s="2" t="inlineStr">
        <is>
          <t>MEN31610-102</t>
        </is>
      </c>
      <c r="B381" s="2" t="inlineStr"/>
      <c r="C381" s="2" t="inlineStr"/>
      <c r="D381" s="2" t="inlineStr">
        <is>
          <t>Disponible</t>
        </is>
      </c>
      <c r="E381" s="2" t="inlineStr"/>
    </row>
    <row r="382">
      <c r="A382" s="2" t="inlineStr">
        <is>
          <t>MEN31610-103</t>
        </is>
      </c>
      <c r="B382" s="2" t="inlineStr"/>
      <c r="C382" s="2" t="inlineStr"/>
      <c r="D382" s="2" t="inlineStr">
        <is>
          <t>Disponible</t>
        </is>
      </c>
      <c r="E382" s="2" t="inlineStr"/>
    </row>
    <row r="383">
      <c r="A383" s="2" t="inlineStr">
        <is>
          <t>MEN31610-104</t>
        </is>
      </c>
      <c r="B383" s="2" t="inlineStr"/>
      <c r="C383" s="2" t="inlineStr"/>
      <c r="D383" s="2" t="inlineStr">
        <is>
          <t>Disponible</t>
        </is>
      </c>
      <c r="E383" s="2" t="inlineStr"/>
    </row>
    <row r="384">
      <c r="A384" s="2" t="inlineStr">
        <is>
          <t>MEN31610-105</t>
        </is>
      </c>
      <c r="B384" s="2" t="inlineStr"/>
      <c r="C384" s="2" t="inlineStr"/>
      <c r="D384" s="2" t="inlineStr">
        <is>
          <t>Disponible</t>
        </is>
      </c>
      <c r="E384" s="2" t="inlineStr"/>
    </row>
    <row r="385">
      <c r="A385" s="2" t="inlineStr">
        <is>
          <t>MEN31610-106</t>
        </is>
      </c>
      <c r="B385" s="2" t="inlineStr"/>
      <c r="C385" s="2" t="inlineStr"/>
      <c r="D385" s="2" t="inlineStr">
        <is>
          <t>Disponible</t>
        </is>
      </c>
      <c r="E385" s="2" t="inlineStr"/>
    </row>
    <row r="386">
      <c r="A386" s="2" t="inlineStr">
        <is>
          <t>MEN31610-107</t>
        </is>
      </c>
      <c r="B386" s="2" t="inlineStr"/>
      <c r="C386" s="2" t="inlineStr"/>
      <c r="D386" s="2" t="inlineStr">
        <is>
          <t>Disponible</t>
        </is>
      </c>
      <c r="E386" s="2" t="inlineStr"/>
    </row>
    <row r="387">
      <c r="A387" s="2" t="inlineStr">
        <is>
          <t>MEN31610-108</t>
        </is>
      </c>
      <c r="B387" s="2" t="inlineStr"/>
      <c r="C387" s="2" t="inlineStr"/>
      <c r="D387" s="2" t="inlineStr">
        <is>
          <t>Disponible</t>
        </is>
      </c>
      <c r="E387" s="2" t="inlineStr"/>
    </row>
    <row r="388">
      <c r="A388" s="2" t="inlineStr">
        <is>
          <t>MEN31610-109</t>
        </is>
      </c>
      <c r="B388" s="2" t="inlineStr"/>
      <c r="C388" s="2" t="inlineStr"/>
      <c r="D388" s="2" t="inlineStr">
        <is>
          <t>Disponible</t>
        </is>
      </c>
      <c r="E388" s="2" t="inlineStr"/>
    </row>
    <row r="389">
      <c r="A389" s="2" t="inlineStr">
        <is>
          <t>MEN31610-110</t>
        </is>
      </c>
      <c r="B389" s="2" t="inlineStr"/>
      <c r="C389" s="2" t="inlineStr"/>
      <c r="D389" s="2" t="inlineStr">
        <is>
          <t>Disponible</t>
        </is>
      </c>
      <c r="E389" s="2" t="inlineStr"/>
    </row>
    <row r="390">
      <c r="A390" s="2" t="inlineStr">
        <is>
          <t>MEN31610-111</t>
        </is>
      </c>
      <c r="B390" s="2" t="inlineStr"/>
      <c r="C390" s="2" t="inlineStr"/>
      <c r="D390" s="2" t="inlineStr">
        <is>
          <t>Disponible</t>
        </is>
      </c>
      <c r="E390" s="2" t="inlineStr"/>
    </row>
    <row r="391">
      <c r="A391" s="2" t="inlineStr">
        <is>
          <t>MEN31610-112</t>
        </is>
      </c>
      <c r="B391" s="2" t="inlineStr"/>
      <c r="C391" s="2" t="inlineStr"/>
      <c r="D391" s="2" t="inlineStr">
        <is>
          <t>Disponible</t>
        </is>
      </c>
      <c r="E391" s="2" t="inlineStr"/>
    </row>
    <row r="392">
      <c r="A392" s="2" t="inlineStr">
        <is>
          <t>MEN31610-113</t>
        </is>
      </c>
      <c r="B392" s="2" t="inlineStr"/>
      <c r="C392" s="2" t="inlineStr"/>
      <c r="D392" s="2" t="inlineStr">
        <is>
          <t>Disponible</t>
        </is>
      </c>
      <c r="E392" s="2" t="inlineStr"/>
    </row>
    <row r="393">
      <c r="A393" s="2" t="inlineStr">
        <is>
          <t>MEN31610-114</t>
        </is>
      </c>
      <c r="B393" s="2" t="inlineStr"/>
      <c r="C393" s="2" t="inlineStr"/>
      <c r="D393" s="2" t="inlineStr">
        <is>
          <t>Disponible</t>
        </is>
      </c>
      <c r="E393" s="2" t="inlineStr"/>
    </row>
    <row r="394">
      <c r="A394" s="2" t="inlineStr">
        <is>
          <t>MEN31610-115</t>
        </is>
      </c>
      <c r="B394" s="2" t="inlineStr"/>
      <c r="C394" s="2" t="inlineStr"/>
      <c r="D394" s="2" t="inlineStr">
        <is>
          <t>Disponible</t>
        </is>
      </c>
      <c r="E394" s="2" t="inlineStr"/>
    </row>
    <row r="395">
      <c r="A395" s="2" t="inlineStr">
        <is>
          <t>MEN31610-116</t>
        </is>
      </c>
      <c r="B395" s="2" t="inlineStr"/>
      <c r="C395" s="2" t="inlineStr"/>
      <c r="D395" s="2" t="inlineStr">
        <is>
          <t>Disponible</t>
        </is>
      </c>
      <c r="E395" s="2" t="inlineStr"/>
    </row>
    <row r="396">
      <c r="A396" s="2" t="inlineStr">
        <is>
          <t>MEN31610-117</t>
        </is>
      </c>
      <c r="B396" s="2" t="inlineStr"/>
      <c r="C396" s="2" t="inlineStr"/>
      <c r="D396" s="2" t="inlineStr">
        <is>
          <t>Disponible</t>
        </is>
      </c>
      <c r="E396" s="2" t="inlineStr"/>
    </row>
    <row r="397">
      <c r="A397" s="2" t="inlineStr">
        <is>
          <t>MEN31610-118</t>
        </is>
      </c>
      <c r="B397" s="2" t="inlineStr"/>
      <c r="C397" s="2" t="inlineStr"/>
      <c r="D397" s="2" t="inlineStr">
        <is>
          <t>Disponible</t>
        </is>
      </c>
      <c r="E397" s="2" t="inlineStr"/>
    </row>
    <row r="398">
      <c r="A398" s="2" t="inlineStr">
        <is>
          <t>MEN31610-119</t>
        </is>
      </c>
      <c r="B398" s="2" t="inlineStr"/>
      <c r="C398" s="2" t="inlineStr"/>
      <c r="D398" s="2" t="inlineStr">
        <is>
          <t>Disponible</t>
        </is>
      </c>
      <c r="E398" s="2" t="inlineStr"/>
    </row>
    <row r="399">
      <c r="A399" s="2" t="inlineStr">
        <is>
          <t>MEN31650-001</t>
        </is>
      </c>
      <c r="B399" s="2" t="inlineStr"/>
      <c r="C399" s="2" t="inlineStr"/>
      <c r="D399" s="2" t="inlineStr">
        <is>
          <t>Disponible</t>
        </is>
      </c>
      <c r="E399" s="2" t="inlineStr"/>
    </row>
    <row r="400">
      <c r="A400" s="2" t="inlineStr">
        <is>
          <t>MEN31650-002</t>
        </is>
      </c>
      <c r="B400" s="2" t="inlineStr"/>
      <c r="C400" s="2" t="inlineStr"/>
      <c r="D400" s="2" t="inlineStr">
        <is>
          <t>Disponible</t>
        </is>
      </c>
      <c r="E400" s="2" t="inlineStr"/>
    </row>
    <row r="401">
      <c r="A401" s="2" t="inlineStr">
        <is>
          <t>MEN31650-003</t>
        </is>
      </c>
      <c r="B401" s="2" t="inlineStr"/>
      <c r="C401" s="2" t="inlineStr"/>
      <c r="D401" s="2" t="inlineStr">
        <is>
          <t>Disponible</t>
        </is>
      </c>
      <c r="E401" s="2" t="inlineStr"/>
    </row>
    <row r="402">
      <c r="A402" s="2" t="inlineStr">
        <is>
          <t>MEN31650-004</t>
        </is>
      </c>
      <c r="B402" s="2" t="inlineStr"/>
      <c r="C402" s="2" t="inlineStr"/>
      <c r="D402" s="2" t="inlineStr">
        <is>
          <t>Disponible</t>
        </is>
      </c>
      <c r="E402" s="2" t="inlineStr"/>
    </row>
    <row r="403">
      <c r="A403" s="2" t="inlineStr">
        <is>
          <t>MEN31650-005</t>
        </is>
      </c>
      <c r="B403" s="2" t="inlineStr"/>
      <c r="C403" s="2" t="inlineStr"/>
      <c r="D403" s="2" t="inlineStr">
        <is>
          <t>Disponible</t>
        </is>
      </c>
      <c r="E403" s="2" t="inlineStr"/>
    </row>
    <row r="404">
      <c r="A404" s="2" t="inlineStr">
        <is>
          <t>MEN31650-006</t>
        </is>
      </c>
      <c r="B404" s="2" t="inlineStr"/>
      <c r="C404" s="2" t="inlineStr"/>
      <c r="D404" s="2" t="inlineStr">
        <is>
          <t>Disponible</t>
        </is>
      </c>
      <c r="E404" s="2" t="inlineStr"/>
    </row>
    <row r="405">
      <c r="A405" s="2" t="inlineStr">
        <is>
          <t>MEN31650-007</t>
        </is>
      </c>
      <c r="B405" s="2" t="inlineStr"/>
      <c r="C405" s="2" t="inlineStr"/>
      <c r="D405" s="2" t="inlineStr">
        <is>
          <t>Disponible</t>
        </is>
      </c>
      <c r="E405" s="2" t="inlineStr"/>
    </row>
    <row r="406">
      <c r="A406" s="2" t="inlineStr">
        <is>
          <t>MEN31650-008</t>
        </is>
      </c>
      <c r="B406" s="2" t="inlineStr"/>
      <c r="C406" s="2" t="inlineStr"/>
      <c r="D406" s="2" t="inlineStr">
        <is>
          <t>Disponible</t>
        </is>
      </c>
      <c r="E406" s="2" t="inlineStr"/>
    </row>
    <row r="407">
      <c r="A407" s="2" t="inlineStr">
        <is>
          <t>MEN31650-009</t>
        </is>
      </c>
      <c r="B407" s="2" t="inlineStr"/>
      <c r="C407" s="2" t="inlineStr"/>
      <c r="D407" s="2" t="inlineStr">
        <is>
          <t>Disponible</t>
        </is>
      </c>
      <c r="E407" s="2" t="inlineStr"/>
    </row>
    <row r="408">
      <c r="A408" s="2" t="inlineStr">
        <is>
          <t>MEN31650-010</t>
        </is>
      </c>
      <c r="B408" s="2" t="inlineStr"/>
      <c r="C408" s="2" t="inlineStr"/>
      <c r="D408" s="2" t="inlineStr">
        <is>
          <t>Disponible</t>
        </is>
      </c>
      <c r="E408" s="2" t="inlineStr"/>
    </row>
    <row r="409">
      <c r="A409" s="2" t="inlineStr">
        <is>
          <t>MNG56315-001</t>
        </is>
      </c>
      <c r="B409" s="2" t="inlineStr"/>
      <c r="C409" s="2" t="inlineStr"/>
      <c r="D409" s="2" t="inlineStr">
        <is>
          <t>Disponible</t>
        </is>
      </c>
      <c r="E409" s="2" t="inlineStr"/>
    </row>
    <row r="410">
      <c r="A410" s="2" t="inlineStr">
        <is>
          <t>MNG56330-001</t>
        </is>
      </c>
      <c r="B410" s="2" t="inlineStr"/>
      <c r="C410" s="2" t="inlineStr"/>
      <c r="D410" s="2" t="inlineStr">
        <is>
          <t>Disponible</t>
        </is>
      </c>
      <c r="E410" s="2" t="inlineStr"/>
    </row>
    <row r="411">
      <c r="A411" s="2" t="inlineStr">
        <is>
          <t>MNG56330-002</t>
        </is>
      </c>
      <c r="B411" s="2" t="inlineStr"/>
      <c r="C411" s="2" t="inlineStr"/>
      <c r="D411" s="2" t="inlineStr">
        <is>
          <t>Disponible</t>
        </is>
      </c>
      <c r="E411" s="2" t="inlineStr"/>
    </row>
    <row r="412">
      <c r="A412" s="2" t="inlineStr">
        <is>
          <t>MNG56325-001</t>
        </is>
      </c>
      <c r="B412" s="2" t="inlineStr"/>
      <c r="C412" s="2" t="inlineStr"/>
      <c r="D412" s="2" t="inlineStr">
        <is>
          <t>Disponible</t>
        </is>
      </c>
      <c r="E412" s="2" t="inlineStr"/>
    </row>
    <row r="413">
      <c r="A413" s="2" t="inlineStr">
        <is>
          <t>MNG56340-001</t>
        </is>
      </c>
      <c r="B413" s="2" t="inlineStr"/>
      <c r="C413" s="2" t="inlineStr"/>
      <c r="D413" s="2" t="inlineStr">
        <is>
          <t>Disponible</t>
        </is>
      </c>
      <c r="E413" s="2" t="inlineStr"/>
    </row>
    <row r="414">
      <c r="A414" s="2" t="inlineStr">
        <is>
          <t>MNG56340-002</t>
        </is>
      </c>
      <c r="B414" s="2" t="inlineStr"/>
      <c r="C414" s="2" t="inlineStr"/>
      <c r="D414" s="2" t="inlineStr">
        <is>
          <t>Disponible</t>
        </is>
      </c>
      <c r="E414" s="2" t="inlineStr"/>
    </row>
    <row r="415">
      <c r="A415" s="2" t="inlineStr">
        <is>
          <t>MNG56350-001</t>
        </is>
      </c>
      <c r="B415" s="2" t="inlineStr"/>
      <c r="C415" s="2" t="inlineStr"/>
      <c r="D415" s="2" t="inlineStr">
        <is>
          <t>Disponible</t>
        </is>
      </c>
      <c r="E415" s="2" t="inlineStr"/>
    </row>
    <row r="416">
      <c r="A416" s="2" t="inlineStr">
        <is>
          <t>MNG56350-002</t>
        </is>
      </c>
      <c r="B416" s="2" t="inlineStr"/>
      <c r="C416" s="2" t="inlineStr"/>
      <c r="D416" s="2" t="inlineStr">
        <is>
          <t>Disponible</t>
        </is>
      </c>
      <c r="E416" s="2" t="inlineStr"/>
    </row>
    <row r="417">
      <c r="A417" s="2" t="inlineStr">
        <is>
          <t>MNG56350-003</t>
        </is>
      </c>
      <c r="B417" s="2" t="inlineStr"/>
      <c r="C417" s="2" t="inlineStr"/>
      <c r="D417" s="2" t="inlineStr">
        <is>
          <t>Disponible</t>
        </is>
      </c>
      <c r="E417" s="2" t="inlineStr"/>
    </row>
    <row r="418">
      <c r="A418" s="2" t="inlineStr">
        <is>
          <t>MNG56350-004</t>
        </is>
      </c>
      <c r="B418" s="2" t="inlineStr"/>
      <c r="C418" s="2" t="inlineStr"/>
      <c r="D418" s="2" t="inlineStr">
        <is>
          <t>Disponible</t>
        </is>
      </c>
      <c r="E418" s="2" t="inlineStr"/>
    </row>
    <row r="419">
      <c r="A419" s="2" t="inlineStr">
        <is>
          <t>MNG56350-005</t>
        </is>
      </c>
      <c r="B419" s="2" t="inlineStr"/>
      <c r="C419" s="2" t="inlineStr"/>
      <c r="D419" s="2" t="inlineStr">
        <is>
          <t>Disponible</t>
        </is>
      </c>
      <c r="E419" s="2" t="inlineStr"/>
    </row>
    <row r="420">
      <c r="A420" s="2" t="inlineStr">
        <is>
          <t>MNG56350-006</t>
        </is>
      </c>
      <c r="B420" s="2" t="inlineStr"/>
      <c r="C420" s="2" t="inlineStr"/>
      <c r="D420" s="2" t="inlineStr">
        <is>
          <t>Disponible</t>
        </is>
      </c>
      <c r="E420" s="2" t="inlineStr"/>
    </row>
    <row r="421">
      <c r="A421" s="2" t="inlineStr">
        <is>
          <t>MNG56350-007</t>
        </is>
      </c>
      <c r="B421" s="2" t="inlineStr"/>
      <c r="C421" s="2" t="inlineStr"/>
      <c r="D421" s="2" t="inlineStr">
        <is>
          <t>Disponible</t>
        </is>
      </c>
      <c r="E421" s="2" t="inlineStr"/>
    </row>
    <row r="422">
      <c r="A422" s="2" t="inlineStr">
        <is>
          <t>MNG56350-008</t>
        </is>
      </c>
      <c r="B422" s="2" t="inlineStr"/>
      <c r="C422" s="2" t="inlineStr"/>
      <c r="D422" s="2" t="inlineStr">
        <is>
          <t>Disponible</t>
        </is>
      </c>
      <c r="E422" s="2" t="inlineStr"/>
    </row>
    <row r="423">
      <c r="A423" s="2" t="inlineStr">
        <is>
          <t>MNG56350-009</t>
        </is>
      </c>
      <c r="B423" s="2" t="inlineStr"/>
      <c r="C423" s="2" t="inlineStr"/>
      <c r="D423" s="2" t="inlineStr">
        <is>
          <t>Disponible</t>
        </is>
      </c>
      <c r="E423" s="2" t="inlineStr"/>
    </row>
    <row r="424">
      <c r="A424" s="2" t="inlineStr">
        <is>
          <t>MNG56350-010</t>
        </is>
      </c>
      <c r="B424" s="2" t="inlineStr"/>
      <c r="C424" s="2" t="inlineStr"/>
      <c r="D424" s="2" t="inlineStr">
        <is>
          <t>Disponible</t>
        </is>
      </c>
      <c r="E424" s="2" t="inlineStr"/>
    </row>
    <row r="425">
      <c r="A425" s="2" t="inlineStr">
        <is>
          <t>MNG56350-011</t>
        </is>
      </c>
      <c r="B425" s="2" t="inlineStr"/>
      <c r="C425" s="2" t="inlineStr"/>
      <c r="D425" s="2" t="inlineStr">
        <is>
          <t>Disponible</t>
        </is>
      </c>
      <c r="E425" s="2" t="inlineStr"/>
    </row>
    <row r="426">
      <c r="A426" s="2" t="inlineStr">
        <is>
          <t>MNG56350-012</t>
        </is>
      </c>
      <c r="B426" s="2" t="inlineStr"/>
      <c r="C426" s="2" t="inlineStr"/>
      <c r="D426" s="2" t="inlineStr">
        <is>
          <t>Disponible</t>
        </is>
      </c>
      <c r="E426" s="2" t="inlineStr"/>
    </row>
    <row r="427">
      <c r="A427" s="2" t="inlineStr">
        <is>
          <t>MNG56350-013</t>
        </is>
      </c>
      <c r="B427" s="2" t="inlineStr"/>
      <c r="C427" s="2" t="inlineStr"/>
      <c r="D427" s="2" t="inlineStr">
        <is>
          <t>Disponible</t>
        </is>
      </c>
      <c r="E427" s="2" t="inlineStr"/>
    </row>
    <row r="428">
      <c r="A428" s="2" t="inlineStr">
        <is>
          <t>MNG56350-014</t>
        </is>
      </c>
      <c r="B428" s="2" t="inlineStr"/>
      <c r="C428" s="2" t="inlineStr"/>
      <c r="D428" s="2" t="inlineStr">
        <is>
          <t>Disponible</t>
        </is>
      </c>
      <c r="E428" s="2" t="inlineStr"/>
    </row>
    <row r="429">
      <c r="A429" s="2" t="inlineStr">
        <is>
          <t>MNG56350-015</t>
        </is>
      </c>
      <c r="B429" s="2" t="inlineStr"/>
      <c r="C429" s="2" t="inlineStr"/>
      <c r="D429" s="2" t="inlineStr">
        <is>
          <t>Disponible</t>
        </is>
      </c>
      <c r="E429" s="2" t="inlineStr"/>
    </row>
    <row r="430">
      <c r="A430" s="2" t="inlineStr">
        <is>
          <t>MNG5633-001</t>
        </is>
      </c>
      <c r="B430" s="2" t="inlineStr"/>
      <c r="C430" s="2" t="inlineStr"/>
      <c r="D430" s="2" t="inlineStr">
        <is>
          <t>Disponible</t>
        </is>
      </c>
      <c r="E430" s="2" t="inlineStr"/>
    </row>
    <row r="431">
      <c r="A431" s="2" t="inlineStr">
        <is>
          <t>MNG5633-002</t>
        </is>
      </c>
      <c r="B431" s="2" t="inlineStr"/>
      <c r="C431" s="2" t="inlineStr"/>
      <c r="D431" s="2" t="inlineStr">
        <is>
          <t>Disponible</t>
        </is>
      </c>
      <c r="E431" s="2" t="inlineStr"/>
    </row>
    <row r="432">
      <c r="A432" s="2" t="inlineStr">
        <is>
          <t>MEN3161</t>
        </is>
      </c>
      <c r="B432" s="2" t="inlineStr"/>
      <c r="C432" s="2" t="inlineStr"/>
      <c r="D432" s="2" t="inlineStr">
        <is>
          <t>Disponible</t>
        </is>
      </c>
      <c r="E432" s="2" t="inlineStr"/>
    </row>
    <row r="433">
      <c r="A433" s="2" t="inlineStr">
        <is>
          <t>DIFURQUE-001</t>
        </is>
      </c>
      <c r="B433" s="2" t="inlineStr"/>
      <c r="C433" s="2" t="inlineStr"/>
      <c r="D433" s="2" t="inlineStr">
        <is>
          <t>Disponible</t>
        </is>
      </c>
      <c r="E433" s="2" t="inlineStr"/>
    </row>
    <row r="434">
      <c r="A434" s="2" t="inlineStr">
        <is>
          <t>DIFURQUE-002</t>
        </is>
      </c>
      <c r="B434" s="2" t="inlineStr"/>
      <c r="C434" s="2" t="inlineStr"/>
      <c r="D434" s="2" t="inlineStr">
        <is>
          <t>Disponible</t>
        </is>
      </c>
      <c r="E434" s="2" t="inlineStr"/>
    </row>
    <row r="435">
      <c r="A435" s="2" t="inlineStr">
        <is>
          <t>DIFURQUE-003</t>
        </is>
      </c>
      <c r="B435" s="2" t="inlineStr"/>
      <c r="C435" s="2" t="inlineStr"/>
      <c r="D435" s="2" t="inlineStr">
        <is>
          <t>Disponible</t>
        </is>
      </c>
      <c r="E435" s="2" t="inlineStr"/>
    </row>
    <row r="436">
      <c r="A436" s="2" t="inlineStr">
        <is>
          <t>DIFURQUE-004</t>
        </is>
      </c>
      <c r="B436" s="2" t="inlineStr"/>
      <c r="C436" s="2" t="inlineStr"/>
      <c r="D436" s="2" t="inlineStr">
        <is>
          <t>Disponible</t>
        </is>
      </c>
      <c r="E436" s="2" t="inlineStr"/>
    </row>
    <row r="437">
      <c r="A437" s="2" t="inlineStr">
        <is>
          <t>DIFURQUE-005</t>
        </is>
      </c>
      <c r="B437" s="2" t="inlineStr"/>
      <c r="C437" s="2" t="inlineStr"/>
      <c r="D437" s="2" t="inlineStr">
        <is>
          <t>Disponible</t>
        </is>
      </c>
      <c r="E437" s="2" t="inlineStr"/>
    </row>
    <row r="438">
      <c r="A438" s="2" t="inlineStr">
        <is>
          <t>DIFURQUE-006</t>
        </is>
      </c>
      <c r="B438" s="2" t="inlineStr"/>
      <c r="C438" s="2" t="inlineStr"/>
      <c r="D438" s="2" t="inlineStr">
        <is>
          <t>Disponible</t>
        </is>
      </c>
      <c r="E438" s="2" t="inlineStr"/>
    </row>
    <row r="439">
      <c r="A439" s="2" t="inlineStr">
        <is>
          <t>DIFURQUE-007</t>
        </is>
      </c>
      <c r="B439" s="2" t="inlineStr"/>
      <c r="C439" s="2" t="inlineStr"/>
      <c r="D439" s="2" t="inlineStr">
        <is>
          <t>Disponible</t>
        </is>
      </c>
      <c r="E439" s="2" t="inlineStr"/>
    </row>
    <row r="440">
      <c r="A440" s="2" t="inlineStr">
        <is>
          <t>DIFURQUE-008</t>
        </is>
      </c>
      <c r="B440" s="2" t="inlineStr"/>
      <c r="C440" s="2" t="inlineStr"/>
      <c r="D440" s="2" t="inlineStr">
        <is>
          <t>Disponible</t>
        </is>
      </c>
      <c r="E440" s="2" t="inlineStr"/>
    </row>
    <row r="441">
      <c r="A441" s="2" t="inlineStr">
        <is>
          <t>DIFURQUE-009</t>
        </is>
      </c>
      <c r="B441" s="2" t="inlineStr"/>
      <c r="C441" s="2" t="inlineStr"/>
      <c r="D441" s="2" t="inlineStr">
        <is>
          <t>Disponible</t>
        </is>
      </c>
      <c r="E441" s="2" t="inlineStr"/>
    </row>
    <row r="442">
      <c r="A442" s="2" t="inlineStr">
        <is>
          <t>DIFURQUE-010</t>
        </is>
      </c>
      <c r="B442" s="2" t="inlineStr"/>
      <c r="C442" s="2" t="inlineStr"/>
      <c r="D442" s="2" t="inlineStr">
        <is>
          <t>Disponible</t>
        </is>
      </c>
      <c r="E442" s="2" t="inlineStr"/>
    </row>
    <row r="443">
      <c r="A443" s="2" t="inlineStr">
        <is>
          <t>DIFURQUE-011</t>
        </is>
      </c>
      <c r="B443" s="2" t="inlineStr"/>
      <c r="C443" s="2" t="inlineStr"/>
      <c r="D443" s="2" t="inlineStr">
        <is>
          <t>Disponible</t>
        </is>
      </c>
      <c r="E443" s="2" t="inlineStr"/>
    </row>
    <row r="444">
      <c r="A444" s="2" t="inlineStr">
        <is>
          <t>DIFURQUE-012</t>
        </is>
      </c>
      <c r="B444" s="2" t="inlineStr"/>
      <c r="C444" s="2" t="inlineStr"/>
      <c r="D444" s="2" t="inlineStr">
        <is>
          <t>Disponible</t>
        </is>
      </c>
      <c r="E444" s="2" t="inlineStr"/>
    </row>
    <row r="445">
      <c r="A445" s="2" t="inlineStr">
        <is>
          <t>DIFURQUE-013</t>
        </is>
      </c>
      <c r="B445" s="2" t="inlineStr"/>
      <c r="C445" s="2" t="inlineStr"/>
      <c r="D445" s="2" t="inlineStr">
        <is>
          <t>Disponible</t>
        </is>
      </c>
      <c r="E445" s="2" t="inlineStr"/>
    </row>
    <row r="446">
      <c r="A446" s="2" t="inlineStr">
        <is>
          <t>DIFURQUE-014</t>
        </is>
      </c>
      <c r="B446" s="2" t="inlineStr"/>
      <c r="C446" s="2" t="inlineStr"/>
      <c r="D446" s="2" t="inlineStr">
        <is>
          <t>Disponible</t>
        </is>
      </c>
      <c r="E446" s="2" t="inlineStr"/>
    </row>
    <row r="447">
      <c r="A447" s="2" t="inlineStr">
        <is>
          <t>DIFURQUE-015</t>
        </is>
      </c>
      <c r="B447" s="2" t="inlineStr"/>
      <c r="C447" s="2" t="inlineStr"/>
      <c r="D447" s="2" t="inlineStr">
        <is>
          <t>Disponible</t>
        </is>
      </c>
      <c r="E447" s="2" t="inlineStr"/>
    </row>
    <row r="448">
      <c r="A448" s="2" t="inlineStr">
        <is>
          <t>DIFURQUE-016</t>
        </is>
      </c>
      <c r="B448" s="2" t="inlineStr"/>
      <c r="C448" s="2" t="inlineStr"/>
      <c r="D448" s="2" t="inlineStr">
        <is>
          <t>Disponible</t>
        </is>
      </c>
      <c r="E448" s="2" t="inlineStr"/>
    </row>
    <row r="449">
      <c r="A449" s="2" t="inlineStr">
        <is>
          <t>DIFURQUE-017</t>
        </is>
      </c>
      <c r="B449" s="2" t="inlineStr"/>
      <c r="C449" s="2" t="inlineStr"/>
      <c r="D449" s="2" t="inlineStr">
        <is>
          <t>Disponible</t>
        </is>
      </c>
      <c r="E449" s="2" t="inlineStr"/>
    </row>
    <row r="450">
      <c r="A450" s="2" t="inlineStr">
        <is>
          <t>DIFURQUE-018</t>
        </is>
      </c>
      <c r="B450" s="2" t="inlineStr"/>
      <c r="C450" s="2" t="inlineStr"/>
      <c r="D450" s="2" t="inlineStr">
        <is>
          <t>Disponible</t>
        </is>
      </c>
      <c r="E450" s="2" t="inlineStr"/>
    </row>
    <row r="451">
      <c r="A451" s="2" t="inlineStr">
        <is>
          <t>DIFURQUE-019</t>
        </is>
      </c>
      <c r="B451" s="2" t="inlineStr"/>
      <c r="C451" s="2" t="inlineStr"/>
      <c r="D451" s="2" t="inlineStr">
        <is>
          <t>Disponible</t>
        </is>
      </c>
      <c r="E451" s="2" t="inlineStr"/>
    </row>
    <row r="452">
      <c r="A452" s="2" t="inlineStr">
        <is>
          <t>DIFURQUE-020</t>
        </is>
      </c>
      <c r="B452" s="2" t="inlineStr"/>
      <c r="C452" s="2" t="inlineStr"/>
      <c r="D452" s="2" t="inlineStr">
        <is>
          <t>Disponible</t>
        </is>
      </c>
      <c r="E452" s="2" t="inlineStr"/>
    </row>
    <row r="453">
      <c r="A453" s="2" t="inlineStr">
        <is>
          <t>DIFURQUE-021</t>
        </is>
      </c>
      <c r="B453" s="2" t="inlineStr"/>
      <c r="C453" s="2" t="inlineStr"/>
      <c r="D453" s="2" t="inlineStr">
        <is>
          <t>Disponible</t>
        </is>
      </c>
      <c r="E453" s="2" t="inlineStr"/>
    </row>
    <row r="454">
      <c r="A454" s="2" t="inlineStr">
        <is>
          <t>DIFURQUE-022</t>
        </is>
      </c>
      <c r="B454" s="2" t="inlineStr"/>
      <c r="C454" s="2" t="inlineStr"/>
      <c r="D454" s="2" t="inlineStr">
        <is>
          <t>Disponible</t>
        </is>
      </c>
      <c r="E454" s="2" t="inlineStr"/>
    </row>
    <row r="455">
      <c r="A455" s="2" t="inlineStr">
        <is>
          <t>DIFURQUE-023</t>
        </is>
      </c>
      <c r="B455" s="2" t="inlineStr"/>
      <c r="C455" s="2" t="inlineStr"/>
      <c r="D455" s="2" t="inlineStr">
        <is>
          <t>Disponible</t>
        </is>
      </c>
      <c r="E455" s="2" t="inlineStr"/>
    </row>
    <row r="456">
      <c r="A456" s="2" t="inlineStr">
        <is>
          <t>DIFURQUE-024</t>
        </is>
      </c>
      <c r="B456" s="2" t="inlineStr"/>
      <c r="C456" s="2" t="inlineStr"/>
      <c r="D456" s="2" t="inlineStr">
        <is>
          <t>Disponible</t>
        </is>
      </c>
      <c r="E456" s="2" t="inlineStr"/>
    </row>
    <row r="457">
      <c r="A457" s="2" t="inlineStr">
        <is>
          <t>DIFURQUE-025</t>
        </is>
      </c>
      <c r="B457" s="2" t="inlineStr"/>
      <c r="C457" s="2" t="inlineStr"/>
      <c r="D457" s="2" t="inlineStr">
        <is>
          <t>Disponible</t>
        </is>
      </c>
      <c r="E457" s="2" t="inlineStr"/>
    </row>
    <row r="458">
      <c r="A458" s="2" t="inlineStr">
        <is>
          <t>DIFURQUE-026</t>
        </is>
      </c>
      <c r="B458" s="2" t="inlineStr"/>
      <c r="C458" s="2" t="inlineStr"/>
      <c r="D458" s="2" t="inlineStr">
        <is>
          <t>Disponible</t>
        </is>
      </c>
      <c r="E458" s="2" t="inlineStr"/>
    </row>
    <row r="459">
      <c r="A459" s="2" t="inlineStr">
        <is>
          <t>DIFURQUE-027</t>
        </is>
      </c>
      <c r="B459" s="2" t="inlineStr"/>
      <c r="C459" s="2" t="inlineStr"/>
      <c r="D459" s="2" t="inlineStr">
        <is>
          <t>Disponible</t>
        </is>
      </c>
      <c r="E459" s="2" t="inlineStr"/>
    </row>
    <row r="460">
      <c r="A460" s="2" t="inlineStr">
        <is>
          <t>DIFURQUE-028</t>
        </is>
      </c>
      <c r="B460" s="2" t="inlineStr"/>
      <c r="C460" s="2" t="inlineStr"/>
      <c r="D460" s="2" t="inlineStr">
        <is>
          <t>Disponible</t>
        </is>
      </c>
      <c r="E460" s="2" t="inlineStr"/>
    </row>
    <row r="461">
      <c r="A461" s="2" t="inlineStr">
        <is>
          <t>DIFURQUE-029</t>
        </is>
      </c>
      <c r="B461" s="2" t="inlineStr"/>
      <c r="C461" s="2" t="inlineStr"/>
      <c r="D461" s="2" t="inlineStr">
        <is>
          <t>Disponible</t>
        </is>
      </c>
      <c r="E461" s="2" t="inlineStr"/>
    </row>
    <row r="462">
      <c r="A462" s="2" t="inlineStr">
        <is>
          <t>DIFURQUE-030</t>
        </is>
      </c>
      <c r="B462" s="2" t="inlineStr"/>
      <c r="C462" s="2" t="inlineStr"/>
      <c r="D462" s="2" t="inlineStr">
        <is>
          <t>Disponible</t>
        </is>
      </c>
      <c r="E462" s="2" t="inlineStr"/>
    </row>
    <row r="463">
      <c r="A463" s="2" t="inlineStr">
        <is>
          <t>DIFURQUE-031</t>
        </is>
      </c>
      <c r="B463" s="2" t="inlineStr"/>
      <c r="C463" s="2" t="inlineStr"/>
      <c r="D463" s="2" t="inlineStr">
        <is>
          <t>Disponible</t>
        </is>
      </c>
      <c r="E463" s="2" t="inlineStr"/>
    </row>
    <row r="464">
      <c r="A464" s="2" t="inlineStr">
        <is>
          <t>DIFURQUE-032</t>
        </is>
      </c>
      <c r="B464" s="2" t="inlineStr"/>
      <c r="C464" s="2" t="inlineStr"/>
      <c r="D464" s="2" t="inlineStr">
        <is>
          <t>Disponible</t>
        </is>
      </c>
      <c r="E464" s="2" t="inlineStr"/>
    </row>
    <row r="465">
      <c r="A465" s="2" t="inlineStr">
        <is>
          <t>DIFURQUE-033</t>
        </is>
      </c>
      <c r="B465" s="2" t="inlineStr"/>
      <c r="C465" s="2" t="inlineStr"/>
      <c r="D465" s="2" t="inlineStr">
        <is>
          <t>Disponible</t>
        </is>
      </c>
      <c r="E465" s="2" t="inlineStr"/>
    </row>
    <row r="466">
      <c r="A466" s="2" t="inlineStr">
        <is>
          <t>DIFURQUE-034</t>
        </is>
      </c>
      <c r="B466" s="2" t="inlineStr"/>
      <c r="C466" s="2" t="inlineStr"/>
      <c r="D466" s="2" t="inlineStr">
        <is>
          <t>Disponible</t>
        </is>
      </c>
      <c r="E466" s="2" t="inlineStr"/>
    </row>
    <row r="467">
      <c r="A467" s="2" t="inlineStr">
        <is>
          <t>DIFURQUE-035</t>
        </is>
      </c>
      <c r="B467" s="2" t="inlineStr"/>
      <c r="C467" s="2" t="inlineStr"/>
      <c r="D467" s="2" t="inlineStr">
        <is>
          <t>Disponible</t>
        </is>
      </c>
      <c r="E467" s="2" t="inlineStr"/>
    </row>
    <row r="468">
      <c r="A468" s="2" t="inlineStr">
        <is>
          <t>DIFURQUE-036</t>
        </is>
      </c>
      <c r="B468" s="2" t="inlineStr"/>
      <c r="C468" s="2" t="inlineStr"/>
      <c r="D468" s="2" t="inlineStr">
        <is>
          <t>Disponible</t>
        </is>
      </c>
      <c r="E468" s="2" t="inlineStr"/>
    </row>
    <row r="469">
      <c r="A469" s="2" t="inlineStr">
        <is>
          <t>DIFURQUE-037</t>
        </is>
      </c>
      <c r="B469" s="2" t="inlineStr"/>
      <c r="C469" s="2" t="inlineStr"/>
      <c r="D469" s="2" t="inlineStr">
        <is>
          <t>Disponible</t>
        </is>
      </c>
      <c r="E469" s="2" t="inlineStr"/>
    </row>
    <row r="470">
      <c r="A470" s="2" t="inlineStr">
        <is>
          <t>DIFURQUE-038</t>
        </is>
      </c>
      <c r="B470" s="2" t="inlineStr"/>
      <c r="C470" s="2" t="inlineStr"/>
      <c r="D470" s="2" t="inlineStr">
        <is>
          <t>Disponible</t>
        </is>
      </c>
      <c r="E470" s="2" t="inlineStr"/>
    </row>
    <row r="471">
      <c r="A471" s="2" t="inlineStr">
        <is>
          <t>DIFURQUE-039</t>
        </is>
      </c>
      <c r="B471" s="2" t="inlineStr"/>
      <c r="C471" s="2" t="inlineStr"/>
      <c r="D471" s="2" t="inlineStr">
        <is>
          <t>Disponible</t>
        </is>
      </c>
      <c r="E471" s="2" t="inlineStr"/>
    </row>
    <row r="472">
      <c r="A472" s="2" t="inlineStr">
        <is>
          <t>DIFURQUE-040</t>
        </is>
      </c>
      <c r="B472" s="2" t="inlineStr"/>
      <c r="C472" s="2" t="inlineStr"/>
      <c r="D472" s="2" t="inlineStr">
        <is>
          <t>Disponible</t>
        </is>
      </c>
      <c r="E472" s="2" t="inlineStr"/>
    </row>
    <row r="473">
      <c r="A473" s="2" t="inlineStr">
        <is>
          <t>DIFURQUE-041</t>
        </is>
      </c>
      <c r="B473" s="2" t="inlineStr"/>
      <c r="C473" s="2" t="inlineStr"/>
      <c r="D473" s="2" t="inlineStr">
        <is>
          <t>Disponible</t>
        </is>
      </c>
      <c r="E473" s="2" t="inlineStr"/>
    </row>
    <row r="474">
      <c r="A474" s="2" t="inlineStr">
        <is>
          <t>DIFURQUE-042</t>
        </is>
      </c>
      <c r="B474" s="2" t="inlineStr"/>
      <c r="C474" s="2" t="inlineStr"/>
      <c r="D474" s="2" t="inlineStr">
        <is>
          <t>Disponible</t>
        </is>
      </c>
      <c r="E474" s="2" t="inlineStr"/>
    </row>
    <row r="475">
      <c r="A475" s="2" t="inlineStr">
        <is>
          <t>DIFURQUE-043</t>
        </is>
      </c>
      <c r="B475" s="2" t="inlineStr"/>
      <c r="C475" s="2" t="inlineStr"/>
      <c r="D475" s="2" t="inlineStr">
        <is>
          <t>Disponible</t>
        </is>
      </c>
      <c r="E475" s="2" t="inlineStr"/>
    </row>
    <row r="476">
      <c r="A476" s="2" t="inlineStr">
        <is>
          <t>DIFURQUE-044</t>
        </is>
      </c>
      <c r="B476" s="2" t="inlineStr"/>
      <c r="C476" s="2" t="inlineStr"/>
      <c r="D476" s="2" t="inlineStr">
        <is>
          <t>Disponible</t>
        </is>
      </c>
      <c r="E476" s="2" t="inlineStr"/>
    </row>
    <row r="477">
      <c r="A477" s="2" t="inlineStr">
        <is>
          <t>DIFURQUE-045</t>
        </is>
      </c>
      <c r="B477" s="2" t="inlineStr"/>
      <c r="C477" s="2" t="inlineStr"/>
      <c r="D477" s="2" t="inlineStr">
        <is>
          <t>Disponible</t>
        </is>
      </c>
      <c r="E477" s="2" t="inlineStr"/>
    </row>
    <row r="478">
      <c r="A478" s="2" t="inlineStr">
        <is>
          <t>DIFURQUE-046</t>
        </is>
      </c>
      <c r="B478" s="2" t="inlineStr"/>
      <c r="C478" s="2" t="inlineStr"/>
      <c r="D478" s="2" t="inlineStr">
        <is>
          <t>Disponible</t>
        </is>
      </c>
      <c r="E478" s="2" t="inlineStr"/>
    </row>
    <row r="479">
      <c r="A479" s="2" t="inlineStr">
        <is>
          <t>DIFURQUE-047</t>
        </is>
      </c>
      <c r="B479" s="2" t="inlineStr"/>
      <c r="C479" s="2" t="inlineStr"/>
      <c r="D479" s="2" t="inlineStr">
        <is>
          <t>Disponible</t>
        </is>
      </c>
      <c r="E479" s="2" t="inlineStr"/>
    </row>
    <row r="480">
      <c r="A480" s="2" t="inlineStr">
        <is>
          <t>DIFURQUE-048</t>
        </is>
      </c>
      <c r="B480" s="2" t="inlineStr"/>
      <c r="C480" s="2" t="inlineStr"/>
      <c r="D480" s="2" t="inlineStr">
        <is>
          <t>Disponible</t>
        </is>
      </c>
      <c r="E480" s="2" t="inlineStr"/>
    </row>
    <row r="481">
      <c r="A481" s="2" t="inlineStr">
        <is>
          <t>DIFURQUE-049</t>
        </is>
      </c>
      <c r="B481" s="2" t="inlineStr"/>
      <c r="C481" s="2" t="inlineStr"/>
      <c r="D481" s="2" t="inlineStr">
        <is>
          <t>Disponible</t>
        </is>
      </c>
      <c r="E481" s="2" t="inlineStr"/>
    </row>
    <row r="482">
      <c r="A482" s="2" t="inlineStr">
        <is>
          <t>DIFURQUE-050</t>
        </is>
      </c>
      <c r="B482" s="2" t="inlineStr"/>
      <c r="C482" s="2" t="inlineStr"/>
      <c r="D482" s="2" t="inlineStr">
        <is>
          <t>Disponible</t>
        </is>
      </c>
      <c r="E482" s="2" t="inlineStr"/>
    </row>
    <row r="483">
      <c r="A483" s="2" t="inlineStr">
        <is>
          <t>DIFURQUE-051</t>
        </is>
      </c>
      <c r="B483" s="2" t="inlineStr"/>
      <c r="C483" s="2" t="inlineStr"/>
      <c r="D483" s="2" t="inlineStr">
        <is>
          <t>Disponible</t>
        </is>
      </c>
      <c r="E483" s="2" t="inlineStr"/>
    </row>
    <row r="484">
      <c r="A484" s="2" t="inlineStr">
        <is>
          <t>DIFURQUE-052</t>
        </is>
      </c>
      <c r="B484" s="2" t="inlineStr"/>
      <c r="C484" s="2" t="inlineStr"/>
      <c r="D484" s="2" t="inlineStr">
        <is>
          <t>Disponible</t>
        </is>
      </c>
      <c r="E484" s="2" t="inlineStr"/>
    </row>
    <row r="485">
      <c r="A485" s="2" t="inlineStr">
        <is>
          <t>DIFURQUE-053</t>
        </is>
      </c>
      <c r="B485" s="2" t="inlineStr"/>
      <c r="C485" s="2" t="inlineStr"/>
      <c r="D485" s="2" t="inlineStr">
        <is>
          <t>Disponible</t>
        </is>
      </c>
      <c r="E485" s="2" t="inlineStr"/>
    </row>
    <row r="486">
      <c r="A486" s="2" t="inlineStr">
        <is>
          <t>DIFURQUE-054</t>
        </is>
      </c>
      <c r="B486" s="2" t="inlineStr"/>
      <c r="C486" s="2" t="inlineStr"/>
      <c r="D486" s="2" t="inlineStr">
        <is>
          <t>Disponible</t>
        </is>
      </c>
      <c r="E486" s="2" t="inlineStr"/>
    </row>
    <row r="487">
      <c r="A487" s="2" t="inlineStr">
        <is>
          <t>DIFURQUE-055</t>
        </is>
      </c>
      <c r="B487" s="2" t="inlineStr"/>
      <c r="C487" s="2" t="inlineStr"/>
      <c r="D487" s="2" t="inlineStr">
        <is>
          <t>Disponible</t>
        </is>
      </c>
      <c r="E487" s="2" t="inlineStr"/>
    </row>
    <row r="488">
      <c r="A488" s="2" t="inlineStr">
        <is>
          <t>DIFURQUE-056</t>
        </is>
      </c>
      <c r="B488" s="2" t="inlineStr"/>
      <c r="C488" s="2" t="inlineStr"/>
      <c r="D488" s="2" t="inlineStr">
        <is>
          <t>Disponible</t>
        </is>
      </c>
      <c r="E488" s="2" t="inlineStr"/>
    </row>
    <row r="489">
      <c r="A489" s="2" t="inlineStr">
        <is>
          <t>DIFURQUE-057</t>
        </is>
      </c>
      <c r="B489" s="2" t="inlineStr"/>
      <c r="C489" s="2" t="inlineStr"/>
      <c r="D489" s="2" t="inlineStr">
        <is>
          <t>Disponible</t>
        </is>
      </c>
      <c r="E489" s="2" t="inlineStr"/>
    </row>
    <row r="490">
      <c r="A490" s="2" t="inlineStr">
        <is>
          <t>DIFURQUE-058</t>
        </is>
      </c>
      <c r="B490" s="2" t="inlineStr"/>
      <c r="C490" s="2" t="inlineStr"/>
      <c r="D490" s="2" t="inlineStr">
        <is>
          <t>Disponible</t>
        </is>
      </c>
      <c r="E490" s="2" t="inlineStr"/>
    </row>
    <row r="491">
      <c r="A491" s="2" t="inlineStr">
        <is>
          <t>DIFURQUE-059</t>
        </is>
      </c>
      <c r="B491" s="2" t="inlineStr"/>
      <c r="C491" s="2" t="inlineStr"/>
      <c r="D491" s="2" t="inlineStr">
        <is>
          <t>Disponible</t>
        </is>
      </c>
      <c r="E491" s="2" t="inlineStr"/>
    </row>
    <row r="492">
      <c r="A492" s="2" t="inlineStr">
        <is>
          <t>DIFURQUE-060</t>
        </is>
      </c>
      <c r="B492" s="2" t="inlineStr"/>
      <c r="C492" s="2" t="inlineStr"/>
      <c r="D492" s="2" t="inlineStr">
        <is>
          <t>Disponible</t>
        </is>
      </c>
      <c r="E492" s="2" t="inlineStr"/>
    </row>
    <row r="493">
      <c r="A493" s="2" t="inlineStr">
        <is>
          <t>DIFURQUE-061</t>
        </is>
      </c>
      <c r="B493" s="2" t="inlineStr"/>
      <c r="C493" s="2" t="inlineStr"/>
      <c r="D493" s="2" t="inlineStr">
        <is>
          <t>Disponible</t>
        </is>
      </c>
      <c r="E493" s="2" t="inlineStr"/>
    </row>
    <row r="494">
      <c r="A494" s="2" t="inlineStr">
        <is>
          <t>DIFURQUE-062</t>
        </is>
      </c>
      <c r="B494" s="2" t="inlineStr"/>
      <c r="C494" s="2" t="inlineStr"/>
      <c r="D494" s="2" t="inlineStr">
        <is>
          <t>Disponible</t>
        </is>
      </c>
      <c r="E494" s="2" t="inlineStr"/>
    </row>
    <row r="495">
      <c r="A495" s="2" t="inlineStr">
        <is>
          <t>DIFURQUE-063</t>
        </is>
      </c>
      <c r="B495" s="2" t="inlineStr"/>
      <c r="C495" s="2" t="inlineStr"/>
      <c r="D495" s="2" t="inlineStr">
        <is>
          <t>Disponible</t>
        </is>
      </c>
      <c r="E495" s="2" t="inlineStr"/>
    </row>
    <row r="496">
      <c r="A496" s="2" t="inlineStr">
        <is>
          <t>DIFURQUE-064</t>
        </is>
      </c>
      <c r="B496" s="2" t="inlineStr"/>
      <c r="C496" s="2" t="inlineStr"/>
      <c r="D496" s="2" t="inlineStr">
        <is>
          <t>Disponible</t>
        </is>
      </c>
      <c r="E496" s="2" t="inlineStr"/>
    </row>
    <row r="497">
      <c r="A497" s="2" t="inlineStr">
        <is>
          <t>DIFURQUE-065</t>
        </is>
      </c>
      <c r="B497" s="2" t="inlineStr"/>
      <c r="C497" s="2" t="inlineStr"/>
      <c r="D497" s="2" t="inlineStr">
        <is>
          <t>Disponible</t>
        </is>
      </c>
      <c r="E497" s="2" t="inlineStr"/>
    </row>
    <row r="498">
      <c r="A498" s="2" t="inlineStr">
        <is>
          <t>DIFURQUE-066</t>
        </is>
      </c>
      <c r="B498" s="2" t="inlineStr"/>
      <c r="C498" s="2" t="inlineStr"/>
      <c r="D498" s="2" t="inlineStr">
        <is>
          <t>Disponible</t>
        </is>
      </c>
      <c r="E498" s="2" t="inlineStr"/>
    </row>
    <row r="499">
      <c r="A499" s="2" t="inlineStr">
        <is>
          <t>DIFURQUE-067</t>
        </is>
      </c>
      <c r="B499" s="2" t="inlineStr"/>
      <c r="C499" s="2" t="inlineStr"/>
      <c r="D499" s="2" t="inlineStr">
        <is>
          <t>Disponible</t>
        </is>
      </c>
      <c r="E499" s="2" t="inlineStr"/>
    </row>
    <row r="500">
      <c r="A500" s="2" t="inlineStr">
        <is>
          <t>DIFURQUE-068</t>
        </is>
      </c>
      <c r="B500" s="2" t="inlineStr"/>
      <c r="C500" s="2" t="inlineStr"/>
      <c r="D500" s="2" t="inlineStr">
        <is>
          <t>Disponible</t>
        </is>
      </c>
      <c r="E500" s="2" t="inlineStr"/>
    </row>
    <row r="501">
      <c r="A501" s="2" t="inlineStr">
        <is>
          <t>DIFURQUE-069</t>
        </is>
      </c>
      <c r="B501" s="2" t="inlineStr"/>
      <c r="C501" s="2" t="inlineStr"/>
      <c r="D501" s="2" t="inlineStr">
        <is>
          <t>Disponible</t>
        </is>
      </c>
      <c r="E501" s="2" t="inlineStr"/>
    </row>
    <row r="502">
      <c r="A502" s="2" t="inlineStr">
        <is>
          <t>DIFURQUE-070</t>
        </is>
      </c>
      <c r="B502" s="2" t="inlineStr"/>
      <c r="C502" s="2" t="inlineStr"/>
      <c r="D502" s="2" t="inlineStr">
        <is>
          <t>Disponible</t>
        </is>
      </c>
      <c r="E502" s="2" t="inlineStr"/>
    </row>
    <row r="503">
      <c r="A503" s="2" t="inlineStr">
        <is>
          <t>DIFURQUE-071</t>
        </is>
      </c>
      <c r="B503" s="2" t="inlineStr"/>
      <c r="C503" s="2" t="inlineStr"/>
      <c r="D503" s="2" t="inlineStr">
        <is>
          <t>Disponible</t>
        </is>
      </c>
      <c r="E503" s="2" t="inlineStr"/>
    </row>
    <row r="504">
      <c r="A504" s="2" t="inlineStr">
        <is>
          <t>DIFURQUE-072</t>
        </is>
      </c>
      <c r="B504" s="2" t="inlineStr"/>
      <c r="C504" s="2" t="inlineStr"/>
      <c r="D504" s="2" t="inlineStr">
        <is>
          <t>Disponible</t>
        </is>
      </c>
      <c r="E504" s="2" t="inlineStr"/>
    </row>
    <row r="505">
      <c r="A505" s="2" t="inlineStr">
        <is>
          <t>DIFURQUE-073</t>
        </is>
      </c>
      <c r="B505" s="2" t="inlineStr"/>
      <c r="C505" s="2" t="inlineStr"/>
      <c r="D505" s="2" t="inlineStr">
        <is>
          <t>Disponible</t>
        </is>
      </c>
      <c r="E505" s="2" t="inlineStr"/>
    </row>
    <row r="506">
      <c r="A506" s="2" t="inlineStr">
        <is>
          <t>DIFURQUE-074</t>
        </is>
      </c>
      <c r="B506" s="2" t="inlineStr"/>
      <c r="C506" s="2" t="inlineStr"/>
      <c r="D506" s="2" t="inlineStr">
        <is>
          <t>Disponible</t>
        </is>
      </c>
      <c r="E506" s="2" t="inlineStr"/>
    </row>
    <row r="507">
      <c r="A507" s="2" t="inlineStr">
        <is>
          <t>DIFURQUE-075</t>
        </is>
      </c>
      <c r="B507" s="2" t="inlineStr"/>
      <c r="C507" s="2" t="inlineStr"/>
      <c r="D507" s="2" t="inlineStr">
        <is>
          <t>Disponible</t>
        </is>
      </c>
      <c r="E507" s="2" t="inlineStr"/>
    </row>
    <row r="508">
      <c r="A508" s="2" t="inlineStr">
        <is>
          <t>DIFURQUE-076</t>
        </is>
      </c>
      <c r="B508" s="2" t="inlineStr"/>
      <c r="C508" s="2" t="inlineStr"/>
      <c r="D508" s="2" t="inlineStr">
        <is>
          <t>Disponible</t>
        </is>
      </c>
      <c r="E508" s="2" t="inlineStr"/>
    </row>
    <row r="509">
      <c r="A509" s="2" t="inlineStr">
        <is>
          <t>DIFURQUE-077</t>
        </is>
      </c>
      <c r="B509" s="2" t="inlineStr"/>
      <c r="C509" s="2" t="inlineStr"/>
      <c r="D509" s="2" t="inlineStr">
        <is>
          <t>Disponible</t>
        </is>
      </c>
      <c r="E509" s="2" t="inlineStr"/>
    </row>
    <row r="510">
      <c r="A510" s="2" t="inlineStr">
        <is>
          <t>DIFURQUE-078</t>
        </is>
      </c>
      <c r="B510" s="2" t="inlineStr"/>
      <c r="C510" s="2" t="inlineStr"/>
      <c r="D510" s="2" t="inlineStr">
        <is>
          <t>Disponible</t>
        </is>
      </c>
      <c r="E510" s="2" t="inlineStr"/>
    </row>
    <row r="511">
      <c r="A511" s="2" t="inlineStr">
        <is>
          <t>DIFURQUE-079</t>
        </is>
      </c>
      <c r="B511" s="2" t="inlineStr"/>
      <c r="C511" s="2" t="inlineStr"/>
      <c r="D511" s="2" t="inlineStr">
        <is>
          <t>Disponible</t>
        </is>
      </c>
      <c r="E511" s="2" t="inlineStr"/>
    </row>
    <row r="512">
      <c r="A512" s="2" t="inlineStr">
        <is>
          <t>DIFURQUE-080</t>
        </is>
      </c>
      <c r="B512" s="2" t="inlineStr"/>
      <c r="C512" s="2" t="inlineStr"/>
      <c r="D512" s="2" t="inlineStr">
        <is>
          <t>Disponible</t>
        </is>
      </c>
      <c r="E512" s="2" t="inlineStr"/>
    </row>
    <row r="513">
      <c r="A513" s="2" t="inlineStr">
        <is>
          <t>DIFURQUE-081</t>
        </is>
      </c>
      <c r="B513" s="2" t="inlineStr"/>
      <c r="C513" s="2" t="inlineStr"/>
      <c r="D513" s="2" t="inlineStr">
        <is>
          <t>Disponible</t>
        </is>
      </c>
      <c r="E513" s="2" t="inlineStr"/>
    </row>
    <row r="514">
      <c r="A514" s="2" t="inlineStr">
        <is>
          <t>DIFURQUE-082</t>
        </is>
      </c>
      <c r="B514" s="2" t="inlineStr"/>
      <c r="C514" s="2" t="inlineStr"/>
      <c r="D514" s="2" t="inlineStr">
        <is>
          <t>Disponible</t>
        </is>
      </c>
      <c r="E514" s="2" t="inlineStr"/>
    </row>
    <row r="515">
      <c r="A515" s="2" t="inlineStr">
        <is>
          <t>DIFURQUE-083</t>
        </is>
      </c>
      <c r="B515" s="2" t="inlineStr"/>
      <c r="C515" s="2" t="inlineStr"/>
      <c r="D515" s="2" t="inlineStr">
        <is>
          <t>Disponible</t>
        </is>
      </c>
      <c r="E515" s="2" t="inlineStr"/>
    </row>
    <row r="516">
      <c r="A516" s="2" t="inlineStr">
        <is>
          <t>DIFURQUE-084</t>
        </is>
      </c>
      <c r="B516" s="2" t="inlineStr"/>
      <c r="C516" s="2" t="inlineStr"/>
      <c r="D516" s="2" t="inlineStr">
        <is>
          <t>Disponible</t>
        </is>
      </c>
      <c r="E516" s="2" t="inlineStr"/>
    </row>
    <row r="517">
      <c r="A517" s="2" t="inlineStr">
        <is>
          <t>DIFURQUE-085</t>
        </is>
      </c>
      <c r="B517" s="2" t="inlineStr"/>
      <c r="C517" s="2" t="inlineStr"/>
      <c r="D517" s="2" t="inlineStr">
        <is>
          <t>Disponible</t>
        </is>
      </c>
      <c r="E517" s="2" t="inlineStr"/>
    </row>
    <row r="518">
      <c r="A518" s="2" t="inlineStr">
        <is>
          <t>DIFURQUE-086</t>
        </is>
      </c>
      <c r="B518" s="2" t="inlineStr"/>
      <c r="C518" s="2" t="inlineStr"/>
      <c r="D518" s="2" t="inlineStr">
        <is>
          <t>Disponible</t>
        </is>
      </c>
      <c r="E518" s="2" t="inlineStr"/>
    </row>
    <row r="519">
      <c r="A519" s="2" t="inlineStr">
        <is>
          <t>DIFURQUE-087</t>
        </is>
      </c>
      <c r="B519" s="2" t="inlineStr"/>
      <c r="C519" s="2" t="inlineStr"/>
      <c r="D519" s="2" t="inlineStr">
        <is>
          <t>Disponible</t>
        </is>
      </c>
      <c r="E519" s="2" t="inlineStr"/>
    </row>
    <row r="520">
      <c r="A520" s="2" t="inlineStr">
        <is>
          <t>DIFURQUE-088</t>
        </is>
      </c>
      <c r="B520" s="2" t="inlineStr"/>
      <c r="C520" s="2" t="inlineStr"/>
      <c r="D520" s="2" t="inlineStr">
        <is>
          <t>Disponible</t>
        </is>
      </c>
      <c r="E520" s="2" t="inlineStr"/>
    </row>
    <row r="521">
      <c r="A521" s="2" t="inlineStr">
        <is>
          <t>DIFURQUE-089</t>
        </is>
      </c>
      <c r="B521" s="2" t="inlineStr"/>
      <c r="C521" s="2" t="inlineStr"/>
      <c r="D521" s="2" t="inlineStr">
        <is>
          <t>Disponible</t>
        </is>
      </c>
      <c r="E521" s="2" t="inlineStr"/>
    </row>
    <row r="522">
      <c r="A522" s="2" t="inlineStr">
        <is>
          <t>DIFURQUE-090</t>
        </is>
      </c>
      <c r="B522" s="2" t="inlineStr"/>
      <c r="C522" s="2" t="inlineStr"/>
      <c r="D522" s="2" t="inlineStr">
        <is>
          <t>Disponible</t>
        </is>
      </c>
      <c r="E522" s="2" t="inlineStr"/>
    </row>
    <row r="523">
      <c r="A523" s="2" t="inlineStr">
        <is>
          <t>DIFURQUE-091</t>
        </is>
      </c>
      <c r="B523" s="2" t="inlineStr"/>
      <c r="C523" s="2" t="inlineStr"/>
      <c r="D523" s="2" t="inlineStr">
        <is>
          <t>Disponible</t>
        </is>
      </c>
      <c r="E523" s="2" t="inlineStr"/>
    </row>
    <row r="524">
      <c r="A524" s="2" t="inlineStr">
        <is>
          <t>DIFURQUE-092</t>
        </is>
      </c>
      <c r="B524" s="2" t="inlineStr"/>
      <c r="C524" s="2" t="inlineStr"/>
      <c r="D524" s="2" t="inlineStr">
        <is>
          <t>Disponible</t>
        </is>
      </c>
      <c r="E524" s="2" t="inlineStr"/>
    </row>
    <row r="525">
      <c r="A525" s="2" t="inlineStr">
        <is>
          <t>DIFURQUE-093</t>
        </is>
      </c>
      <c r="B525" s="2" t="inlineStr"/>
      <c r="C525" s="2" t="inlineStr"/>
      <c r="D525" s="2" t="inlineStr">
        <is>
          <t>Disponible</t>
        </is>
      </c>
      <c r="E525" s="2" t="inlineStr"/>
    </row>
    <row r="526">
      <c r="A526" s="2" t="inlineStr">
        <is>
          <t>DIFURQUE-094</t>
        </is>
      </c>
      <c r="B526" s="2" t="inlineStr"/>
      <c r="C526" s="2" t="inlineStr"/>
      <c r="D526" s="2" t="inlineStr">
        <is>
          <t>Disponible</t>
        </is>
      </c>
      <c r="E526" s="2" t="inlineStr"/>
    </row>
    <row r="527">
      <c r="A527" s="2" t="inlineStr">
        <is>
          <t>DIFURQUE-095</t>
        </is>
      </c>
      <c r="B527" s="2" t="inlineStr"/>
      <c r="C527" s="2" t="inlineStr"/>
      <c r="D527" s="2" t="inlineStr">
        <is>
          <t>Disponible</t>
        </is>
      </c>
      <c r="E527" s="2" t="inlineStr"/>
    </row>
    <row r="528">
      <c r="A528" s="2" t="inlineStr">
        <is>
          <t>DIFURQUE-096</t>
        </is>
      </c>
      <c r="B528" s="2" t="inlineStr"/>
      <c r="C528" s="2" t="inlineStr"/>
      <c r="D528" s="2" t="inlineStr">
        <is>
          <t>Disponible</t>
        </is>
      </c>
      <c r="E528" s="2" t="inlineStr"/>
    </row>
    <row r="529">
      <c r="A529" s="2" t="inlineStr">
        <is>
          <t>DIFURQUE-097</t>
        </is>
      </c>
      <c r="B529" s="2" t="inlineStr"/>
      <c r="C529" s="2" t="inlineStr"/>
      <c r="D529" s="2" t="inlineStr">
        <is>
          <t>Disponible</t>
        </is>
      </c>
      <c r="E529" s="2" t="inlineStr"/>
    </row>
    <row r="530">
      <c r="A530" s="2" t="inlineStr">
        <is>
          <t>DIFURQUE-098</t>
        </is>
      </c>
      <c r="B530" s="2" t="inlineStr"/>
      <c r="C530" s="2" t="inlineStr"/>
      <c r="D530" s="2" t="inlineStr">
        <is>
          <t>Disponible</t>
        </is>
      </c>
      <c r="E530" s="2" t="inlineStr"/>
    </row>
    <row r="531">
      <c r="A531" s="2" t="inlineStr">
        <is>
          <t>DIFURQUE-099</t>
        </is>
      </c>
      <c r="B531" s="2" t="inlineStr"/>
      <c r="C531" s="2" t="inlineStr"/>
      <c r="D531" s="2" t="inlineStr">
        <is>
          <t>Disponible</t>
        </is>
      </c>
      <c r="E531" s="2" t="inlineStr"/>
    </row>
    <row r="532">
      <c r="A532" s="2" t="inlineStr">
        <is>
          <t>DIFURQUE-100</t>
        </is>
      </c>
      <c r="B532" s="2" t="inlineStr"/>
      <c r="C532" s="2" t="inlineStr"/>
      <c r="D532" s="2" t="inlineStr">
        <is>
          <t>Disponible</t>
        </is>
      </c>
      <c r="E532" s="2" t="inlineStr"/>
    </row>
    <row r="533">
      <c r="A533" s="2" t="inlineStr">
        <is>
          <t>DIFURQUE-101</t>
        </is>
      </c>
      <c r="B533" s="2" t="inlineStr"/>
      <c r="C533" s="2" t="inlineStr"/>
      <c r="D533" s="2" t="inlineStr">
        <is>
          <t>Disponible</t>
        </is>
      </c>
      <c r="E533" s="2" t="inlineStr"/>
    </row>
    <row r="534">
      <c r="A534" s="2" t="inlineStr">
        <is>
          <t>DIFURQUE-102</t>
        </is>
      </c>
      <c r="B534" s="2" t="inlineStr"/>
      <c r="C534" s="2" t="inlineStr"/>
      <c r="D534" s="2" t="inlineStr">
        <is>
          <t>Disponible</t>
        </is>
      </c>
      <c r="E534" s="2" t="inlineStr"/>
    </row>
    <row r="535">
      <c r="A535" s="2" t="inlineStr">
        <is>
          <t>DIFURQUE-103</t>
        </is>
      </c>
      <c r="B535" s="2" t="inlineStr"/>
      <c r="C535" s="2" t="inlineStr"/>
      <c r="D535" s="2" t="inlineStr">
        <is>
          <t>Disponible</t>
        </is>
      </c>
      <c r="E535" s="2" t="inlineStr"/>
    </row>
    <row r="536">
      <c r="A536" s="2" t="inlineStr">
        <is>
          <t>DIFURQUE-104</t>
        </is>
      </c>
      <c r="B536" s="2" t="inlineStr"/>
      <c r="C536" s="2" t="inlineStr"/>
      <c r="D536" s="2" t="inlineStr">
        <is>
          <t>Disponible</t>
        </is>
      </c>
      <c r="E536" s="2" t="inlineStr"/>
    </row>
    <row r="537">
      <c r="A537" s="2" t="inlineStr">
        <is>
          <t>DIFURQUE-105</t>
        </is>
      </c>
      <c r="B537" s="2" t="inlineStr"/>
      <c r="C537" s="2" t="inlineStr"/>
      <c r="D537" s="2" t="inlineStr">
        <is>
          <t>Disponible</t>
        </is>
      </c>
      <c r="E537" s="2" t="inlineStr"/>
    </row>
    <row r="538">
      <c r="A538" s="2" t="inlineStr">
        <is>
          <t>DIFURQUE-106</t>
        </is>
      </c>
      <c r="B538" s="2" t="inlineStr"/>
      <c r="C538" s="2" t="inlineStr"/>
      <c r="D538" s="2" t="inlineStr">
        <is>
          <t>Disponible</t>
        </is>
      </c>
      <c r="E538" s="2" t="inlineStr"/>
    </row>
    <row r="539">
      <c r="A539" s="2" t="inlineStr">
        <is>
          <t>DIFURQUE-107</t>
        </is>
      </c>
      <c r="B539" s="2" t="inlineStr"/>
      <c r="C539" s="2" t="inlineStr"/>
      <c r="D539" s="2" t="inlineStr">
        <is>
          <t>Disponible</t>
        </is>
      </c>
      <c r="E539" s="2" t="inlineStr"/>
    </row>
    <row r="540">
      <c r="A540" s="2" t="inlineStr">
        <is>
          <t>DIFURQUE-108</t>
        </is>
      </c>
      <c r="B540" s="2" t="inlineStr"/>
      <c r="C540" s="2" t="inlineStr"/>
      <c r="D540" s="2" t="inlineStr">
        <is>
          <t>Disponible</t>
        </is>
      </c>
      <c r="E540" s="2" t="inlineStr"/>
    </row>
    <row r="541">
      <c r="A541" s="2" t="inlineStr">
        <is>
          <t>DIFURQUE-109</t>
        </is>
      </c>
      <c r="B541" s="2" t="inlineStr"/>
      <c r="C541" s="2" t="inlineStr"/>
      <c r="D541" s="2" t="inlineStr">
        <is>
          <t>Disponible</t>
        </is>
      </c>
      <c r="E541" s="2" t="inlineStr"/>
    </row>
    <row r="542">
      <c r="A542" s="2" t="inlineStr">
        <is>
          <t>DIFURQUE-110</t>
        </is>
      </c>
      <c r="B542" s="2" t="inlineStr"/>
      <c r="C542" s="2" t="inlineStr"/>
      <c r="D542" s="2" t="inlineStr">
        <is>
          <t>Disponible</t>
        </is>
      </c>
      <c r="E542" s="2" t="inlineStr"/>
    </row>
    <row r="543">
      <c r="A543" s="2" t="inlineStr">
        <is>
          <t>DIFURQUE-111</t>
        </is>
      </c>
      <c r="B543" s="2" t="inlineStr"/>
      <c r="C543" s="2" t="inlineStr"/>
      <c r="D543" s="2" t="inlineStr">
        <is>
          <t>Disponible</t>
        </is>
      </c>
      <c r="E543" s="2" t="inlineStr"/>
    </row>
    <row r="544">
      <c r="A544" s="2" t="inlineStr">
        <is>
          <t>DIFURQUE-112</t>
        </is>
      </c>
      <c r="B544" s="2" t="inlineStr"/>
      <c r="C544" s="2" t="inlineStr"/>
      <c r="D544" s="2" t="inlineStr">
        <is>
          <t>Disponible</t>
        </is>
      </c>
      <c r="E544" s="2" t="inlineStr"/>
    </row>
    <row r="545">
      <c r="A545" s="2" t="inlineStr">
        <is>
          <t>DIFURQUE-113</t>
        </is>
      </c>
      <c r="B545" s="2" t="inlineStr"/>
      <c r="C545" s="2" t="inlineStr"/>
      <c r="D545" s="2" t="inlineStr">
        <is>
          <t>Disponible</t>
        </is>
      </c>
      <c r="E545" s="2" t="inlineStr"/>
    </row>
    <row r="546">
      <c r="A546" s="2" t="inlineStr">
        <is>
          <t>DIFURQUE-114</t>
        </is>
      </c>
      <c r="B546" s="2" t="inlineStr"/>
      <c r="C546" s="2" t="inlineStr"/>
      <c r="D546" s="2" t="inlineStr">
        <is>
          <t>Disponible</t>
        </is>
      </c>
      <c r="E546" s="2" t="inlineStr"/>
    </row>
    <row r="547">
      <c r="A547" s="2" t="inlineStr">
        <is>
          <t>DIFURQUE-115</t>
        </is>
      </c>
      <c r="B547" s="2" t="inlineStr"/>
      <c r="C547" s="2" t="inlineStr"/>
      <c r="D547" s="2" t="inlineStr">
        <is>
          <t>Disponible</t>
        </is>
      </c>
      <c r="E547" s="2" t="inlineStr"/>
    </row>
    <row r="548">
      <c r="A548" s="2" t="inlineStr">
        <is>
          <t>DIFURQUE-116</t>
        </is>
      </c>
      <c r="B548" s="2" t="inlineStr"/>
      <c r="C548" s="2" t="inlineStr"/>
      <c r="D548" s="2" t="inlineStr">
        <is>
          <t>Disponible</t>
        </is>
      </c>
      <c r="E548" s="2" t="inlineStr"/>
    </row>
    <row r="549">
      <c r="A549" s="2" t="inlineStr">
        <is>
          <t>DIFURQUE-117</t>
        </is>
      </c>
      <c r="B549" s="2" t="inlineStr"/>
      <c r="C549" s="2" t="inlineStr"/>
      <c r="D549" s="2" t="inlineStr">
        <is>
          <t>Disponible</t>
        </is>
      </c>
      <c r="E549" s="2" t="inlineStr"/>
    </row>
    <row r="550">
      <c r="A550" s="2" t="inlineStr">
        <is>
          <t>DIFURQUE-118</t>
        </is>
      </c>
      <c r="B550" s="2" t="inlineStr"/>
      <c r="C550" s="2" t="inlineStr"/>
      <c r="D550" s="2" t="inlineStr">
        <is>
          <t>Disponible</t>
        </is>
      </c>
      <c r="E550" s="2" t="inlineStr"/>
    </row>
    <row r="551">
      <c r="A551" s="2" t="inlineStr">
        <is>
          <t>DIFURQUE-119</t>
        </is>
      </c>
      <c r="B551" s="2" t="inlineStr"/>
      <c r="C551" s="2" t="inlineStr"/>
      <c r="D551" s="2" t="inlineStr">
        <is>
          <t>Disponible</t>
        </is>
      </c>
      <c r="E551" s="2" t="inlineStr"/>
    </row>
    <row r="552">
      <c r="A552" s="2" t="inlineStr">
        <is>
          <t>DIFURQUE-120</t>
        </is>
      </c>
      <c r="B552" s="2" t="inlineStr"/>
      <c r="C552" s="2" t="inlineStr"/>
      <c r="D552" s="2" t="inlineStr">
        <is>
          <t>Disponible</t>
        </is>
      </c>
      <c r="E552" s="2" t="inlineStr"/>
    </row>
    <row r="553">
      <c r="A553" s="2" t="inlineStr">
        <is>
          <t>DIFURQUE-121</t>
        </is>
      </c>
      <c r="B553" s="2" t="inlineStr"/>
      <c r="C553" s="2" t="inlineStr"/>
      <c r="D553" s="2" t="inlineStr">
        <is>
          <t>Disponible</t>
        </is>
      </c>
      <c r="E553" s="2" t="inlineStr"/>
    </row>
    <row r="554">
      <c r="A554" s="2" t="inlineStr">
        <is>
          <t>DIFURQUE-122</t>
        </is>
      </c>
      <c r="B554" s="2" t="inlineStr"/>
      <c r="C554" s="2" t="inlineStr"/>
      <c r="D554" s="2" t="inlineStr">
        <is>
          <t>Disponible</t>
        </is>
      </c>
      <c r="E554" s="2" t="inlineStr"/>
    </row>
    <row r="555">
      <c r="A555" s="2" t="inlineStr">
        <is>
          <t>DIFURQUE-123</t>
        </is>
      </c>
      <c r="B555" s="2" t="inlineStr"/>
      <c r="C555" s="2" t="inlineStr"/>
      <c r="D555" s="2" t="inlineStr">
        <is>
          <t>Disponible</t>
        </is>
      </c>
      <c r="E555" s="2" t="inlineStr"/>
    </row>
    <row r="556">
      <c r="A556" s="2" t="inlineStr">
        <is>
          <t>DIFURQUE-124</t>
        </is>
      </c>
      <c r="B556" s="2" t="inlineStr"/>
      <c r="C556" s="2" t="inlineStr"/>
      <c r="D556" s="2" t="inlineStr">
        <is>
          <t>Disponible</t>
        </is>
      </c>
      <c r="E556" s="2" t="inlineStr"/>
    </row>
    <row r="557">
      <c r="A557" s="2" t="inlineStr">
        <is>
          <t>DIFURQUE-125</t>
        </is>
      </c>
      <c r="B557" s="2" t="inlineStr"/>
      <c r="C557" s="2" t="inlineStr"/>
      <c r="D557" s="2" t="inlineStr">
        <is>
          <t>Disponible</t>
        </is>
      </c>
      <c r="E557" s="2" t="inlineStr"/>
    </row>
    <row r="558">
      <c r="A558" s="2" t="inlineStr">
        <is>
          <t>DIFURQUE-126</t>
        </is>
      </c>
      <c r="B558" s="2" t="inlineStr"/>
      <c r="C558" s="2" t="inlineStr"/>
      <c r="D558" s="2" t="inlineStr">
        <is>
          <t>Disponible</t>
        </is>
      </c>
      <c r="E558" s="2" t="inlineStr"/>
    </row>
    <row r="559">
      <c r="A559" s="2" t="inlineStr">
        <is>
          <t>DIFURQUE-127</t>
        </is>
      </c>
      <c r="B559" s="2" t="inlineStr"/>
      <c r="C559" s="2" t="inlineStr"/>
      <c r="D559" s="2" t="inlineStr">
        <is>
          <t>Disponible</t>
        </is>
      </c>
      <c r="E559" s="2" t="inlineStr"/>
    </row>
    <row r="560">
      <c r="A560" s="2" t="inlineStr">
        <is>
          <t>DIFURQUE-128</t>
        </is>
      </c>
      <c r="B560" s="2" t="inlineStr"/>
      <c r="C560" s="2" t="inlineStr"/>
      <c r="D560" s="2" t="inlineStr">
        <is>
          <t>Disponible</t>
        </is>
      </c>
      <c r="E560" s="2" t="inlineStr"/>
    </row>
    <row r="561">
      <c r="A561" s="2" t="inlineStr">
        <is>
          <t>DIFURQUE-129</t>
        </is>
      </c>
      <c r="B561" s="2" t="inlineStr"/>
      <c r="C561" s="2" t="inlineStr"/>
      <c r="D561" s="2" t="inlineStr">
        <is>
          <t>Disponible</t>
        </is>
      </c>
      <c r="E561" s="2" t="inlineStr"/>
    </row>
    <row r="562">
      <c r="A562" s="2" t="inlineStr">
        <is>
          <t>DIFURQUE-130</t>
        </is>
      </c>
      <c r="B562" s="2" t="inlineStr"/>
      <c r="C562" s="2" t="inlineStr"/>
      <c r="D562" s="2" t="inlineStr">
        <is>
          <t>Disponible</t>
        </is>
      </c>
      <c r="E562" s="2" t="inlineStr"/>
    </row>
    <row r="563">
      <c r="A563" s="2" t="inlineStr">
        <is>
          <t>DIFURQUE-131</t>
        </is>
      </c>
      <c r="B563" s="2" t="inlineStr"/>
      <c r="C563" s="2" t="inlineStr"/>
      <c r="D563" s="2" t="inlineStr">
        <is>
          <t>Disponible</t>
        </is>
      </c>
      <c r="E563" s="2" t="inlineStr"/>
    </row>
    <row r="564">
      <c r="A564" s="2" t="inlineStr">
        <is>
          <t>DIFURQUE-132</t>
        </is>
      </c>
      <c r="B564" s="2" t="inlineStr"/>
      <c r="C564" s="2" t="inlineStr"/>
      <c r="D564" s="2" t="inlineStr">
        <is>
          <t>Disponible</t>
        </is>
      </c>
      <c r="E564" s="2" t="inlineStr"/>
    </row>
    <row r="565">
      <c r="A565" s="2" t="inlineStr">
        <is>
          <t>DIFURQUE-133</t>
        </is>
      </c>
      <c r="B565" s="2" t="inlineStr"/>
      <c r="C565" s="2" t="inlineStr"/>
      <c r="D565" s="2" t="inlineStr">
        <is>
          <t>Disponible</t>
        </is>
      </c>
      <c r="E565" s="2" t="inlineStr"/>
    </row>
    <row r="566">
      <c r="A566" s="2" t="inlineStr">
        <is>
          <t>DIFURQUE-134</t>
        </is>
      </c>
      <c r="B566" s="2" t="inlineStr"/>
      <c r="C566" s="2" t="inlineStr"/>
      <c r="D566" s="2" t="inlineStr">
        <is>
          <t>Disponible</t>
        </is>
      </c>
      <c r="E566" s="2" t="inlineStr"/>
    </row>
    <row r="567">
      <c r="A567" s="2" t="inlineStr">
        <is>
          <t>DIFURQUE-135</t>
        </is>
      </c>
      <c r="B567" s="2" t="inlineStr"/>
      <c r="C567" s="2" t="inlineStr"/>
      <c r="D567" s="2" t="inlineStr">
        <is>
          <t>Disponible</t>
        </is>
      </c>
      <c r="E567" s="2" t="inlineStr"/>
    </row>
    <row r="568">
      <c r="A568" s="2" t="inlineStr">
        <is>
          <t>DIFURQUE-136</t>
        </is>
      </c>
      <c r="B568" s="2" t="inlineStr"/>
      <c r="C568" s="2" t="inlineStr"/>
      <c r="D568" s="2" t="inlineStr">
        <is>
          <t>Disponible</t>
        </is>
      </c>
      <c r="E568" s="2" t="inlineStr"/>
    </row>
    <row r="569">
      <c r="A569" s="2" t="inlineStr">
        <is>
          <t>DIFURQUE-137</t>
        </is>
      </c>
      <c r="B569" s="2" t="inlineStr"/>
      <c r="C569" s="2" t="inlineStr"/>
      <c r="D569" s="2" t="inlineStr">
        <is>
          <t>Disponible</t>
        </is>
      </c>
      <c r="E569" s="2" t="inlineStr"/>
    </row>
    <row r="570">
      <c r="A570" s="2" t="inlineStr">
        <is>
          <t>DIFURQUE-138</t>
        </is>
      </c>
      <c r="B570" s="2" t="inlineStr"/>
      <c r="C570" s="2" t="inlineStr"/>
      <c r="D570" s="2" t="inlineStr">
        <is>
          <t>Disponible</t>
        </is>
      </c>
      <c r="E570" s="2" t="inlineStr"/>
    </row>
    <row r="571">
      <c r="A571" s="2" t="inlineStr">
        <is>
          <t>DIFURQUE-139</t>
        </is>
      </c>
      <c r="B571" s="2" t="inlineStr"/>
      <c r="C571" s="2" t="inlineStr"/>
      <c r="D571" s="2" t="inlineStr">
        <is>
          <t>Disponible</t>
        </is>
      </c>
      <c r="E571" s="2" t="inlineStr"/>
    </row>
    <row r="572">
      <c r="A572" s="2" t="inlineStr">
        <is>
          <t>DIFURQUE-140</t>
        </is>
      </c>
      <c r="B572" s="2" t="inlineStr"/>
      <c r="C572" s="2" t="inlineStr"/>
      <c r="D572" s="2" t="inlineStr">
        <is>
          <t>Disponible</t>
        </is>
      </c>
      <c r="E572" s="2" t="inlineStr"/>
    </row>
    <row r="573">
      <c r="A573" s="2" t="inlineStr">
        <is>
          <t>DIFURQUE-141</t>
        </is>
      </c>
      <c r="B573" s="2" t="inlineStr"/>
      <c r="C573" s="2" t="inlineStr"/>
      <c r="D573" s="2" t="inlineStr">
        <is>
          <t>Disponible</t>
        </is>
      </c>
      <c r="E573" s="2" t="inlineStr"/>
    </row>
    <row r="574">
      <c r="A574" s="2" t="inlineStr">
        <is>
          <t>DIFURQUE-142</t>
        </is>
      </c>
      <c r="B574" s="2" t="inlineStr"/>
      <c r="C574" s="2" t="inlineStr"/>
      <c r="D574" s="2" t="inlineStr">
        <is>
          <t>Disponible</t>
        </is>
      </c>
      <c r="E574" s="2" t="inlineStr"/>
    </row>
    <row r="575">
      <c r="A575" s="2" t="inlineStr">
        <is>
          <t>DIFURQUE-143</t>
        </is>
      </c>
      <c r="B575" s="2" t="inlineStr"/>
      <c r="C575" s="2" t="inlineStr"/>
      <c r="D575" s="2" t="inlineStr">
        <is>
          <t>Disponible</t>
        </is>
      </c>
      <c r="E575" s="2" t="inlineStr"/>
    </row>
    <row r="576">
      <c r="A576" s="2" t="inlineStr">
        <is>
          <t>DIFURQUE-144</t>
        </is>
      </c>
      <c r="B576" s="2" t="inlineStr"/>
      <c r="C576" s="2" t="inlineStr"/>
      <c r="D576" s="2" t="inlineStr">
        <is>
          <t>Disponible</t>
        </is>
      </c>
      <c r="E576" s="2" t="inlineStr"/>
    </row>
    <row r="577">
      <c r="A577" s="2" t="inlineStr">
        <is>
          <t>DIFURQUE-145</t>
        </is>
      </c>
      <c r="B577" s="2" t="inlineStr"/>
      <c r="C577" s="2" t="inlineStr"/>
      <c r="D577" s="2" t="inlineStr">
        <is>
          <t>Disponible</t>
        </is>
      </c>
      <c r="E577" s="2" t="inlineStr"/>
    </row>
    <row r="578">
      <c r="A578" s="2" t="inlineStr">
        <is>
          <t>DIFURQUE-146</t>
        </is>
      </c>
      <c r="B578" s="2" t="inlineStr"/>
      <c r="C578" s="2" t="inlineStr"/>
      <c r="D578" s="2" t="inlineStr">
        <is>
          <t>Disponible</t>
        </is>
      </c>
      <c r="E578" s="2" t="inlineStr"/>
    </row>
    <row r="579">
      <c r="A579" s="2" t="inlineStr">
        <is>
          <t>DIFURQUE-147</t>
        </is>
      </c>
      <c r="B579" s="2" t="inlineStr"/>
      <c r="C579" s="2" t="inlineStr"/>
      <c r="D579" s="2" t="inlineStr">
        <is>
          <t>Disponible</t>
        </is>
      </c>
      <c r="E579" s="2" t="inlineStr"/>
    </row>
    <row r="580">
      <c r="A580" s="2" t="inlineStr">
        <is>
          <t>DIFURQUE-148</t>
        </is>
      </c>
      <c r="B580" s="2" t="inlineStr"/>
      <c r="C580" s="2" t="inlineStr"/>
      <c r="D580" s="2" t="inlineStr">
        <is>
          <t>Disponible</t>
        </is>
      </c>
      <c r="E580" s="2" t="inlineStr"/>
    </row>
    <row r="581">
      <c r="A581" s="2" t="inlineStr">
        <is>
          <t>DIFURQUE-149</t>
        </is>
      </c>
      <c r="B581" s="2" t="inlineStr"/>
      <c r="C581" s="2" t="inlineStr"/>
      <c r="D581" s="2" t="inlineStr">
        <is>
          <t>Disponible</t>
        </is>
      </c>
      <c r="E581" s="2" t="inlineStr"/>
    </row>
    <row r="582">
      <c r="A582" s="2" t="inlineStr">
        <is>
          <t>DIFURQUE-150</t>
        </is>
      </c>
      <c r="B582" s="2" t="inlineStr"/>
      <c r="C582" s="2" t="inlineStr"/>
      <c r="D582" s="2" t="inlineStr">
        <is>
          <t>Disponible</t>
        </is>
      </c>
      <c r="E582" s="2" t="inlineStr"/>
    </row>
    <row r="583">
      <c r="A583" s="2" t="inlineStr">
        <is>
          <t>ZAPC-001</t>
        </is>
      </c>
      <c r="B583" s="2" t="inlineStr"/>
      <c r="C583" s="2" t="inlineStr"/>
      <c r="D583" s="2" t="inlineStr">
        <is>
          <t>Disponible</t>
        </is>
      </c>
      <c r="E583" s="2" t="inlineStr"/>
    </row>
    <row r="584">
      <c r="A584" s="2" t="inlineStr">
        <is>
          <t>ZAPC-002</t>
        </is>
      </c>
      <c r="B584" s="2" t="inlineStr"/>
      <c r="C584" s="2" t="inlineStr"/>
      <c r="D584" s="2" t="inlineStr">
        <is>
          <t>Disponible</t>
        </is>
      </c>
      <c r="E584" s="2" t="inlineStr"/>
    </row>
    <row r="585">
      <c r="A585" s="2" t="inlineStr">
        <is>
          <t>ZAPC-003</t>
        </is>
      </c>
      <c r="B585" s="2" t="inlineStr"/>
      <c r="C585" s="2" t="inlineStr"/>
      <c r="D585" s="2" t="inlineStr">
        <is>
          <t>Disponible</t>
        </is>
      </c>
      <c r="E585" s="2" t="inlineStr"/>
    </row>
    <row r="586">
      <c r="A586" s="2" t="inlineStr">
        <is>
          <t>ZAPC-004</t>
        </is>
      </c>
      <c r="B586" s="2" t="inlineStr"/>
      <c r="C586" s="2" t="inlineStr"/>
      <c r="D586" s="2" t="inlineStr">
        <is>
          <t>Disponible</t>
        </is>
      </c>
      <c r="E586" s="2" t="inlineStr"/>
    </row>
    <row r="587">
      <c r="A587" s="2" t="inlineStr">
        <is>
          <t>ZAPC-005</t>
        </is>
      </c>
      <c r="B587" s="2" t="inlineStr"/>
      <c r="C587" s="2" t="inlineStr"/>
      <c r="D587" s="2" t="inlineStr">
        <is>
          <t>Disponible</t>
        </is>
      </c>
      <c r="E587" s="2" t="inlineStr"/>
    </row>
    <row r="588">
      <c r="A588" s="2" t="inlineStr">
        <is>
          <t>ZAPC-006</t>
        </is>
      </c>
      <c r="B588" s="2" t="inlineStr"/>
      <c r="C588" s="2" t="inlineStr"/>
      <c r="D588" s="2" t="inlineStr">
        <is>
          <t>Disponible</t>
        </is>
      </c>
      <c r="E588" s="2" t="inlineStr"/>
    </row>
    <row r="589">
      <c r="A589" s="2" t="inlineStr">
        <is>
          <t>ZAPC-007</t>
        </is>
      </c>
      <c r="B589" s="2" t="inlineStr"/>
      <c r="C589" s="2" t="inlineStr"/>
      <c r="D589" s="2" t="inlineStr">
        <is>
          <t>Disponible</t>
        </is>
      </c>
      <c r="E589" s="2" t="inlineStr"/>
    </row>
    <row r="590">
      <c r="A590" s="2" t="inlineStr">
        <is>
          <t>ZAPC-008</t>
        </is>
      </c>
      <c r="B590" s="2" t="inlineStr"/>
      <c r="C590" s="2" t="inlineStr"/>
      <c r="D590" s="2" t="inlineStr">
        <is>
          <t>Disponible</t>
        </is>
      </c>
      <c r="E590" s="2" t="inlineStr"/>
    </row>
    <row r="591">
      <c r="A591" s="2" t="inlineStr">
        <is>
          <t>ZAPC-009</t>
        </is>
      </c>
      <c r="B591" s="2" t="inlineStr"/>
      <c r="C591" s="2" t="inlineStr"/>
      <c r="D591" s="2" t="inlineStr">
        <is>
          <t>Disponible</t>
        </is>
      </c>
      <c r="E591" s="2" t="inlineStr"/>
    </row>
    <row r="592">
      <c r="A592" s="2" t="inlineStr">
        <is>
          <t>ZAPC-010</t>
        </is>
      </c>
      <c r="B592" s="2" t="inlineStr"/>
      <c r="C592" s="2" t="inlineStr"/>
      <c r="D592" s="2" t="inlineStr">
        <is>
          <t>Disponible</t>
        </is>
      </c>
      <c r="E592" s="2" t="inlineStr"/>
    </row>
    <row r="593">
      <c r="A593" s="2" t="inlineStr">
        <is>
          <t>ZAPC-011</t>
        </is>
      </c>
      <c r="B593" s="2" t="inlineStr"/>
      <c r="C593" s="2" t="inlineStr"/>
      <c r="D593" s="2" t="inlineStr">
        <is>
          <t>Disponible</t>
        </is>
      </c>
      <c r="E593" s="2" t="inlineStr"/>
    </row>
    <row r="594">
      <c r="A594" s="2" t="inlineStr">
        <is>
          <t>ZAPC-012</t>
        </is>
      </c>
      <c r="B594" s="2" t="inlineStr"/>
      <c r="C594" s="2" t="inlineStr"/>
      <c r="D594" s="2" t="inlineStr">
        <is>
          <t>Disponible</t>
        </is>
      </c>
      <c r="E594" s="2" t="inlineStr"/>
    </row>
    <row r="595">
      <c r="A595" s="2" t="inlineStr">
        <is>
          <t>ZAPC-013</t>
        </is>
      </c>
      <c r="B595" s="2" t="inlineStr"/>
      <c r="C595" s="2" t="inlineStr"/>
      <c r="D595" s="2" t="inlineStr">
        <is>
          <t>Disponible</t>
        </is>
      </c>
      <c r="E595" s="2" t="inlineStr"/>
    </row>
    <row r="596">
      <c r="A596" s="2" t="inlineStr">
        <is>
          <t>ZAPC-014</t>
        </is>
      </c>
      <c r="B596" s="2" t="inlineStr"/>
      <c r="C596" s="2" t="inlineStr"/>
      <c r="D596" s="2" t="inlineStr">
        <is>
          <t>Disponible</t>
        </is>
      </c>
      <c r="E596" s="2" t="inlineStr"/>
    </row>
    <row r="597">
      <c r="A597" s="2" t="inlineStr">
        <is>
          <t>ZAPC-015</t>
        </is>
      </c>
      <c r="B597" s="2" t="inlineStr"/>
      <c r="C597" s="2" t="inlineStr"/>
      <c r="D597" s="2" t="inlineStr">
        <is>
          <t>Disponible</t>
        </is>
      </c>
      <c r="E597" s="2" t="inlineStr"/>
    </row>
    <row r="598">
      <c r="A598" s="2" t="inlineStr">
        <is>
          <t>ZAPC-016</t>
        </is>
      </c>
      <c r="B598" s="2" t="inlineStr"/>
      <c r="C598" s="2" t="inlineStr"/>
      <c r="D598" s="2" t="inlineStr">
        <is>
          <t>Disponible</t>
        </is>
      </c>
      <c r="E598" s="2" t="inlineStr"/>
    </row>
    <row r="599">
      <c r="A599" s="2" t="inlineStr">
        <is>
          <t>ZAPC-017</t>
        </is>
      </c>
      <c r="B599" s="2" t="inlineStr"/>
      <c r="C599" s="2" t="inlineStr"/>
      <c r="D599" s="2" t="inlineStr">
        <is>
          <t>Disponible</t>
        </is>
      </c>
      <c r="E599" s="2" t="inlineStr"/>
    </row>
    <row r="600">
      <c r="A600" s="2" t="inlineStr">
        <is>
          <t>ZAPC-018</t>
        </is>
      </c>
      <c r="B600" s="2" t="inlineStr"/>
      <c r="C600" s="2" t="inlineStr"/>
      <c r="D600" s="2" t="inlineStr">
        <is>
          <t>Disponible</t>
        </is>
      </c>
      <c r="E600" s="2" t="inlineStr"/>
    </row>
    <row r="601">
      <c r="A601" s="2" t="inlineStr">
        <is>
          <t>ZAPC-019</t>
        </is>
      </c>
      <c r="B601" s="2" t="inlineStr"/>
      <c r="C601" s="2" t="inlineStr"/>
      <c r="D601" s="2" t="inlineStr">
        <is>
          <t>Disponible</t>
        </is>
      </c>
      <c r="E601" s="2" t="inlineStr"/>
    </row>
    <row r="602">
      <c r="A602" s="2" t="inlineStr">
        <is>
          <t>ZAPC-020</t>
        </is>
      </c>
      <c r="B602" s="2" t="inlineStr"/>
      <c r="C602" s="2" t="inlineStr"/>
      <c r="D602" s="2" t="inlineStr">
        <is>
          <t>Disponible</t>
        </is>
      </c>
      <c r="E602" s="2" t="inlineStr"/>
    </row>
    <row r="603">
      <c r="A603" s="2" t="inlineStr">
        <is>
          <t>ZAPC-021</t>
        </is>
      </c>
      <c r="B603" s="2" t="inlineStr"/>
      <c r="C603" s="2" t="inlineStr"/>
      <c r="D603" s="2" t="inlineStr">
        <is>
          <t>Disponible</t>
        </is>
      </c>
      <c r="E603" s="2" t="inlineStr"/>
    </row>
    <row r="604">
      <c r="A604" s="2" t="inlineStr">
        <is>
          <t>ZAPC-022</t>
        </is>
      </c>
      <c r="B604" s="2" t="inlineStr"/>
      <c r="C604" s="2" t="inlineStr"/>
      <c r="D604" s="2" t="inlineStr">
        <is>
          <t>Disponible</t>
        </is>
      </c>
      <c r="E604" s="2" t="inlineStr"/>
    </row>
    <row r="605">
      <c r="A605" s="2" t="inlineStr">
        <is>
          <t>ZAPC-023</t>
        </is>
      </c>
      <c r="B605" s="2" t="inlineStr"/>
      <c r="C605" s="2" t="inlineStr"/>
      <c r="D605" s="2" t="inlineStr">
        <is>
          <t>Disponible</t>
        </is>
      </c>
      <c r="E605" s="2" t="inlineStr"/>
    </row>
    <row r="606">
      <c r="A606" s="2" t="inlineStr">
        <is>
          <t>ZAPC-024</t>
        </is>
      </c>
      <c r="B606" s="2" t="inlineStr"/>
      <c r="C606" s="2" t="inlineStr"/>
      <c r="D606" s="2" t="inlineStr">
        <is>
          <t>Disponible</t>
        </is>
      </c>
      <c r="E606" s="2" t="inlineStr"/>
    </row>
    <row r="607">
      <c r="A607" s="2" t="inlineStr">
        <is>
          <t>ZAPC-025</t>
        </is>
      </c>
      <c r="B607" s="2" t="inlineStr"/>
      <c r="C607" s="2" t="inlineStr"/>
      <c r="D607" s="2" t="inlineStr">
        <is>
          <t>Disponible</t>
        </is>
      </c>
      <c r="E607" s="2" t="inlineStr"/>
    </row>
    <row r="608">
      <c r="A608" s="2" t="inlineStr">
        <is>
          <t>ZAPC-026</t>
        </is>
      </c>
      <c r="B608" s="2" t="inlineStr"/>
      <c r="C608" s="2" t="inlineStr"/>
      <c r="D608" s="2" t="inlineStr">
        <is>
          <t>Disponible</t>
        </is>
      </c>
      <c r="E608" s="2" t="inlineStr"/>
    </row>
    <row r="609">
      <c r="A609" s="2" t="inlineStr">
        <is>
          <t>ZAPC-027</t>
        </is>
      </c>
      <c r="B609" s="2" t="inlineStr"/>
      <c r="C609" s="2" t="inlineStr"/>
      <c r="D609" s="2" t="inlineStr">
        <is>
          <t>Disponible</t>
        </is>
      </c>
      <c r="E609" s="2" t="inlineStr"/>
    </row>
    <row r="610">
      <c r="A610" s="2" t="inlineStr">
        <is>
          <t>ZAPC-028</t>
        </is>
      </c>
      <c r="B610" s="2" t="inlineStr"/>
      <c r="C610" s="2" t="inlineStr"/>
      <c r="D610" s="2" t="inlineStr">
        <is>
          <t>Disponible</t>
        </is>
      </c>
      <c r="E610" s="2" t="inlineStr"/>
    </row>
    <row r="611">
      <c r="A611" s="2" t="inlineStr">
        <is>
          <t>ZAPC-029</t>
        </is>
      </c>
      <c r="B611" s="2" t="inlineStr"/>
      <c r="C611" s="2" t="inlineStr"/>
      <c r="D611" s="2" t="inlineStr">
        <is>
          <t>Disponible</t>
        </is>
      </c>
      <c r="E611" s="2" t="inlineStr"/>
    </row>
    <row r="612">
      <c r="A612" s="2" t="inlineStr">
        <is>
          <t>ZAPC-030</t>
        </is>
      </c>
      <c r="B612" s="2" t="inlineStr"/>
      <c r="C612" s="2" t="inlineStr"/>
      <c r="D612" s="2" t="inlineStr">
        <is>
          <t>Disponible</t>
        </is>
      </c>
      <c r="E612" s="2" t="inlineStr"/>
    </row>
    <row r="613">
      <c r="A613" s="2" t="inlineStr">
        <is>
          <t>ZAPC-031</t>
        </is>
      </c>
      <c r="B613" s="2" t="inlineStr"/>
      <c r="C613" s="2" t="inlineStr"/>
      <c r="D613" s="2" t="inlineStr">
        <is>
          <t>Disponible</t>
        </is>
      </c>
      <c r="E613" s="2" t="inlineStr"/>
    </row>
    <row r="614">
      <c r="A614" s="2" t="inlineStr">
        <is>
          <t>ZAPC-032</t>
        </is>
      </c>
      <c r="B614" s="2" t="inlineStr"/>
      <c r="C614" s="2" t="inlineStr"/>
      <c r="D614" s="2" t="inlineStr">
        <is>
          <t>Disponible</t>
        </is>
      </c>
      <c r="E614" s="2" t="inlineStr"/>
    </row>
    <row r="615">
      <c r="A615" s="2" t="inlineStr">
        <is>
          <t>ZAPC-033</t>
        </is>
      </c>
      <c r="B615" s="2" t="inlineStr"/>
      <c r="C615" s="2" t="inlineStr"/>
      <c r="D615" s="2" t="inlineStr">
        <is>
          <t>Disponible</t>
        </is>
      </c>
      <c r="E615" s="2" t="inlineStr"/>
    </row>
    <row r="616">
      <c r="A616" s="2" t="inlineStr">
        <is>
          <t>ZAPC-034</t>
        </is>
      </c>
      <c r="B616" s="2" t="inlineStr"/>
      <c r="C616" s="2" t="inlineStr"/>
      <c r="D616" s="2" t="inlineStr">
        <is>
          <t>Disponible</t>
        </is>
      </c>
      <c r="E616" s="2" t="inlineStr"/>
    </row>
    <row r="617">
      <c r="A617" s="2" t="inlineStr">
        <is>
          <t>ZAPC-035</t>
        </is>
      </c>
      <c r="B617" s="2" t="inlineStr"/>
      <c r="C617" s="2" t="inlineStr"/>
      <c r="D617" s="2" t="inlineStr">
        <is>
          <t>Disponible</t>
        </is>
      </c>
      <c r="E617" s="2" t="inlineStr"/>
    </row>
    <row r="618">
      <c r="A618" s="2" t="inlineStr">
        <is>
          <t>ZAPC-036</t>
        </is>
      </c>
      <c r="B618" s="2" t="inlineStr"/>
      <c r="C618" s="2" t="inlineStr"/>
      <c r="D618" s="2" t="inlineStr">
        <is>
          <t>Disponible</t>
        </is>
      </c>
      <c r="E618" s="2" t="inlineStr"/>
    </row>
    <row r="619">
      <c r="A619" s="2" t="inlineStr">
        <is>
          <t>ZAPC-037</t>
        </is>
      </c>
      <c r="B619" s="2" t="inlineStr"/>
      <c r="C619" s="2" t="inlineStr"/>
      <c r="D619" s="2" t="inlineStr">
        <is>
          <t>Disponible</t>
        </is>
      </c>
      <c r="E619" s="2" t="inlineStr"/>
    </row>
    <row r="620">
      <c r="A620" s="2" t="inlineStr">
        <is>
          <t>ZAPC-038</t>
        </is>
      </c>
      <c r="B620" s="2" t="inlineStr"/>
      <c r="C620" s="2" t="inlineStr"/>
      <c r="D620" s="2" t="inlineStr">
        <is>
          <t>Disponible</t>
        </is>
      </c>
      <c r="E620" s="2" t="inlineStr"/>
    </row>
    <row r="621">
      <c r="A621" s="2" t="inlineStr">
        <is>
          <t>ZAPC-039</t>
        </is>
      </c>
      <c r="B621" s="2" t="inlineStr"/>
      <c r="C621" s="2" t="inlineStr"/>
      <c r="D621" s="2" t="inlineStr">
        <is>
          <t>Disponible</t>
        </is>
      </c>
      <c r="E621" s="2" t="inlineStr"/>
    </row>
    <row r="622">
      <c r="A622" s="2" t="inlineStr">
        <is>
          <t>ZAPC-040</t>
        </is>
      </c>
      <c r="B622" s="2" t="inlineStr"/>
      <c r="C622" s="2" t="inlineStr"/>
      <c r="D622" s="2" t="inlineStr">
        <is>
          <t>Disponible</t>
        </is>
      </c>
      <c r="E622" s="2" t="inlineStr"/>
    </row>
    <row r="623">
      <c r="A623" s="2" t="inlineStr">
        <is>
          <t>ZAPC-041</t>
        </is>
      </c>
      <c r="B623" s="2" t="inlineStr"/>
      <c r="C623" s="2" t="inlineStr"/>
      <c r="D623" s="2" t="inlineStr">
        <is>
          <t>Disponible</t>
        </is>
      </c>
      <c r="E623" s="2" t="inlineStr"/>
    </row>
    <row r="624">
      <c r="A624" s="2" t="inlineStr">
        <is>
          <t>ZAPC-042</t>
        </is>
      </c>
      <c r="B624" s="2" t="inlineStr"/>
      <c r="C624" s="2" t="inlineStr"/>
      <c r="D624" s="2" t="inlineStr">
        <is>
          <t>Disponible</t>
        </is>
      </c>
      <c r="E624" s="2" t="inlineStr"/>
    </row>
    <row r="625">
      <c r="A625" s="2" t="inlineStr">
        <is>
          <t>ZAPC-043</t>
        </is>
      </c>
      <c r="B625" s="2" t="inlineStr"/>
      <c r="C625" s="2" t="inlineStr"/>
      <c r="D625" s="2" t="inlineStr">
        <is>
          <t>Disponible</t>
        </is>
      </c>
      <c r="E625" s="2" t="inlineStr"/>
    </row>
    <row r="626">
      <c r="A626" s="2" t="inlineStr">
        <is>
          <t>ZAPC-044</t>
        </is>
      </c>
      <c r="B626" s="2" t="inlineStr"/>
      <c r="C626" s="2" t="inlineStr"/>
      <c r="D626" s="2" t="inlineStr">
        <is>
          <t>Disponible</t>
        </is>
      </c>
      <c r="E626" s="2" t="inlineStr"/>
    </row>
    <row r="627">
      <c r="A627" s="2" t="inlineStr">
        <is>
          <t>ZAPC-045</t>
        </is>
      </c>
      <c r="B627" s="2" t="inlineStr"/>
      <c r="C627" s="2" t="inlineStr"/>
      <c r="D627" s="2" t="inlineStr">
        <is>
          <t>Disponible</t>
        </is>
      </c>
      <c r="E627" s="2" t="inlineStr"/>
    </row>
    <row r="628">
      <c r="A628" s="2" t="inlineStr">
        <is>
          <t>ZAPC-046</t>
        </is>
      </c>
      <c r="B628" s="2" t="inlineStr"/>
      <c r="C628" s="2" t="inlineStr"/>
      <c r="D628" s="2" t="inlineStr">
        <is>
          <t>Disponible</t>
        </is>
      </c>
      <c r="E628" s="2" t="inlineStr"/>
    </row>
    <row r="629">
      <c r="A629" s="2" t="inlineStr">
        <is>
          <t>ZAPC-047</t>
        </is>
      </c>
      <c r="B629" s="2" t="inlineStr"/>
      <c r="C629" s="2" t="inlineStr"/>
      <c r="D629" s="2" t="inlineStr">
        <is>
          <t>Disponible</t>
        </is>
      </c>
      <c r="E629" s="2" t="inlineStr"/>
    </row>
    <row r="630">
      <c r="A630" s="2" t="inlineStr">
        <is>
          <t>ZAPC-048</t>
        </is>
      </c>
      <c r="B630" s="2" t="inlineStr"/>
      <c r="C630" s="2" t="inlineStr"/>
      <c r="D630" s="2" t="inlineStr">
        <is>
          <t>Disponible</t>
        </is>
      </c>
      <c r="E630" s="2" t="inlineStr"/>
    </row>
    <row r="631">
      <c r="A631" s="2" t="inlineStr">
        <is>
          <t>ZAPC-049</t>
        </is>
      </c>
      <c r="B631" s="2" t="inlineStr"/>
      <c r="C631" s="2" t="inlineStr"/>
      <c r="D631" s="2" t="inlineStr">
        <is>
          <t>Disponible</t>
        </is>
      </c>
      <c r="E631" s="2" t="inlineStr"/>
    </row>
    <row r="632">
      <c r="A632" s="2" t="inlineStr">
        <is>
          <t>ZAPC-050</t>
        </is>
      </c>
      <c r="B632" s="2" t="inlineStr"/>
      <c r="C632" s="2" t="inlineStr"/>
      <c r="D632" s="2" t="inlineStr">
        <is>
          <t>Disponible</t>
        </is>
      </c>
      <c r="E632" s="2" t="inlineStr"/>
    </row>
    <row r="633">
      <c r="A633" s="2" t="inlineStr">
        <is>
          <t>ZAPC-051</t>
        </is>
      </c>
      <c r="B633" s="2" t="inlineStr"/>
      <c r="C633" s="2" t="inlineStr"/>
      <c r="D633" s="2" t="inlineStr">
        <is>
          <t>Disponible</t>
        </is>
      </c>
      <c r="E633" s="2" t="inlineStr"/>
    </row>
    <row r="634">
      <c r="A634" s="2" t="inlineStr">
        <is>
          <t>ZAPC-052</t>
        </is>
      </c>
      <c r="B634" s="2" t="inlineStr"/>
      <c r="C634" s="2" t="inlineStr"/>
      <c r="D634" s="2" t="inlineStr">
        <is>
          <t>Disponible</t>
        </is>
      </c>
      <c r="E634" s="2" t="inlineStr"/>
    </row>
    <row r="635">
      <c r="A635" s="2" t="inlineStr">
        <is>
          <t>ZAPC-053</t>
        </is>
      </c>
      <c r="B635" s="2" t="inlineStr"/>
      <c r="C635" s="2" t="inlineStr"/>
      <c r="D635" s="2" t="inlineStr">
        <is>
          <t>Disponible</t>
        </is>
      </c>
      <c r="E635" s="2" t="inlineStr"/>
    </row>
    <row r="636">
      <c r="A636" s="2" t="inlineStr">
        <is>
          <t>ZAPC-054</t>
        </is>
      </c>
      <c r="B636" s="2" t="inlineStr"/>
      <c r="C636" s="2" t="inlineStr"/>
      <c r="D636" s="2" t="inlineStr">
        <is>
          <t>Disponible</t>
        </is>
      </c>
      <c r="E636" s="2" t="inlineStr"/>
    </row>
    <row r="637">
      <c r="A637" s="2" t="inlineStr">
        <is>
          <t>ZAPC-055</t>
        </is>
      </c>
      <c r="B637" s="2" t="inlineStr"/>
      <c r="C637" s="2" t="inlineStr"/>
      <c r="D637" s="2" t="inlineStr">
        <is>
          <t>Disponible</t>
        </is>
      </c>
      <c r="E637" s="2" t="inlineStr"/>
    </row>
    <row r="638">
      <c r="A638" s="2" t="inlineStr">
        <is>
          <t>ZAPC-056</t>
        </is>
      </c>
      <c r="B638" s="2" t="inlineStr"/>
      <c r="C638" s="2" t="inlineStr"/>
      <c r="D638" s="2" t="inlineStr">
        <is>
          <t>Disponible</t>
        </is>
      </c>
      <c r="E638" s="2" t="inlineStr"/>
    </row>
    <row r="639">
      <c r="A639" s="2" t="inlineStr">
        <is>
          <t>ZAPC-057</t>
        </is>
      </c>
      <c r="B639" s="2" t="inlineStr"/>
      <c r="C639" s="2" t="inlineStr"/>
      <c r="D639" s="2" t="inlineStr">
        <is>
          <t>Disponible</t>
        </is>
      </c>
      <c r="E639" s="2" t="inlineStr"/>
    </row>
    <row r="640">
      <c r="A640" s="2" t="inlineStr">
        <is>
          <t>ZAPC-058</t>
        </is>
      </c>
      <c r="B640" s="2" t="inlineStr"/>
      <c r="C640" s="2" t="inlineStr"/>
      <c r="D640" s="2" t="inlineStr">
        <is>
          <t>Disponible</t>
        </is>
      </c>
      <c r="E640" s="2" t="inlineStr"/>
    </row>
    <row r="641">
      <c r="A641" s="2" t="inlineStr">
        <is>
          <t>ZAPC-059</t>
        </is>
      </c>
      <c r="B641" s="2" t="inlineStr"/>
      <c r="C641" s="2" t="inlineStr"/>
      <c r="D641" s="2" t="inlineStr">
        <is>
          <t>Disponible</t>
        </is>
      </c>
      <c r="E641" s="2" t="inlineStr"/>
    </row>
    <row r="642">
      <c r="A642" s="2" t="inlineStr">
        <is>
          <t>ZAPC-060</t>
        </is>
      </c>
      <c r="B642" s="2" t="inlineStr"/>
      <c r="C642" s="2" t="inlineStr"/>
      <c r="D642" s="2" t="inlineStr">
        <is>
          <t>Disponible</t>
        </is>
      </c>
      <c r="E642" s="2" t="inlineStr"/>
    </row>
    <row r="643">
      <c r="A643" s="2" t="inlineStr">
        <is>
          <t>ZAPC-061</t>
        </is>
      </c>
      <c r="B643" s="2" t="inlineStr"/>
      <c r="C643" s="2" t="inlineStr"/>
      <c r="D643" s="2" t="inlineStr">
        <is>
          <t>Disponible</t>
        </is>
      </c>
      <c r="E643" s="2" t="inlineStr"/>
    </row>
    <row r="644">
      <c r="A644" s="2" t="inlineStr">
        <is>
          <t>ZAPC-062</t>
        </is>
      </c>
      <c r="B644" s="2" t="inlineStr"/>
      <c r="C644" s="2" t="inlineStr"/>
      <c r="D644" s="2" t="inlineStr">
        <is>
          <t>Disponible</t>
        </is>
      </c>
      <c r="E644" s="2" t="inlineStr"/>
    </row>
    <row r="645">
      <c r="A645" s="2" t="inlineStr">
        <is>
          <t>ZAPC-063</t>
        </is>
      </c>
      <c r="B645" s="2" t="inlineStr"/>
      <c r="C645" s="2" t="inlineStr"/>
      <c r="D645" s="2" t="inlineStr">
        <is>
          <t>Disponible</t>
        </is>
      </c>
      <c r="E645" s="2" t="inlineStr"/>
    </row>
    <row r="646">
      <c r="A646" s="2" t="inlineStr">
        <is>
          <t>ZAPC-064</t>
        </is>
      </c>
      <c r="B646" s="2" t="inlineStr"/>
      <c r="C646" s="2" t="inlineStr"/>
      <c r="D646" s="2" t="inlineStr">
        <is>
          <t>Disponible</t>
        </is>
      </c>
      <c r="E646" s="2" t="inlineStr"/>
    </row>
    <row r="647">
      <c r="A647" s="2" t="inlineStr">
        <is>
          <t>ZAPC-065</t>
        </is>
      </c>
      <c r="B647" s="2" t="inlineStr"/>
      <c r="C647" s="2" t="inlineStr"/>
      <c r="D647" s="2" t="inlineStr">
        <is>
          <t>Disponible</t>
        </is>
      </c>
      <c r="E647" s="2" t="inlineStr"/>
    </row>
    <row r="648">
      <c r="A648" s="2" t="inlineStr">
        <is>
          <t>ZAPC-066</t>
        </is>
      </c>
      <c r="B648" s="2" t="inlineStr"/>
      <c r="C648" s="2" t="inlineStr"/>
      <c r="D648" s="2" t="inlineStr">
        <is>
          <t>Disponible</t>
        </is>
      </c>
      <c r="E648" s="2" t="inlineStr"/>
    </row>
    <row r="649">
      <c r="A649" s="2" t="inlineStr">
        <is>
          <t>ZAPC-067</t>
        </is>
      </c>
      <c r="B649" s="2" t="inlineStr"/>
      <c r="C649" s="2" t="inlineStr"/>
      <c r="D649" s="2" t="inlineStr">
        <is>
          <t>Disponible</t>
        </is>
      </c>
      <c r="E649" s="2" t="inlineStr"/>
    </row>
    <row r="650">
      <c r="A650" s="2" t="inlineStr">
        <is>
          <t>ZAPC-068</t>
        </is>
      </c>
      <c r="B650" s="2" t="inlineStr"/>
      <c r="C650" s="2" t="inlineStr"/>
      <c r="D650" s="2" t="inlineStr">
        <is>
          <t>Disponible</t>
        </is>
      </c>
      <c r="E650" s="2" t="inlineStr"/>
    </row>
    <row r="651">
      <c r="A651" s="2" t="inlineStr">
        <is>
          <t>ZAPC-069</t>
        </is>
      </c>
      <c r="B651" s="2" t="inlineStr"/>
      <c r="C651" s="2" t="inlineStr"/>
      <c r="D651" s="2" t="inlineStr">
        <is>
          <t>Disponible</t>
        </is>
      </c>
      <c r="E651" s="2" t="inlineStr"/>
    </row>
    <row r="652">
      <c r="A652" s="2" t="inlineStr">
        <is>
          <t>ZAPC-070</t>
        </is>
      </c>
      <c r="B652" s="2" t="inlineStr"/>
      <c r="C652" s="2" t="inlineStr"/>
      <c r="D652" s="2" t="inlineStr">
        <is>
          <t>Disponible</t>
        </is>
      </c>
      <c r="E652" s="2" t="inlineStr"/>
    </row>
    <row r="653">
      <c r="A653" s="2" t="inlineStr">
        <is>
          <t>ZAPC-071</t>
        </is>
      </c>
      <c r="B653" s="2" t="inlineStr"/>
      <c r="C653" s="2" t="inlineStr"/>
      <c r="D653" s="2" t="inlineStr">
        <is>
          <t>Disponible</t>
        </is>
      </c>
      <c r="E653" s="2" t="inlineStr"/>
    </row>
    <row r="654">
      <c r="A654" s="2" t="inlineStr">
        <is>
          <t>ZAPC-072</t>
        </is>
      </c>
      <c r="B654" s="2" t="inlineStr"/>
      <c r="C654" s="2" t="inlineStr"/>
      <c r="D654" s="2" t="inlineStr">
        <is>
          <t>Disponible</t>
        </is>
      </c>
      <c r="E654" s="2" t="inlineStr"/>
    </row>
    <row r="655">
      <c r="A655" s="2" t="inlineStr">
        <is>
          <t>ZAPC-073</t>
        </is>
      </c>
      <c r="B655" s="2" t="inlineStr"/>
      <c r="C655" s="2" t="inlineStr"/>
      <c r="D655" s="2" t="inlineStr">
        <is>
          <t>Disponible</t>
        </is>
      </c>
      <c r="E655" s="2" t="inlineStr"/>
    </row>
    <row r="656">
      <c r="A656" s="2" t="inlineStr">
        <is>
          <t>ZAPC-074</t>
        </is>
      </c>
      <c r="B656" s="2" t="inlineStr"/>
      <c r="C656" s="2" t="inlineStr"/>
      <c r="D656" s="2" t="inlineStr">
        <is>
          <t>Disponible</t>
        </is>
      </c>
      <c r="E656" s="2" t="inlineStr"/>
    </row>
    <row r="657">
      <c r="A657" s="2" t="inlineStr">
        <is>
          <t>ZAPC-075</t>
        </is>
      </c>
      <c r="B657" s="2" t="inlineStr"/>
      <c r="C657" s="2" t="inlineStr"/>
      <c r="D657" s="2" t="inlineStr">
        <is>
          <t>Disponible</t>
        </is>
      </c>
      <c r="E657" s="2" t="inlineStr"/>
    </row>
    <row r="658">
      <c r="A658" s="2" t="inlineStr">
        <is>
          <t>ZAPC-076</t>
        </is>
      </c>
      <c r="B658" s="2" t="inlineStr"/>
      <c r="C658" s="2" t="inlineStr"/>
      <c r="D658" s="2" t="inlineStr">
        <is>
          <t>Disponible</t>
        </is>
      </c>
      <c r="E658" s="2" t="inlineStr"/>
    </row>
    <row r="659">
      <c r="A659" s="2" t="inlineStr">
        <is>
          <t>ZAPC-077</t>
        </is>
      </c>
      <c r="B659" s="2" t="inlineStr"/>
      <c r="C659" s="2" t="inlineStr"/>
      <c r="D659" s="2" t="inlineStr">
        <is>
          <t>Disponible</t>
        </is>
      </c>
      <c r="E659" s="2" t="inlineStr"/>
    </row>
    <row r="660">
      <c r="A660" s="2" t="inlineStr">
        <is>
          <t>ZAPC-078</t>
        </is>
      </c>
      <c r="B660" s="2" t="inlineStr"/>
      <c r="C660" s="2" t="inlineStr"/>
      <c r="D660" s="2" t="inlineStr">
        <is>
          <t>Disponible</t>
        </is>
      </c>
      <c r="E660" s="2" t="inlineStr"/>
    </row>
    <row r="661">
      <c r="A661" s="2" t="inlineStr">
        <is>
          <t>ZAPC-079</t>
        </is>
      </c>
      <c r="B661" s="2" t="inlineStr"/>
      <c r="C661" s="2" t="inlineStr"/>
      <c r="D661" s="2" t="inlineStr">
        <is>
          <t>Disponible</t>
        </is>
      </c>
      <c r="E661" s="2" t="inlineStr"/>
    </row>
    <row r="662">
      <c r="A662" s="2" t="inlineStr">
        <is>
          <t>ZAPC-080</t>
        </is>
      </c>
      <c r="B662" s="2" t="inlineStr"/>
      <c r="C662" s="2" t="inlineStr"/>
      <c r="D662" s="2" t="inlineStr">
        <is>
          <t>Disponible</t>
        </is>
      </c>
      <c r="E662" s="2" t="inlineStr"/>
    </row>
    <row r="663">
      <c r="A663" s="2" t="inlineStr">
        <is>
          <t>ZAPC-081</t>
        </is>
      </c>
      <c r="B663" s="2" t="inlineStr"/>
      <c r="C663" s="2" t="inlineStr"/>
      <c r="D663" s="2" t="inlineStr">
        <is>
          <t>Disponible</t>
        </is>
      </c>
      <c r="E663" s="2" t="inlineStr"/>
    </row>
    <row r="664">
      <c r="A664" s="2" t="inlineStr">
        <is>
          <t>ZAPC-082</t>
        </is>
      </c>
      <c r="B664" s="2" t="inlineStr"/>
      <c r="C664" s="2" t="inlineStr"/>
      <c r="D664" s="2" t="inlineStr">
        <is>
          <t>Disponible</t>
        </is>
      </c>
      <c r="E664" s="2" t="inlineStr"/>
    </row>
    <row r="665">
      <c r="A665" s="2" t="inlineStr">
        <is>
          <t>ZAPC-083</t>
        </is>
      </c>
      <c r="B665" s="2" t="inlineStr"/>
      <c r="C665" s="2" t="inlineStr"/>
      <c r="D665" s="2" t="inlineStr">
        <is>
          <t>Disponible</t>
        </is>
      </c>
      <c r="E665" s="2" t="inlineStr"/>
    </row>
    <row r="666">
      <c r="A666" s="2" t="inlineStr">
        <is>
          <t>ZAPC-084</t>
        </is>
      </c>
      <c r="B666" s="2" t="inlineStr"/>
      <c r="C666" s="2" t="inlineStr"/>
      <c r="D666" s="2" t="inlineStr">
        <is>
          <t>Disponible</t>
        </is>
      </c>
      <c r="E666" s="2" t="inlineStr"/>
    </row>
    <row r="667">
      <c r="A667" s="2" t="inlineStr">
        <is>
          <t>ZAPC-085</t>
        </is>
      </c>
      <c r="B667" s="2" t="inlineStr"/>
      <c r="C667" s="2" t="inlineStr"/>
      <c r="D667" s="2" t="inlineStr">
        <is>
          <t>Disponible</t>
        </is>
      </c>
      <c r="E667" s="2" t="inlineStr"/>
    </row>
    <row r="668">
      <c r="A668" s="2" t="inlineStr">
        <is>
          <t>ZAPC-086</t>
        </is>
      </c>
      <c r="B668" s="2" t="inlineStr"/>
      <c r="C668" s="2" t="inlineStr"/>
      <c r="D668" s="2" t="inlineStr">
        <is>
          <t>Disponible</t>
        </is>
      </c>
      <c r="E668" s="2" t="inlineStr"/>
    </row>
    <row r="669">
      <c r="A669" s="2" t="inlineStr">
        <is>
          <t>ZAPC-087</t>
        </is>
      </c>
      <c r="B669" s="2" t="inlineStr"/>
      <c r="C669" s="2" t="inlineStr"/>
      <c r="D669" s="2" t="inlineStr">
        <is>
          <t>Disponible</t>
        </is>
      </c>
      <c r="E669" s="2" t="inlineStr"/>
    </row>
    <row r="670">
      <c r="A670" s="2" t="inlineStr">
        <is>
          <t>ZAPC-088</t>
        </is>
      </c>
      <c r="B670" s="2" t="inlineStr"/>
      <c r="C670" s="2" t="inlineStr"/>
      <c r="D670" s="2" t="inlineStr">
        <is>
          <t>Disponible</t>
        </is>
      </c>
      <c r="E670" s="2" t="inlineStr"/>
    </row>
    <row r="671">
      <c r="A671" s="2" t="inlineStr">
        <is>
          <t>ZAPC-089</t>
        </is>
      </c>
      <c r="B671" s="2" t="inlineStr"/>
      <c r="C671" s="2" t="inlineStr"/>
      <c r="D671" s="2" t="inlineStr">
        <is>
          <t>Disponible</t>
        </is>
      </c>
      <c r="E671" s="2" t="inlineStr"/>
    </row>
    <row r="672">
      <c r="A672" s="2" t="inlineStr">
        <is>
          <t>ZAPC-090</t>
        </is>
      </c>
      <c r="B672" s="2" t="inlineStr"/>
      <c r="C672" s="2" t="inlineStr"/>
      <c r="D672" s="2" t="inlineStr">
        <is>
          <t>Disponible</t>
        </is>
      </c>
      <c r="E672" s="2" t="inlineStr"/>
    </row>
    <row r="673">
      <c r="A673" s="2" t="inlineStr">
        <is>
          <t>ZAPC-091</t>
        </is>
      </c>
      <c r="B673" s="2" t="inlineStr"/>
      <c r="C673" s="2" t="inlineStr"/>
      <c r="D673" s="2" t="inlineStr">
        <is>
          <t>Disponible</t>
        </is>
      </c>
      <c r="E673" s="2" t="inlineStr"/>
    </row>
    <row r="674">
      <c r="A674" s="2" t="inlineStr">
        <is>
          <t>ZAPC-092</t>
        </is>
      </c>
      <c r="B674" s="2" t="inlineStr"/>
      <c r="C674" s="2" t="inlineStr"/>
      <c r="D674" s="2" t="inlineStr">
        <is>
          <t>Disponible</t>
        </is>
      </c>
      <c r="E674" s="2" t="inlineStr"/>
    </row>
    <row r="675">
      <c r="A675" s="2" t="inlineStr">
        <is>
          <t>ZAPC-093</t>
        </is>
      </c>
      <c r="B675" s="2" t="inlineStr"/>
      <c r="C675" s="2" t="inlineStr"/>
      <c r="D675" s="2" t="inlineStr">
        <is>
          <t>Disponible</t>
        </is>
      </c>
      <c r="E675" s="2" t="inlineStr"/>
    </row>
    <row r="676">
      <c r="A676" s="2" t="inlineStr">
        <is>
          <t>ZAPC-094</t>
        </is>
      </c>
      <c r="B676" s="2" t="inlineStr"/>
      <c r="C676" s="2" t="inlineStr"/>
      <c r="D676" s="2" t="inlineStr">
        <is>
          <t>Disponible</t>
        </is>
      </c>
      <c r="E676" s="2" t="inlineStr"/>
    </row>
    <row r="677">
      <c r="A677" s="2" t="inlineStr">
        <is>
          <t>ZAPC-095</t>
        </is>
      </c>
      <c r="B677" s="2" t="inlineStr"/>
      <c r="C677" s="2" t="inlineStr"/>
      <c r="D677" s="2" t="inlineStr">
        <is>
          <t>Disponible</t>
        </is>
      </c>
      <c r="E677" s="2" t="inlineStr"/>
    </row>
    <row r="678">
      <c r="A678" s="2" t="inlineStr">
        <is>
          <t>ZAPC-096</t>
        </is>
      </c>
      <c r="B678" s="2" t="inlineStr"/>
      <c r="C678" s="2" t="inlineStr"/>
      <c r="D678" s="2" t="inlineStr">
        <is>
          <t>Disponible</t>
        </is>
      </c>
      <c r="E678" s="2" t="inlineStr"/>
    </row>
    <row r="679">
      <c r="A679" s="2" t="inlineStr">
        <is>
          <t>ZAPC-097</t>
        </is>
      </c>
      <c r="B679" s="2" t="inlineStr"/>
      <c r="C679" s="2" t="inlineStr"/>
      <c r="D679" s="2" t="inlineStr">
        <is>
          <t>Disponible</t>
        </is>
      </c>
      <c r="E679" s="2" t="inlineStr"/>
    </row>
    <row r="680">
      <c r="A680" s="2" t="inlineStr">
        <is>
          <t>ZAPC-098</t>
        </is>
      </c>
      <c r="B680" s="2" t="inlineStr"/>
      <c r="C680" s="2" t="inlineStr"/>
      <c r="D680" s="2" t="inlineStr">
        <is>
          <t>Disponible</t>
        </is>
      </c>
      <c r="E680" s="2" t="inlineStr"/>
    </row>
    <row r="681">
      <c r="A681" s="2" t="inlineStr">
        <is>
          <t>ZAPC-099</t>
        </is>
      </c>
      <c r="B681" s="2" t="inlineStr"/>
      <c r="C681" s="2" t="inlineStr"/>
      <c r="D681" s="2" t="inlineStr">
        <is>
          <t>Disponible</t>
        </is>
      </c>
      <c r="E681" s="2" t="inlineStr"/>
    </row>
    <row r="682">
      <c r="A682" s="2" t="inlineStr">
        <is>
          <t>ZAPC-100</t>
        </is>
      </c>
      <c r="B682" s="2" t="inlineStr"/>
      <c r="C682" s="2" t="inlineStr"/>
      <c r="D682" s="2" t="inlineStr">
        <is>
          <t>Disponible</t>
        </is>
      </c>
      <c r="E682" s="2" t="inlineStr"/>
    </row>
    <row r="683">
      <c r="A683" s="2" t="inlineStr">
        <is>
          <t>ZAPC-101</t>
        </is>
      </c>
      <c r="B683" s="2" t="inlineStr"/>
      <c r="C683" s="2" t="inlineStr"/>
      <c r="D683" s="2" t="inlineStr">
        <is>
          <t>Disponible</t>
        </is>
      </c>
      <c r="E683" s="2" t="inlineStr"/>
    </row>
    <row r="684">
      <c r="A684" s="2" t="inlineStr">
        <is>
          <t>ZAPC-102</t>
        </is>
      </c>
      <c r="B684" s="2" t="inlineStr"/>
      <c r="C684" s="2" t="inlineStr"/>
      <c r="D684" s="2" t="inlineStr">
        <is>
          <t>Disponible</t>
        </is>
      </c>
      <c r="E684" s="2" t="inlineStr"/>
    </row>
    <row r="685">
      <c r="A685" s="2" t="inlineStr">
        <is>
          <t>ZAPC-103</t>
        </is>
      </c>
      <c r="B685" s="2" t="inlineStr"/>
      <c r="C685" s="2" t="inlineStr"/>
      <c r="D685" s="2" t="inlineStr">
        <is>
          <t>Disponible</t>
        </is>
      </c>
      <c r="E685" s="2" t="inlineStr"/>
    </row>
    <row r="686">
      <c r="A686" s="2" t="inlineStr">
        <is>
          <t>ZAPC-104</t>
        </is>
      </c>
      <c r="B686" s="2" t="inlineStr"/>
      <c r="C686" s="2" t="inlineStr"/>
      <c r="D686" s="2" t="inlineStr">
        <is>
          <t>Disponible</t>
        </is>
      </c>
      <c r="E686" s="2" t="inlineStr"/>
    </row>
    <row r="687">
      <c r="A687" s="2" t="inlineStr">
        <is>
          <t>ZAPC-105</t>
        </is>
      </c>
      <c r="B687" s="2" t="inlineStr"/>
      <c r="C687" s="2" t="inlineStr"/>
      <c r="D687" s="2" t="inlineStr">
        <is>
          <t>Disponible</t>
        </is>
      </c>
      <c r="E687" s="2" t="inlineStr"/>
    </row>
    <row r="688">
      <c r="A688" s="2" t="inlineStr">
        <is>
          <t>ZAPC-106</t>
        </is>
      </c>
      <c r="B688" s="2" t="inlineStr"/>
      <c r="C688" s="2" t="inlineStr"/>
      <c r="D688" s="2" t="inlineStr">
        <is>
          <t>Disponible</t>
        </is>
      </c>
      <c r="E688" s="2" t="inlineStr"/>
    </row>
    <row r="689">
      <c r="A689" s="2" t="inlineStr">
        <is>
          <t>ZAPC-107</t>
        </is>
      </c>
      <c r="B689" s="2" t="inlineStr"/>
      <c r="C689" s="2" t="inlineStr"/>
      <c r="D689" s="2" t="inlineStr">
        <is>
          <t>Disponible</t>
        </is>
      </c>
      <c r="E689" s="2" t="inlineStr"/>
    </row>
    <row r="690">
      <c r="A690" s="2" t="inlineStr">
        <is>
          <t>ZAPC-108</t>
        </is>
      </c>
      <c r="B690" s="2" t="inlineStr"/>
      <c r="C690" s="2" t="inlineStr"/>
      <c r="D690" s="2" t="inlineStr">
        <is>
          <t>Disponible</t>
        </is>
      </c>
      <c r="E690" s="2" t="inlineStr"/>
    </row>
    <row r="691">
      <c r="A691" s="2" t="inlineStr">
        <is>
          <t>ZAPC-109</t>
        </is>
      </c>
      <c r="B691" s="2" t="inlineStr"/>
      <c r="C691" s="2" t="inlineStr"/>
      <c r="D691" s="2" t="inlineStr">
        <is>
          <t>Disponible</t>
        </is>
      </c>
      <c r="E691" s="2" t="inlineStr"/>
    </row>
    <row r="692">
      <c r="A692" s="2" t="inlineStr">
        <is>
          <t>ZAPC-110</t>
        </is>
      </c>
      <c r="B692" s="2" t="inlineStr"/>
      <c r="C692" s="2" t="inlineStr"/>
      <c r="D692" s="2" t="inlineStr">
        <is>
          <t>Disponible</t>
        </is>
      </c>
      <c r="E692" s="2" t="inlineStr"/>
    </row>
    <row r="693">
      <c r="A693" s="2" t="inlineStr">
        <is>
          <t>ZAPC-111</t>
        </is>
      </c>
      <c r="B693" s="2" t="inlineStr"/>
      <c r="C693" s="2" t="inlineStr"/>
      <c r="D693" s="2" t="inlineStr">
        <is>
          <t>Disponible</t>
        </is>
      </c>
      <c r="E693" s="2" t="inlineStr"/>
    </row>
    <row r="694">
      <c r="A694" s="2" t="inlineStr">
        <is>
          <t>ZAPC-112</t>
        </is>
      </c>
      <c r="B694" s="2" t="inlineStr"/>
      <c r="C694" s="2" t="inlineStr"/>
      <c r="D694" s="2" t="inlineStr">
        <is>
          <t>Disponible</t>
        </is>
      </c>
      <c r="E694" s="2" t="inlineStr"/>
    </row>
    <row r="695">
      <c r="A695" s="2" t="inlineStr">
        <is>
          <t>ZAPC-113</t>
        </is>
      </c>
      <c r="B695" s="2" t="inlineStr"/>
      <c r="C695" s="2" t="inlineStr"/>
      <c r="D695" s="2" t="inlineStr">
        <is>
          <t>Disponible</t>
        </is>
      </c>
      <c r="E695" s="2" t="inlineStr"/>
    </row>
    <row r="696">
      <c r="A696" s="2" t="inlineStr">
        <is>
          <t>ZAPC-114</t>
        </is>
      </c>
      <c r="B696" s="2" t="inlineStr"/>
      <c r="C696" s="2" t="inlineStr"/>
      <c r="D696" s="2" t="inlineStr">
        <is>
          <t>Disponible</t>
        </is>
      </c>
      <c r="E696" s="2" t="inlineStr"/>
    </row>
    <row r="697">
      <c r="A697" s="2" t="inlineStr">
        <is>
          <t>ZAPC-115</t>
        </is>
      </c>
      <c r="B697" s="2" t="inlineStr"/>
      <c r="C697" s="2" t="inlineStr"/>
      <c r="D697" s="2" t="inlineStr">
        <is>
          <t>Disponible</t>
        </is>
      </c>
      <c r="E697" s="2" t="inlineStr"/>
    </row>
    <row r="698">
      <c r="A698" s="2" t="inlineStr">
        <is>
          <t>ZAPC-116</t>
        </is>
      </c>
      <c r="B698" s="2" t="inlineStr"/>
      <c r="C698" s="2" t="inlineStr"/>
      <c r="D698" s="2" t="inlineStr">
        <is>
          <t>Disponible</t>
        </is>
      </c>
      <c r="E698" s="2" t="inlineStr"/>
    </row>
    <row r="699">
      <c r="A699" s="2" t="inlineStr">
        <is>
          <t>ZAPC-117</t>
        </is>
      </c>
      <c r="B699" s="2" t="inlineStr"/>
      <c r="C699" s="2" t="inlineStr"/>
      <c r="D699" s="2" t="inlineStr">
        <is>
          <t>Disponible</t>
        </is>
      </c>
      <c r="E699" s="2" t="inlineStr"/>
    </row>
    <row r="700">
      <c r="A700" s="2" t="inlineStr">
        <is>
          <t>ZAPC-118</t>
        </is>
      </c>
      <c r="B700" s="2" t="inlineStr"/>
      <c r="C700" s="2" t="inlineStr"/>
      <c r="D700" s="2" t="inlineStr">
        <is>
          <t>Disponible</t>
        </is>
      </c>
      <c r="E700" s="2" t="inlineStr"/>
    </row>
    <row r="701">
      <c r="A701" s="2" t="inlineStr">
        <is>
          <t>ZAPC-119</t>
        </is>
      </c>
      <c r="B701" s="2" t="inlineStr"/>
      <c r="C701" s="2" t="inlineStr"/>
      <c r="D701" s="2" t="inlineStr">
        <is>
          <t>Disponible</t>
        </is>
      </c>
      <c r="E701" s="2" t="inlineStr"/>
    </row>
    <row r="702">
      <c r="A702" s="2" t="inlineStr">
        <is>
          <t>ZAPC-120</t>
        </is>
      </c>
      <c r="B702" s="2" t="inlineStr"/>
      <c r="C702" s="2" t="inlineStr"/>
      <c r="D702" s="2" t="inlineStr">
        <is>
          <t>Disponible</t>
        </is>
      </c>
      <c r="E702" s="2" t="inlineStr"/>
    </row>
    <row r="703">
      <c r="A703" s="2" t="inlineStr">
        <is>
          <t>ZAPC-121</t>
        </is>
      </c>
      <c r="B703" s="2" t="inlineStr"/>
      <c r="C703" s="2" t="inlineStr"/>
      <c r="D703" s="2" t="inlineStr">
        <is>
          <t>Disponible</t>
        </is>
      </c>
      <c r="E703" s="2" t="inlineStr"/>
    </row>
    <row r="704">
      <c r="A704" s="2" t="inlineStr">
        <is>
          <t>ZAPC-122</t>
        </is>
      </c>
      <c r="B704" s="2" t="inlineStr"/>
      <c r="C704" s="2" t="inlineStr"/>
      <c r="D704" s="2" t="inlineStr">
        <is>
          <t>Disponible</t>
        </is>
      </c>
      <c r="E704" s="2" t="inlineStr"/>
    </row>
    <row r="705">
      <c r="A705" s="2" t="inlineStr">
        <is>
          <t>ZAPC-123</t>
        </is>
      </c>
      <c r="B705" s="2" t="inlineStr"/>
      <c r="C705" s="2" t="inlineStr"/>
      <c r="D705" s="2" t="inlineStr">
        <is>
          <t>Disponible</t>
        </is>
      </c>
      <c r="E705" s="2" t="inlineStr"/>
    </row>
    <row r="706">
      <c r="A706" s="2" t="inlineStr">
        <is>
          <t>ZAPC-124</t>
        </is>
      </c>
      <c r="B706" s="2" t="inlineStr"/>
      <c r="C706" s="2" t="inlineStr"/>
      <c r="D706" s="2" t="inlineStr">
        <is>
          <t>Disponible</t>
        </is>
      </c>
      <c r="E706" s="2" t="inlineStr"/>
    </row>
    <row r="707">
      <c r="A707" s="2" t="inlineStr">
        <is>
          <t>ZAPC-125</t>
        </is>
      </c>
      <c r="B707" s="2" t="inlineStr"/>
      <c r="C707" s="2" t="inlineStr"/>
      <c r="D707" s="2" t="inlineStr">
        <is>
          <t>Disponible</t>
        </is>
      </c>
      <c r="E707" s="2" t="inlineStr"/>
    </row>
    <row r="708">
      <c r="A708" s="2" t="inlineStr">
        <is>
          <t>ZAPC-126</t>
        </is>
      </c>
      <c r="B708" s="2" t="inlineStr"/>
      <c r="C708" s="2" t="inlineStr"/>
      <c r="D708" s="2" t="inlineStr">
        <is>
          <t>Disponible</t>
        </is>
      </c>
      <c r="E708" s="2" t="inlineStr"/>
    </row>
    <row r="709">
      <c r="A709" s="2" t="inlineStr">
        <is>
          <t>ZAPC-127</t>
        </is>
      </c>
      <c r="B709" s="2" t="inlineStr"/>
      <c r="C709" s="2" t="inlineStr"/>
      <c r="D709" s="2" t="inlineStr">
        <is>
          <t>Disponible</t>
        </is>
      </c>
      <c r="E709" s="2" t="inlineStr"/>
    </row>
    <row r="710">
      <c r="A710" s="2" t="inlineStr">
        <is>
          <t>ZAPC-128</t>
        </is>
      </c>
      <c r="B710" s="2" t="inlineStr"/>
      <c r="C710" s="2" t="inlineStr"/>
      <c r="D710" s="2" t="inlineStr">
        <is>
          <t>Disponible</t>
        </is>
      </c>
      <c r="E710" s="2" t="inlineStr"/>
    </row>
    <row r="711">
      <c r="A711" s="2" t="inlineStr">
        <is>
          <t>ZAPC-129</t>
        </is>
      </c>
      <c r="B711" s="2" t="inlineStr"/>
      <c r="C711" s="2" t="inlineStr"/>
      <c r="D711" s="2" t="inlineStr">
        <is>
          <t>Disponible</t>
        </is>
      </c>
      <c r="E711" s="2" t="inlineStr"/>
    </row>
    <row r="712">
      <c r="A712" s="2" t="inlineStr">
        <is>
          <t>ZAPC-130</t>
        </is>
      </c>
      <c r="B712" s="2" t="inlineStr"/>
      <c r="C712" s="2" t="inlineStr"/>
      <c r="D712" s="2" t="inlineStr">
        <is>
          <t>Disponible</t>
        </is>
      </c>
      <c r="E712" s="2" t="inlineStr"/>
    </row>
    <row r="713">
      <c r="A713" s="2" t="inlineStr">
        <is>
          <t>ZAPC-131</t>
        </is>
      </c>
      <c r="B713" s="2" t="inlineStr"/>
      <c r="C713" s="2" t="inlineStr"/>
      <c r="D713" s="2" t="inlineStr">
        <is>
          <t>Disponible</t>
        </is>
      </c>
      <c r="E713" s="2" t="inlineStr"/>
    </row>
    <row r="714">
      <c r="A714" s="2" t="inlineStr">
        <is>
          <t>ZAPC-132</t>
        </is>
      </c>
      <c r="B714" s="2" t="inlineStr"/>
      <c r="C714" s="2" t="inlineStr"/>
      <c r="D714" s="2" t="inlineStr">
        <is>
          <t>Disponible</t>
        </is>
      </c>
      <c r="E714" s="2" t="inlineStr"/>
    </row>
    <row r="715">
      <c r="A715" s="2" t="inlineStr">
        <is>
          <t>ZAPC-133</t>
        </is>
      </c>
      <c r="B715" s="2" t="inlineStr"/>
      <c r="C715" s="2" t="inlineStr"/>
      <c r="D715" s="2" t="inlineStr">
        <is>
          <t>Disponible</t>
        </is>
      </c>
      <c r="E715" s="2" t="inlineStr"/>
    </row>
    <row r="716">
      <c r="A716" s="2" t="inlineStr">
        <is>
          <t>ZAPC-134</t>
        </is>
      </c>
      <c r="B716" s="2" t="inlineStr"/>
      <c r="C716" s="2" t="inlineStr"/>
      <c r="D716" s="2" t="inlineStr">
        <is>
          <t>Disponible</t>
        </is>
      </c>
      <c r="E716" s="2" t="inlineStr"/>
    </row>
    <row r="717">
      <c r="A717" s="2" t="inlineStr">
        <is>
          <t>ZAPC-135</t>
        </is>
      </c>
      <c r="B717" s="2" t="inlineStr"/>
      <c r="C717" s="2" t="inlineStr"/>
      <c r="D717" s="2" t="inlineStr">
        <is>
          <t>Disponible</t>
        </is>
      </c>
      <c r="E717" s="2" t="inlineStr"/>
    </row>
    <row r="718">
      <c r="A718" s="2" t="inlineStr">
        <is>
          <t>ZAPC-136</t>
        </is>
      </c>
      <c r="B718" s="2" t="inlineStr"/>
      <c r="C718" s="2" t="inlineStr"/>
      <c r="D718" s="2" t="inlineStr">
        <is>
          <t>Disponible</t>
        </is>
      </c>
      <c r="E718" s="2" t="inlineStr"/>
    </row>
    <row r="719">
      <c r="A719" s="2" t="inlineStr">
        <is>
          <t>ZAPC-137</t>
        </is>
      </c>
      <c r="B719" s="2" t="inlineStr"/>
      <c r="C719" s="2" t="inlineStr"/>
      <c r="D719" s="2" t="inlineStr">
        <is>
          <t>Disponible</t>
        </is>
      </c>
      <c r="E719" s="2" t="inlineStr"/>
    </row>
    <row r="720">
      <c r="A720" s="2" t="inlineStr">
        <is>
          <t>ZAPC-138</t>
        </is>
      </c>
      <c r="B720" s="2" t="inlineStr"/>
      <c r="C720" s="2" t="inlineStr"/>
      <c r="D720" s="2" t="inlineStr">
        <is>
          <t>Disponible</t>
        </is>
      </c>
      <c r="E720" s="2" t="inlineStr"/>
    </row>
    <row r="721">
      <c r="A721" s="2" t="inlineStr">
        <is>
          <t>ZAPC-139</t>
        </is>
      </c>
      <c r="B721" s="2" t="inlineStr"/>
      <c r="C721" s="2" t="inlineStr"/>
      <c r="D721" s="2" t="inlineStr">
        <is>
          <t>Disponible</t>
        </is>
      </c>
      <c r="E721" s="2" t="inlineStr"/>
    </row>
    <row r="722">
      <c r="A722" s="2" t="inlineStr">
        <is>
          <t>ZAPC-140</t>
        </is>
      </c>
      <c r="B722" s="2" t="inlineStr"/>
      <c r="C722" s="2" t="inlineStr"/>
      <c r="D722" s="2" t="inlineStr">
        <is>
          <t>Disponible</t>
        </is>
      </c>
      <c r="E722" s="2" t="inlineStr"/>
    </row>
    <row r="723">
      <c r="A723" s="2" t="inlineStr">
        <is>
          <t>ZAPC-141</t>
        </is>
      </c>
      <c r="B723" s="2" t="inlineStr"/>
      <c r="C723" s="2" t="inlineStr"/>
      <c r="D723" s="2" t="inlineStr">
        <is>
          <t>Disponible</t>
        </is>
      </c>
      <c r="E723" s="2" t="inlineStr"/>
    </row>
    <row r="724">
      <c r="A724" s="2" t="inlineStr">
        <is>
          <t>ZAPC-142</t>
        </is>
      </c>
      <c r="B724" s="2" t="inlineStr"/>
      <c r="C724" s="2" t="inlineStr"/>
      <c r="D724" s="2" t="inlineStr">
        <is>
          <t>Disponible</t>
        </is>
      </c>
      <c r="E724" s="2" t="inlineStr"/>
    </row>
    <row r="725">
      <c r="A725" s="2" t="inlineStr">
        <is>
          <t>ZAPC-143</t>
        </is>
      </c>
      <c r="B725" s="2" t="inlineStr"/>
      <c r="C725" s="2" t="inlineStr"/>
      <c r="D725" s="2" t="inlineStr">
        <is>
          <t>Disponible</t>
        </is>
      </c>
      <c r="E725" s="2" t="inlineStr"/>
    </row>
    <row r="726">
      <c r="A726" s="2" t="inlineStr">
        <is>
          <t>ZAPC-144</t>
        </is>
      </c>
      <c r="B726" s="2" t="inlineStr"/>
      <c r="C726" s="2" t="inlineStr"/>
      <c r="D726" s="2" t="inlineStr">
        <is>
          <t>Disponible</t>
        </is>
      </c>
      <c r="E726" s="2" t="inlineStr"/>
    </row>
    <row r="727">
      <c r="A727" s="2" t="inlineStr">
        <is>
          <t>ZAPC-145</t>
        </is>
      </c>
      <c r="B727" s="2" t="inlineStr"/>
      <c r="C727" s="2" t="inlineStr"/>
      <c r="D727" s="2" t="inlineStr">
        <is>
          <t>Disponible</t>
        </is>
      </c>
      <c r="E727" s="2" t="inlineStr"/>
    </row>
    <row r="728">
      <c r="A728" s="2" t="inlineStr">
        <is>
          <t>ZAPC-146</t>
        </is>
      </c>
      <c r="B728" s="2" t="inlineStr"/>
      <c r="C728" s="2" t="inlineStr"/>
      <c r="D728" s="2" t="inlineStr">
        <is>
          <t>Disponible</t>
        </is>
      </c>
      <c r="E728" s="2" t="inlineStr"/>
    </row>
    <row r="729">
      <c r="A729" s="2" t="inlineStr">
        <is>
          <t>ZAPC-147</t>
        </is>
      </c>
      <c r="B729" s="2" t="inlineStr"/>
      <c r="C729" s="2" t="inlineStr"/>
      <c r="D729" s="2" t="inlineStr">
        <is>
          <t>Disponible</t>
        </is>
      </c>
      <c r="E729" s="2" t="inlineStr"/>
    </row>
    <row r="730">
      <c r="A730" s="2" t="inlineStr">
        <is>
          <t>ZAPC-148</t>
        </is>
      </c>
      <c r="B730" s="2" t="inlineStr"/>
      <c r="C730" s="2" t="inlineStr"/>
      <c r="D730" s="2" t="inlineStr">
        <is>
          <t>Disponible</t>
        </is>
      </c>
      <c r="E730" s="2" t="inlineStr"/>
    </row>
    <row r="731">
      <c r="A731" s="2" t="inlineStr">
        <is>
          <t>ZAPC-149</t>
        </is>
      </c>
      <c r="B731" s="2" t="inlineStr"/>
      <c r="C731" s="2" t="inlineStr"/>
      <c r="D731" s="2" t="inlineStr">
        <is>
          <t>Disponible</t>
        </is>
      </c>
      <c r="E731" s="2" t="inlineStr"/>
    </row>
    <row r="732">
      <c r="A732" s="2" t="inlineStr">
        <is>
          <t>ZAPC-150</t>
        </is>
      </c>
      <c r="B732" s="2" t="inlineStr"/>
      <c r="C732" s="2" t="inlineStr"/>
      <c r="D732" s="2" t="inlineStr">
        <is>
          <t>Disponible</t>
        </is>
      </c>
      <c r="E732" s="2" t="inlineStr"/>
    </row>
    <row r="733">
      <c r="A733" s="2" t="inlineStr">
        <is>
          <t>ZAPC-151</t>
        </is>
      </c>
      <c r="B733" s="2" t="inlineStr"/>
      <c r="C733" s="2" t="inlineStr"/>
      <c r="D733" s="2" t="inlineStr">
        <is>
          <t>Disponible</t>
        </is>
      </c>
      <c r="E733" s="2" t="inlineStr"/>
    </row>
    <row r="734">
      <c r="A734" s="2" t="inlineStr">
        <is>
          <t>ZAPC-152</t>
        </is>
      </c>
      <c r="B734" s="2" t="inlineStr"/>
      <c r="C734" s="2" t="inlineStr"/>
      <c r="D734" s="2" t="inlineStr">
        <is>
          <t>Disponible</t>
        </is>
      </c>
      <c r="E734" s="2" t="inlineStr"/>
    </row>
    <row r="735">
      <c r="A735" s="2" t="inlineStr">
        <is>
          <t>ZAPC-153</t>
        </is>
      </c>
      <c r="B735" s="2" t="inlineStr"/>
      <c r="C735" s="2" t="inlineStr"/>
      <c r="D735" s="2" t="inlineStr">
        <is>
          <t>Disponible</t>
        </is>
      </c>
      <c r="E735" s="2" t="inlineStr"/>
    </row>
    <row r="736">
      <c r="A736" s="2" t="inlineStr">
        <is>
          <t>ZAPC-154</t>
        </is>
      </c>
      <c r="B736" s="2" t="inlineStr"/>
      <c r="C736" s="2" t="inlineStr"/>
      <c r="D736" s="2" t="inlineStr">
        <is>
          <t>Disponible</t>
        </is>
      </c>
      <c r="E736" s="2" t="inlineStr"/>
    </row>
    <row r="737">
      <c r="A737" s="2" t="inlineStr">
        <is>
          <t>ZAPC-155</t>
        </is>
      </c>
      <c r="B737" s="2" t="inlineStr"/>
      <c r="C737" s="2" t="inlineStr"/>
      <c r="D737" s="2" t="inlineStr">
        <is>
          <t>Disponible</t>
        </is>
      </c>
      <c r="E737" s="2" t="inlineStr"/>
    </row>
    <row r="738">
      <c r="A738" s="2" t="inlineStr">
        <is>
          <t>ZAPC-156</t>
        </is>
      </c>
      <c r="B738" s="2" t="inlineStr"/>
      <c r="C738" s="2" t="inlineStr"/>
      <c r="D738" s="2" t="inlineStr">
        <is>
          <t>Disponible</t>
        </is>
      </c>
      <c r="E738" s="2" t="inlineStr"/>
    </row>
    <row r="739">
      <c r="A739" s="2" t="inlineStr">
        <is>
          <t>ZAPC-157</t>
        </is>
      </c>
      <c r="B739" s="2" t="inlineStr"/>
      <c r="C739" s="2" t="inlineStr"/>
      <c r="D739" s="2" t="inlineStr">
        <is>
          <t>Disponible</t>
        </is>
      </c>
      <c r="E739" s="2" t="inlineStr"/>
    </row>
    <row r="740">
      <c r="A740" s="2" t="inlineStr">
        <is>
          <t>ZAPC-158</t>
        </is>
      </c>
      <c r="B740" s="2" t="inlineStr"/>
      <c r="C740" s="2" t="inlineStr"/>
      <c r="D740" s="2" t="inlineStr">
        <is>
          <t>Disponible</t>
        </is>
      </c>
      <c r="E740" s="2" t="inlineStr"/>
    </row>
    <row r="741">
      <c r="A741" s="2" t="inlineStr">
        <is>
          <t>ZAPC-159</t>
        </is>
      </c>
      <c r="B741" s="2" t="inlineStr"/>
      <c r="C741" s="2" t="inlineStr"/>
      <c r="D741" s="2" t="inlineStr">
        <is>
          <t>Disponible</t>
        </is>
      </c>
      <c r="E741" s="2" t="inlineStr"/>
    </row>
    <row r="742">
      <c r="A742" s="2" t="inlineStr">
        <is>
          <t>ZAPC-160</t>
        </is>
      </c>
      <c r="B742" s="2" t="inlineStr"/>
      <c r="C742" s="2" t="inlineStr"/>
      <c r="D742" s="2" t="inlineStr">
        <is>
          <t>Disponible</t>
        </is>
      </c>
      <c r="E742" s="2" t="inlineStr"/>
    </row>
    <row r="743">
      <c r="A743" s="2" t="inlineStr">
        <is>
          <t>ZAPC-161</t>
        </is>
      </c>
      <c r="B743" s="2" t="inlineStr"/>
      <c r="C743" s="2" t="inlineStr"/>
      <c r="D743" s="2" t="inlineStr">
        <is>
          <t>Disponible</t>
        </is>
      </c>
      <c r="E743" s="2" t="inlineStr"/>
    </row>
    <row r="744">
      <c r="A744" s="2" t="inlineStr">
        <is>
          <t>ZAPC-162</t>
        </is>
      </c>
      <c r="B744" s="2" t="inlineStr"/>
      <c r="C744" s="2" t="inlineStr"/>
      <c r="D744" s="2" t="inlineStr">
        <is>
          <t>Disponible</t>
        </is>
      </c>
      <c r="E744" s="2" t="inlineStr"/>
    </row>
    <row r="745">
      <c r="A745" s="2" t="inlineStr">
        <is>
          <t>ZAPC-163</t>
        </is>
      </c>
      <c r="B745" s="2" t="inlineStr"/>
      <c r="C745" s="2" t="inlineStr"/>
      <c r="D745" s="2" t="inlineStr">
        <is>
          <t>Disponible</t>
        </is>
      </c>
      <c r="E745" s="2" t="inlineStr"/>
    </row>
    <row r="746">
      <c r="A746" s="2" t="inlineStr">
        <is>
          <t>ZAPC-164</t>
        </is>
      </c>
      <c r="B746" s="2" t="inlineStr"/>
      <c r="C746" s="2" t="inlineStr"/>
      <c r="D746" s="2" t="inlineStr">
        <is>
          <t>Disponible</t>
        </is>
      </c>
      <c r="E746" s="2" t="inlineStr"/>
    </row>
    <row r="747">
      <c r="A747" s="2" t="inlineStr">
        <is>
          <t>ZAPC-165</t>
        </is>
      </c>
      <c r="B747" s="2" t="inlineStr"/>
      <c r="C747" s="2" t="inlineStr"/>
      <c r="D747" s="2" t="inlineStr">
        <is>
          <t>Disponible</t>
        </is>
      </c>
      <c r="E747" s="2" t="inlineStr"/>
    </row>
    <row r="748">
      <c r="A748" s="2" t="inlineStr">
        <is>
          <t>ZAPC-166</t>
        </is>
      </c>
      <c r="B748" s="2" t="inlineStr"/>
      <c r="C748" s="2" t="inlineStr"/>
      <c r="D748" s="2" t="inlineStr">
        <is>
          <t>Disponible</t>
        </is>
      </c>
      <c r="E748" s="2" t="inlineStr"/>
    </row>
    <row r="749">
      <c r="A749" s="2" t="inlineStr">
        <is>
          <t>ZAPC-167</t>
        </is>
      </c>
      <c r="B749" s="2" t="inlineStr"/>
      <c r="C749" s="2" t="inlineStr"/>
      <c r="D749" s="2" t="inlineStr">
        <is>
          <t>Disponible</t>
        </is>
      </c>
      <c r="E749" s="2" t="inlineStr"/>
    </row>
    <row r="750">
      <c r="A750" s="2" t="inlineStr">
        <is>
          <t>ZAPC-168</t>
        </is>
      </c>
      <c r="B750" s="2" t="inlineStr"/>
      <c r="C750" s="2" t="inlineStr"/>
      <c r="D750" s="2" t="inlineStr">
        <is>
          <t>Disponible</t>
        </is>
      </c>
      <c r="E750" s="2" t="inlineStr"/>
    </row>
    <row r="751">
      <c r="A751" s="2" t="inlineStr">
        <is>
          <t>ZAPC-169</t>
        </is>
      </c>
      <c r="B751" s="2" t="inlineStr"/>
      <c r="C751" s="2" t="inlineStr"/>
      <c r="D751" s="2" t="inlineStr">
        <is>
          <t>Disponible</t>
        </is>
      </c>
      <c r="E751" s="2" t="inlineStr"/>
    </row>
    <row r="752">
      <c r="A752" s="2" t="inlineStr">
        <is>
          <t>ZAPC-170</t>
        </is>
      </c>
      <c r="B752" s="2" t="inlineStr"/>
      <c r="C752" s="2" t="inlineStr"/>
      <c r="D752" s="2" t="inlineStr">
        <is>
          <t>Disponible</t>
        </is>
      </c>
      <c r="E752" s="2" t="inlineStr"/>
    </row>
    <row r="753">
      <c r="A753" s="2" t="inlineStr">
        <is>
          <t>ZAPC-171</t>
        </is>
      </c>
      <c r="B753" s="2" t="inlineStr"/>
      <c r="C753" s="2" t="inlineStr"/>
      <c r="D753" s="2" t="inlineStr">
        <is>
          <t>Disponible</t>
        </is>
      </c>
      <c r="E753" s="2" t="inlineStr"/>
    </row>
    <row r="754">
      <c r="A754" s="2" t="inlineStr">
        <is>
          <t>ZAPC-172</t>
        </is>
      </c>
      <c r="B754" s="2" t="inlineStr"/>
      <c r="C754" s="2" t="inlineStr"/>
      <c r="D754" s="2" t="inlineStr">
        <is>
          <t>Disponible</t>
        </is>
      </c>
      <c r="E754" s="2" t="inlineStr"/>
    </row>
    <row r="755">
      <c r="A755" s="2" t="inlineStr">
        <is>
          <t>ZAPC-173</t>
        </is>
      </c>
      <c r="B755" s="2" t="inlineStr"/>
      <c r="C755" s="2" t="inlineStr"/>
      <c r="D755" s="2" t="inlineStr">
        <is>
          <t>Disponible</t>
        </is>
      </c>
      <c r="E755" s="2" t="inlineStr"/>
    </row>
    <row r="756">
      <c r="A756" s="2" t="inlineStr">
        <is>
          <t>ZAPC-174</t>
        </is>
      </c>
      <c r="B756" s="2" t="inlineStr"/>
      <c r="C756" s="2" t="inlineStr"/>
      <c r="D756" s="2" t="inlineStr">
        <is>
          <t>Disponible</t>
        </is>
      </c>
      <c r="E756" s="2" t="inlineStr"/>
    </row>
    <row r="757">
      <c r="A757" s="2" t="inlineStr">
        <is>
          <t>ZAPC-175</t>
        </is>
      </c>
      <c r="B757" s="2" t="inlineStr"/>
      <c r="C757" s="2" t="inlineStr"/>
      <c r="D757" s="2" t="inlineStr">
        <is>
          <t>Disponible</t>
        </is>
      </c>
      <c r="E757" s="2" t="inlineStr"/>
    </row>
    <row r="758">
      <c r="A758" s="2" t="inlineStr">
        <is>
          <t>ZAPC-176</t>
        </is>
      </c>
      <c r="B758" s="2" t="inlineStr"/>
      <c r="C758" s="2" t="inlineStr"/>
      <c r="D758" s="2" t="inlineStr">
        <is>
          <t>Disponible</t>
        </is>
      </c>
      <c r="E758" s="2" t="inlineStr"/>
    </row>
    <row r="759">
      <c r="A759" s="2" t="inlineStr">
        <is>
          <t>ZAPC-177</t>
        </is>
      </c>
      <c r="B759" s="2" t="inlineStr"/>
      <c r="C759" s="2" t="inlineStr"/>
      <c r="D759" s="2" t="inlineStr">
        <is>
          <t>Disponible</t>
        </is>
      </c>
      <c r="E759" s="2" t="inlineStr"/>
    </row>
    <row r="760">
      <c r="A760" s="2" t="inlineStr">
        <is>
          <t>ZAPC-178</t>
        </is>
      </c>
      <c r="B760" s="2" t="inlineStr"/>
      <c r="C760" s="2" t="inlineStr"/>
      <c r="D760" s="2" t="inlineStr">
        <is>
          <t>Disponible</t>
        </is>
      </c>
      <c r="E760" s="2" t="inlineStr"/>
    </row>
    <row r="761">
      <c r="A761" s="2" t="inlineStr">
        <is>
          <t>ZAPC-179</t>
        </is>
      </c>
      <c r="B761" s="2" t="inlineStr"/>
      <c r="C761" s="2" t="inlineStr"/>
      <c r="D761" s="2" t="inlineStr">
        <is>
          <t>Disponible</t>
        </is>
      </c>
      <c r="E761" s="2" t="inlineStr"/>
    </row>
    <row r="762">
      <c r="A762" s="2" t="inlineStr">
        <is>
          <t>ZAPC-180</t>
        </is>
      </c>
      <c r="B762" s="2" t="inlineStr"/>
      <c r="C762" s="2" t="inlineStr"/>
      <c r="D762" s="2" t="inlineStr">
        <is>
          <t>Disponible</t>
        </is>
      </c>
      <c r="E762" s="2" t="inlineStr"/>
    </row>
    <row r="763">
      <c r="A763" s="2" t="inlineStr">
        <is>
          <t>ZAPC-181</t>
        </is>
      </c>
      <c r="B763" s="2" t="inlineStr"/>
      <c r="C763" s="2" t="inlineStr"/>
      <c r="D763" s="2" t="inlineStr">
        <is>
          <t>Disponible</t>
        </is>
      </c>
      <c r="E763" s="2" t="inlineStr"/>
    </row>
    <row r="764">
      <c r="A764" s="2" t="inlineStr">
        <is>
          <t>ZAPC-182</t>
        </is>
      </c>
      <c r="B764" s="2" t="inlineStr"/>
      <c r="C764" s="2" t="inlineStr"/>
      <c r="D764" s="2" t="inlineStr">
        <is>
          <t>Disponible</t>
        </is>
      </c>
      <c r="E764" s="2" t="inlineStr"/>
    </row>
    <row r="765">
      <c r="A765" s="2" t="inlineStr">
        <is>
          <t>ZAPC-183</t>
        </is>
      </c>
      <c r="B765" s="2" t="inlineStr"/>
      <c r="C765" s="2" t="inlineStr"/>
      <c r="D765" s="2" t="inlineStr">
        <is>
          <t>Disponible</t>
        </is>
      </c>
      <c r="E765" s="2" t="inlineStr"/>
    </row>
    <row r="766">
      <c r="A766" s="2" t="inlineStr">
        <is>
          <t>ZAPC-184</t>
        </is>
      </c>
      <c r="B766" s="2" t="inlineStr"/>
      <c r="C766" s="2" t="inlineStr"/>
      <c r="D766" s="2" t="inlineStr">
        <is>
          <t>Disponible</t>
        </is>
      </c>
      <c r="E766" s="2" t="inlineStr"/>
    </row>
    <row r="767">
      <c r="A767" s="2" t="inlineStr">
        <is>
          <t>ZAPC-185</t>
        </is>
      </c>
      <c r="B767" s="2" t="inlineStr"/>
      <c r="C767" s="2" t="inlineStr"/>
      <c r="D767" s="2" t="inlineStr">
        <is>
          <t>Disponible</t>
        </is>
      </c>
      <c r="E767" s="2" t="inlineStr"/>
    </row>
    <row r="768">
      <c r="A768" s="2" t="inlineStr">
        <is>
          <t>ZAPC-186</t>
        </is>
      </c>
      <c r="B768" s="2" t="inlineStr"/>
      <c r="C768" s="2" t="inlineStr"/>
      <c r="D768" s="2" t="inlineStr">
        <is>
          <t>Disponible</t>
        </is>
      </c>
      <c r="E768" s="2" t="inlineStr"/>
    </row>
    <row r="769">
      <c r="A769" s="2" t="inlineStr">
        <is>
          <t>ZAPC-187</t>
        </is>
      </c>
      <c r="B769" s="2" t="inlineStr"/>
      <c r="C769" s="2" t="inlineStr"/>
      <c r="D769" s="2" t="inlineStr">
        <is>
          <t>Disponible</t>
        </is>
      </c>
      <c r="E769" s="2" t="inlineStr"/>
    </row>
    <row r="770">
      <c r="A770" s="2" t="inlineStr">
        <is>
          <t>ZAPC-188</t>
        </is>
      </c>
      <c r="B770" s="2" t="inlineStr"/>
      <c r="C770" s="2" t="inlineStr"/>
      <c r="D770" s="2" t="inlineStr">
        <is>
          <t>Disponible</t>
        </is>
      </c>
      <c r="E770" s="2" t="inlineStr"/>
    </row>
    <row r="771">
      <c r="A771" s="2" t="inlineStr">
        <is>
          <t>ZAPC-189</t>
        </is>
      </c>
      <c r="B771" s="2" t="inlineStr"/>
      <c r="C771" s="2" t="inlineStr"/>
      <c r="D771" s="2" t="inlineStr">
        <is>
          <t>Disponible</t>
        </is>
      </c>
      <c r="E771" s="2" t="inlineStr"/>
    </row>
    <row r="772">
      <c r="A772" s="2" t="inlineStr">
        <is>
          <t>ZAPC-190</t>
        </is>
      </c>
      <c r="B772" s="2" t="inlineStr"/>
      <c r="C772" s="2" t="inlineStr"/>
      <c r="D772" s="2" t="inlineStr">
        <is>
          <t>Disponible</t>
        </is>
      </c>
      <c r="E772" s="2" t="inlineStr"/>
    </row>
    <row r="773">
      <c r="A773" s="2" t="inlineStr">
        <is>
          <t>ZAPC-191</t>
        </is>
      </c>
      <c r="B773" s="2" t="inlineStr"/>
      <c r="C773" s="2" t="inlineStr"/>
      <c r="D773" s="2" t="inlineStr">
        <is>
          <t>Disponible</t>
        </is>
      </c>
      <c r="E773" s="2" t="inlineStr"/>
    </row>
    <row r="774">
      <c r="A774" s="2" t="inlineStr">
        <is>
          <t>ZAPC-192</t>
        </is>
      </c>
      <c r="B774" s="2" t="inlineStr"/>
      <c r="C774" s="2" t="inlineStr"/>
      <c r="D774" s="2" t="inlineStr">
        <is>
          <t>Disponible</t>
        </is>
      </c>
      <c r="E774" s="2" t="inlineStr"/>
    </row>
    <row r="775">
      <c r="A775" s="2" t="inlineStr">
        <is>
          <t>ZAPC-193</t>
        </is>
      </c>
      <c r="B775" s="2" t="inlineStr"/>
      <c r="C775" s="2" t="inlineStr"/>
      <c r="D775" s="2" t="inlineStr">
        <is>
          <t>Disponible</t>
        </is>
      </c>
      <c r="E775" s="2" t="inlineStr"/>
    </row>
    <row r="776">
      <c r="A776" s="2" t="inlineStr">
        <is>
          <t>ZAPC-194</t>
        </is>
      </c>
      <c r="B776" s="2" t="inlineStr"/>
      <c r="C776" s="2" t="inlineStr"/>
      <c r="D776" s="2" t="inlineStr">
        <is>
          <t>Disponible</t>
        </is>
      </c>
      <c r="E776" s="2" t="inlineStr"/>
    </row>
    <row r="777">
      <c r="A777" s="2" t="inlineStr">
        <is>
          <t>ZAPC-195</t>
        </is>
      </c>
      <c r="B777" s="2" t="inlineStr"/>
      <c r="C777" s="2" t="inlineStr"/>
      <c r="D777" s="2" t="inlineStr">
        <is>
          <t>Disponible</t>
        </is>
      </c>
      <c r="E777" s="2" t="inlineStr"/>
    </row>
    <row r="778">
      <c r="A778" s="2" t="inlineStr">
        <is>
          <t>ZAPC-196</t>
        </is>
      </c>
      <c r="B778" s="2" t="inlineStr"/>
      <c r="C778" s="2" t="inlineStr"/>
      <c r="D778" s="2" t="inlineStr">
        <is>
          <t>Disponible</t>
        </is>
      </c>
      <c r="E778" s="2" t="inlineStr"/>
    </row>
    <row r="779">
      <c r="A779" s="2" t="inlineStr">
        <is>
          <t>ZAPC-197</t>
        </is>
      </c>
      <c r="B779" s="2" t="inlineStr"/>
      <c r="C779" s="2" t="inlineStr"/>
      <c r="D779" s="2" t="inlineStr">
        <is>
          <t>Disponible</t>
        </is>
      </c>
      <c r="E779" s="2" t="inlineStr"/>
    </row>
    <row r="780">
      <c r="A780" s="2" t="inlineStr">
        <is>
          <t>ZAPC-198</t>
        </is>
      </c>
      <c r="B780" s="2" t="inlineStr"/>
      <c r="C780" s="2" t="inlineStr"/>
      <c r="D780" s="2" t="inlineStr">
        <is>
          <t>Disponible</t>
        </is>
      </c>
      <c r="E780" s="2" t="inlineStr"/>
    </row>
    <row r="781">
      <c r="A781" s="2" t="inlineStr">
        <is>
          <t>ZAPC-199</t>
        </is>
      </c>
      <c r="B781" s="2" t="inlineStr"/>
      <c r="C781" s="2" t="inlineStr"/>
      <c r="D781" s="2" t="inlineStr">
        <is>
          <t>Disponible</t>
        </is>
      </c>
      <c r="E781" s="2" t="inlineStr"/>
    </row>
    <row r="782">
      <c r="A782" s="2" t="inlineStr">
        <is>
          <t>ZAPC-200</t>
        </is>
      </c>
      <c r="B782" s="2" t="inlineStr"/>
      <c r="C782" s="2" t="inlineStr"/>
      <c r="D782" s="2" t="inlineStr">
        <is>
          <t>Disponible</t>
        </is>
      </c>
      <c r="E782" s="2" t="inlineStr"/>
    </row>
    <row r="783">
      <c r="A783" s="2" t="inlineStr">
        <is>
          <t>ZAPC-201</t>
        </is>
      </c>
      <c r="B783" s="2" t="inlineStr"/>
      <c r="C783" s="2" t="inlineStr"/>
      <c r="D783" s="2" t="inlineStr">
        <is>
          <t>Disponible</t>
        </is>
      </c>
      <c r="E783" s="2" t="inlineStr"/>
    </row>
    <row r="784">
      <c r="A784" s="2" t="inlineStr">
        <is>
          <t>ZAPC-202</t>
        </is>
      </c>
      <c r="B784" s="2" t="inlineStr"/>
      <c r="C784" s="2" t="inlineStr"/>
      <c r="D784" s="2" t="inlineStr">
        <is>
          <t>Disponible</t>
        </is>
      </c>
      <c r="E784" s="2" t="inlineStr"/>
    </row>
    <row r="785">
      <c r="A785" s="2" t="inlineStr">
        <is>
          <t>ZAPC-203</t>
        </is>
      </c>
      <c r="B785" s="2" t="inlineStr"/>
      <c r="C785" s="2" t="inlineStr"/>
      <c r="D785" s="2" t="inlineStr">
        <is>
          <t>Disponible</t>
        </is>
      </c>
      <c r="E785" s="2" t="inlineStr"/>
    </row>
    <row r="786">
      <c r="A786" s="2" t="inlineStr">
        <is>
          <t>ZAPC-204</t>
        </is>
      </c>
      <c r="B786" s="2" t="inlineStr"/>
      <c r="C786" s="2" t="inlineStr"/>
      <c r="D786" s="2" t="inlineStr">
        <is>
          <t>Disponible</t>
        </is>
      </c>
      <c r="E786" s="2" t="inlineStr"/>
    </row>
    <row r="787">
      <c r="A787" s="2" t="inlineStr">
        <is>
          <t>ZAPC-205</t>
        </is>
      </c>
      <c r="B787" s="2" t="inlineStr"/>
      <c r="C787" s="2" t="inlineStr"/>
      <c r="D787" s="2" t="inlineStr">
        <is>
          <t>Disponible</t>
        </is>
      </c>
      <c r="E787" s="2" t="inlineStr"/>
    </row>
    <row r="788">
      <c r="A788" s="2" t="inlineStr">
        <is>
          <t>ZAPC-206</t>
        </is>
      </c>
      <c r="B788" s="2" t="inlineStr"/>
      <c r="C788" s="2" t="inlineStr"/>
      <c r="D788" s="2" t="inlineStr">
        <is>
          <t>Disponible</t>
        </is>
      </c>
      <c r="E788" s="2" t="inlineStr"/>
    </row>
    <row r="789">
      <c r="A789" s="2" t="inlineStr">
        <is>
          <t>ZAPC-207</t>
        </is>
      </c>
      <c r="B789" s="2" t="inlineStr"/>
      <c r="C789" s="2" t="inlineStr"/>
      <c r="D789" s="2" t="inlineStr">
        <is>
          <t>Disponible</t>
        </is>
      </c>
      <c r="E789" s="2" t="inlineStr"/>
    </row>
    <row r="790">
      <c r="A790" s="2" t="inlineStr">
        <is>
          <t>ZAPC-208</t>
        </is>
      </c>
      <c r="B790" s="2" t="inlineStr"/>
      <c r="C790" s="2" t="inlineStr"/>
      <c r="D790" s="2" t="inlineStr">
        <is>
          <t>Disponible</t>
        </is>
      </c>
      <c r="E790" s="2" t="inlineStr"/>
    </row>
    <row r="791">
      <c r="A791" s="2" t="inlineStr">
        <is>
          <t>ZAPC-209</t>
        </is>
      </c>
      <c r="B791" s="2" t="inlineStr"/>
      <c r="C791" s="2" t="inlineStr"/>
      <c r="D791" s="2" t="inlineStr">
        <is>
          <t>Disponible</t>
        </is>
      </c>
      <c r="E791" s="2" t="inlineStr"/>
    </row>
    <row r="792">
      <c r="A792" s="2" t="inlineStr">
        <is>
          <t>ZAPC-210</t>
        </is>
      </c>
      <c r="B792" s="2" t="inlineStr"/>
      <c r="C792" s="2" t="inlineStr"/>
      <c r="D792" s="2" t="inlineStr">
        <is>
          <t>Disponible</t>
        </is>
      </c>
      <c r="E792" s="2" t="inlineStr"/>
    </row>
    <row r="793">
      <c r="A793" s="2" t="inlineStr">
        <is>
          <t>ZAPC-211</t>
        </is>
      </c>
      <c r="B793" s="2" t="inlineStr"/>
      <c r="C793" s="2" t="inlineStr"/>
      <c r="D793" s="2" t="inlineStr">
        <is>
          <t>Disponible</t>
        </is>
      </c>
      <c r="E793" s="2" t="inlineStr"/>
    </row>
    <row r="794">
      <c r="A794" s="2" t="inlineStr">
        <is>
          <t>ZAPC-212</t>
        </is>
      </c>
      <c r="B794" s="2" t="inlineStr"/>
      <c r="C794" s="2" t="inlineStr"/>
      <c r="D794" s="2" t="inlineStr">
        <is>
          <t>Disponible</t>
        </is>
      </c>
      <c r="E794" s="2" t="inlineStr"/>
    </row>
    <row r="795">
      <c r="A795" s="2" t="inlineStr">
        <is>
          <t>ZAPC-213</t>
        </is>
      </c>
      <c r="B795" s="2" t="inlineStr"/>
      <c r="C795" s="2" t="inlineStr"/>
      <c r="D795" s="2" t="inlineStr">
        <is>
          <t>Disponible</t>
        </is>
      </c>
      <c r="E795" s="2" t="inlineStr"/>
    </row>
    <row r="796">
      <c r="A796" s="2" t="inlineStr">
        <is>
          <t>ZAPC-214</t>
        </is>
      </c>
      <c r="B796" s="2" t="inlineStr"/>
      <c r="C796" s="2" t="inlineStr"/>
      <c r="D796" s="2" t="inlineStr">
        <is>
          <t>Disponible</t>
        </is>
      </c>
      <c r="E796" s="2" t="inlineStr"/>
    </row>
    <row r="797">
      <c r="A797" s="2" t="inlineStr">
        <is>
          <t>ZAPC-215</t>
        </is>
      </c>
      <c r="B797" s="2" t="inlineStr"/>
      <c r="C797" s="2" t="inlineStr"/>
      <c r="D797" s="2" t="inlineStr">
        <is>
          <t>Disponible</t>
        </is>
      </c>
      <c r="E797" s="2" t="inlineStr"/>
    </row>
    <row r="798">
      <c r="A798" s="2" t="inlineStr">
        <is>
          <t>ZAPC-216</t>
        </is>
      </c>
      <c r="B798" s="2" t="inlineStr"/>
      <c r="C798" s="2" t="inlineStr"/>
      <c r="D798" s="2" t="inlineStr">
        <is>
          <t>Disponible</t>
        </is>
      </c>
      <c r="E798" s="2" t="inlineStr"/>
    </row>
    <row r="799">
      <c r="A799" s="2" t="inlineStr">
        <is>
          <t>ZAPC-217</t>
        </is>
      </c>
      <c r="B799" s="2" t="inlineStr"/>
      <c r="C799" s="2" t="inlineStr"/>
      <c r="D799" s="2" t="inlineStr">
        <is>
          <t>Disponible</t>
        </is>
      </c>
      <c r="E799" s="2" t="inlineStr"/>
    </row>
    <row r="800">
      <c r="A800" s="2" t="inlineStr">
        <is>
          <t>ZAPC-218</t>
        </is>
      </c>
      <c r="B800" s="2" t="inlineStr"/>
      <c r="C800" s="2" t="inlineStr"/>
      <c r="D800" s="2" t="inlineStr">
        <is>
          <t>Disponible</t>
        </is>
      </c>
      <c r="E800" s="2" t="inlineStr"/>
    </row>
    <row r="801">
      <c r="A801" s="2" t="inlineStr">
        <is>
          <t>ZAPC-219</t>
        </is>
      </c>
      <c r="B801" s="2" t="inlineStr"/>
      <c r="C801" s="2" t="inlineStr"/>
      <c r="D801" s="2" t="inlineStr">
        <is>
          <t>Disponible</t>
        </is>
      </c>
      <c r="E801" s="2" t="inlineStr"/>
    </row>
    <row r="802">
      <c r="A802" s="2" t="inlineStr">
        <is>
          <t>ZAPC-220</t>
        </is>
      </c>
      <c r="B802" s="2" t="inlineStr"/>
      <c r="C802" s="2" t="inlineStr"/>
      <c r="D802" s="2" t="inlineStr">
        <is>
          <t>Disponible</t>
        </is>
      </c>
      <c r="E802" s="2" t="inlineStr"/>
    </row>
    <row r="803">
      <c r="A803" s="2" t="inlineStr">
        <is>
          <t>ZAPC-221</t>
        </is>
      </c>
      <c r="B803" s="2" t="inlineStr"/>
      <c r="C803" s="2" t="inlineStr"/>
      <c r="D803" s="2" t="inlineStr">
        <is>
          <t>Disponible</t>
        </is>
      </c>
      <c r="E803" s="2" t="inlineStr"/>
    </row>
    <row r="804">
      <c r="A804" s="2" t="inlineStr">
        <is>
          <t>ZAPC-222</t>
        </is>
      </c>
      <c r="B804" s="2" t="inlineStr"/>
      <c r="C804" s="2" t="inlineStr"/>
      <c r="D804" s="2" t="inlineStr">
        <is>
          <t>Disponible</t>
        </is>
      </c>
      <c r="E804" s="2" t="inlineStr"/>
    </row>
    <row r="805">
      <c r="A805" s="2" t="inlineStr">
        <is>
          <t>ZAPC-223</t>
        </is>
      </c>
      <c r="B805" s="2" t="inlineStr"/>
      <c r="C805" s="2" t="inlineStr"/>
      <c r="D805" s="2" t="inlineStr">
        <is>
          <t>Disponible</t>
        </is>
      </c>
      <c r="E805" s="2" t="inlineStr"/>
    </row>
    <row r="806">
      <c r="A806" s="2" t="inlineStr">
        <is>
          <t>ZAPC-224</t>
        </is>
      </c>
      <c r="B806" s="2" t="inlineStr"/>
      <c r="C806" s="2" t="inlineStr"/>
      <c r="D806" s="2" t="inlineStr">
        <is>
          <t>Disponible</t>
        </is>
      </c>
      <c r="E806" s="2" t="inlineStr"/>
    </row>
    <row r="807">
      <c r="A807" s="2" t="inlineStr">
        <is>
          <t>ZAPC-225</t>
        </is>
      </c>
      <c r="B807" s="2" t="inlineStr"/>
      <c r="C807" s="2" t="inlineStr"/>
      <c r="D807" s="2" t="inlineStr">
        <is>
          <t>Disponible</t>
        </is>
      </c>
      <c r="E807" s="2" t="inlineStr"/>
    </row>
    <row r="808">
      <c r="A808" s="2" t="inlineStr">
        <is>
          <t>ZAPC-226</t>
        </is>
      </c>
      <c r="B808" s="2" t="inlineStr"/>
      <c r="C808" s="2" t="inlineStr"/>
      <c r="D808" s="2" t="inlineStr">
        <is>
          <t>Disponible</t>
        </is>
      </c>
      <c r="E808" s="2" t="inlineStr"/>
    </row>
    <row r="809">
      <c r="A809" s="2" t="inlineStr">
        <is>
          <t>ZAPC-227</t>
        </is>
      </c>
      <c r="B809" s="2" t="inlineStr"/>
      <c r="C809" s="2" t="inlineStr"/>
      <c r="D809" s="2" t="inlineStr">
        <is>
          <t>Disponible</t>
        </is>
      </c>
      <c r="E809" s="2" t="inlineStr"/>
    </row>
    <row r="810">
      <c r="A810" s="2" t="inlineStr">
        <is>
          <t>ZAPC-228</t>
        </is>
      </c>
      <c r="B810" s="2" t="inlineStr"/>
      <c r="C810" s="2" t="inlineStr"/>
      <c r="D810" s="2" t="inlineStr">
        <is>
          <t>Disponible</t>
        </is>
      </c>
      <c r="E810" s="2" t="inlineStr"/>
    </row>
    <row r="811">
      <c r="A811" s="2" t="inlineStr">
        <is>
          <t>ZAPC-229</t>
        </is>
      </c>
      <c r="B811" s="2" t="inlineStr"/>
      <c r="C811" s="2" t="inlineStr"/>
      <c r="D811" s="2" t="inlineStr">
        <is>
          <t>Disponible</t>
        </is>
      </c>
      <c r="E811" s="2" t="inlineStr"/>
    </row>
    <row r="812">
      <c r="A812" s="2" t="inlineStr">
        <is>
          <t>ZAPC-230</t>
        </is>
      </c>
      <c r="B812" s="2" t="inlineStr"/>
      <c r="C812" s="2" t="inlineStr"/>
      <c r="D812" s="2" t="inlineStr">
        <is>
          <t>Disponible</t>
        </is>
      </c>
      <c r="E812" s="2" t="inlineStr"/>
    </row>
    <row r="813">
      <c r="A813" s="2" t="inlineStr">
        <is>
          <t>ZAPC-231</t>
        </is>
      </c>
      <c r="B813" s="2" t="inlineStr"/>
      <c r="C813" s="2" t="inlineStr"/>
      <c r="D813" s="2" t="inlineStr">
        <is>
          <t>Disponible</t>
        </is>
      </c>
      <c r="E813" s="2" t="inlineStr"/>
    </row>
    <row r="814">
      <c r="A814" s="2" t="inlineStr">
        <is>
          <t>ZAPC-232</t>
        </is>
      </c>
      <c r="B814" s="2" t="inlineStr"/>
      <c r="C814" s="2" t="inlineStr"/>
      <c r="D814" s="2" t="inlineStr">
        <is>
          <t>Disponible</t>
        </is>
      </c>
      <c r="E814" s="2" t="inlineStr"/>
    </row>
    <row r="815">
      <c r="A815" s="2" t="inlineStr">
        <is>
          <t>ZAPC-233</t>
        </is>
      </c>
      <c r="B815" s="2" t="inlineStr"/>
      <c r="C815" s="2" t="inlineStr"/>
      <c r="D815" s="2" t="inlineStr">
        <is>
          <t>Disponible</t>
        </is>
      </c>
      <c r="E815" s="2" t="inlineStr"/>
    </row>
    <row r="816">
      <c r="A816" s="2" t="inlineStr">
        <is>
          <t>ZAPC-234</t>
        </is>
      </c>
      <c r="B816" s="2" t="inlineStr"/>
      <c r="C816" s="2" t="inlineStr"/>
      <c r="D816" s="2" t="inlineStr">
        <is>
          <t>Disponible</t>
        </is>
      </c>
      <c r="E816" s="2" t="inlineStr"/>
    </row>
    <row r="817">
      <c r="A817" s="2" t="inlineStr">
        <is>
          <t>ZAPC-235</t>
        </is>
      </c>
      <c r="B817" s="2" t="inlineStr"/>
      <c r="C817" s="2" t="inlineStr"/>
      <c r="D817" s="2" t="inlineStr">
        <is>
          <t>Disponible</t>
        </is>
      </c>
      <c r="E817" s="2" t="inlineStr"/>
    </row>
    <row r="818">
      <c r="A818" s="2" t="inlineStr">
        <is>
          <t>ZAPC-236</t>
        </is>
      </c>
      <c r="B818" s="2" t="inlineStr"/>
      <c r="C818" s="2" t="inlineStr"/>
      <c r="D818" s="2" t="inlineStr">
        <is>
          <t>Disponible</t>
        </is>
      </c>
      <c r="E818" s="2" t="inlineStr"/>
    </row>
    <row r="819">
      <c r="A819" s="2" t="inlineStr">
        <is>
          <t>ZAPC-237</t>
        </is>
      </c>
      <c r="B819" s="2" t="inlineStr"/>
      <c r="C819" s="2" t="inlineStr"/>
      <c r="D819" s="2" t="inlineStr">
        <is>
          <t>Disponible</t>
        </is>
      </c>
      <c r="E819" s="2" t="inlineStr"/>
    </row>
    <row r="820">
      <c r="A820" s="2" t="inlineStr">
        <is>
          <t>ZAPC-238</t>
        </is>
      </c>
      <c r="B820" s="2" t="inlineStr"/>
      <c r="C820" s="2" t="inlineStr"/>
      <c r="D820" s="2" t="inlineStr">
        <is>
          <t>Disponible</t>
        </is>
      </c>
      <c r="E820" s="2" t="inlineStr"/>
    </row>
    <row r="821">
      <c r="A821" s="2" t="inlineStr">
        <is>
          <t>ZAPC-239</t>
        </is>
      </c>
      <c r="B821" s="2" t="inlineStr"/>
      <c r="C821" s="2" t="inlineStr"/>
      <c r="D821" s="2" t="inlineStr">
        <is>
          <t>Disponible</t>
        </is>
      </c>
      <c r="E821" s="2" t="inlineStr"/>
    </row>
    <row r="822">
      <c r="A822" s="2" t="inlineStr">
        <is>
          <t>ZAPC-240</t>
        </is>
      </c>
      <c r="B822" s="2" t="inlineStr"/>
      <c r="C822" s="2" t="inlineStr"/>
      <c r="D822" s="2" t="inlineStr">
        <is>
          <t>Disponible</t>
        </is>
      </c>
      <c r="E822" s="2" t="inlineStr"/>
    </row>
    <row r="823">
      <c r="A823" s="2" t="inlineStr">
        <is>
          <t>ZAPC-241</t>
        </is>
      </c>
      <c r="B823" s="2" t="inlineStr"/>
      <c r="C823" s="2" t="inlineStr"/>
      <c r="D823" s="2" t="inlineStr">
        <is>
          <t>Disponible</t>
        </is>
      </c>
      <c r="E823" s="2" t="inlineStr"/>
    </row>
    <row r="824">
      <c r="A824" s="2" t="inlineStr">
        <is>
          <t>ZAPC-242</t>
        </is>
      </c>
      <c r="B824" s="2" t="inlineStr"/>
      <c r="C824" s="2" t="inlineStr"/>
      <c r="D824" s="2" t="inlineStr">
        <is>
          <t>Disponible</t>
        </is>
      </c>
      <c r="E824" s="2" t="inlineStr"/>
    </row>
    <row r="825">
      <c r="A825" s="2" t="inlineStr">
        <is>
          <t>ZAPC-243</t>
        </is>
      </c>
      <c r="B825" s="2" t="inlineStr"/>
      <c r="C825" s="2" t="inlineStr"/>
      <c r="D825" s="2" t="inlineStr">
        <is>
          <t>Disponible</t>
        </is>
      </c>
      <c r="E825" s="2" t="inlineStr"/>
    </row>
    <row r="826">
      <c r="A826" s="2" t="inlineStr">
        <is>
          <t>ZAPC-244</t>
        </is>
      </c>
      <c r="B826" s="2" t="inlineStr"/>
      <c r="C826" s="2" t="inlineStr"/>
      <c r="D826" s="2" t="inlineStr">
        <is>
          <t>Disponible</t>
        </is>
      </c>
      <c r="E826" s="2" t="inlineStr"/>
    </row>
    <row r="827">
      <c r="A827" s="2" t="inlineStr">
        <is>
          <t>ZAPC-245</t>
        </is>
      </c>
      <c r="B827" s="2" t="inlineStr"/>
      <c r="C827" s="2" t="inlineStr"/>
      <c r="D827" s="2" t="inlineStr">
        <is>
          <t>Disponible</t>
        </is>
      </c>
      <c r="E827" s="2" t="inlineStr"/>
    </row>
    <row r="828">
      <c r="A828" s="2" t="inlineStr">
        <is>
          <t>ZAPC-246</t>
        </is>
      </c>
      <c r="B828" s="2" t="inlineStr"/>
      <c r="C828" s="2" t="inlineStr"/>
      <c r="D828" s="2" t="inlineStr">
        <is>
          <t>Disponible</t>
        </is>
      </c>
      <c r="E828" s="2" t="inlineStr"/>
    </row>
    <row r="829">
      <c r="A829" s="2" t="inlineStr">
        <is>
          <t>ZAPC-247</t>
        </is>
      </c>
      <c r="B829" s="2" t="inlineStr"/>
      <c r="C829" s="2" t="inlineStr"/>
      <c r="D829" s="2" t="inlineStr">
        <is>
          <t>Disponible</t>
        </is>
      </c>
      <c r="E829" s="2" t="inlineStr"/>
    </row>
    <row r="830">
      <c r="A830" s="2" t="inlineStr">
        <is>
          <t>ZAPC-248</t>
        </is>
      </c>
      <c r="B830" s="2" t="inlineStr"/>
      <c r="C830" s="2" t="inlineStr"/>
      <c r="D830" s="2" t="inlineStr">
        <is>
          <t>Disponible</t>
        </is>
      </c>
      <c r="E830" s="2" t="inlineStr"/>
    </row>
    <row r="831">
      <c r="A831" s="2" t="inlineStr">
        <is>
          <t>ZAPC-249</t>
        </is>
      </c>
      <c r="B831" s="2" t="inlineStr"/>
      <c r="C831" s="2" t="inlineStr"/>
      <c r="D831" s="2" t="inlineStr">
        <is>
          <t>Disponible</t>
        </is>
      </c>
      <c r="E831" s="2" t="inlineStr"/>
    </row>
    <row r="832">
      <c r="A832" s="2" t="inlineStr">
        <is>
          <t>ZAPC-250</t>
        </is>
      </c>
      <c r="B832" s="2" t="inlineStr"/>
      <c r="C832" s="2" t="inlineStr"/>
      <c r="D832" s="2" t="inlineStr">
        <is>
          <t>Disponible</t>
        </is>
      </c>
      <c r="E832" s="2" t="inlineStr"/>
    </row>
    <row r="833">
      <c r="A833" s="2" t="inlineStr">
        <is>
          <t>ZAPC-251</t>
        </is>
      </c>
      <c r="B833" s="2" t="inlineStr"/>
      <c r="C833" s="2" t="inlineStr"/>
      <c r="D833" s="2" t="inlineStr">
        <is>
          <t>Disponible</t>
        </is>
      </c>
      <c r="E833" s="2" t="inlineStr"/>
    </row>
    <row r="834">
      <c r="A834" s="2" t="inlineStr">
        <is>
          <t>ZAPC-252</t>
        </is>
      </c>
      <c r="B834" s="2" t="inlineStr"/>
      <c r="C834" s="2" t="inlineStr"/>
      <c r="D834" s="2" t="inlineStr">
        <is>
          <t>Disponible</t>
        </is>
      </c>
      <c r="E834" s="2" t="inlineStr"/>
    </row>
    <row r="835">
      <c r="A835" s="2" t="inlineStr">
        <is>
          <t>ZAPC-253</t>
        </is>
      </c>
      <c r="B835" s="2" t="inlineStr"/>
      <c r="C835" s="2" t="inlineStr"/>
      <c r="D835" s="2" t="inlineStr">
        <is>
          <t>Disponible</t>
        </is>
      </c>
      <c r="E835" s="2" t="inlineStr"/>
    </row>
    <row r="836">
      <c r="A836" s="2" t="inlineStr">
        <is>
          <t>ZAPC-254</t>
        </is>
      </c>
      <c r="B836" s="2" t="inlineStr"/>
      <c r="C836" s="2" t="inlineStr"/>
      <c r="D836" s="2" t="inlineStr">
        <is>
          <t>Disponible</t>
        </is>
      </c>
      <c r="E836" s="2" t="inlineStr"/>
    </row>
    <row r="837">
      <c r="A837" s="2" t="inlineStr">
        <is>
          <t>ZAPC-255</t>
        </is>
      </c>
      <c r="B837" s="2" t="inlineStr"/>
      <c r="C837" s="2" t="inlineStr"/>
      <c r="D837" s="2" t="inlineStr">
        <is>
          <t>Disponible</t>
        </is>
      </c>
      <c r="E837" s="2" t="inlineStr"/>
    </row>
    <row r="838">
      <c r="A838" s="2" t="inlineStr">
        <is>
          <t>ZAPC-256</t>
        </is>
      </c>
      <c r="B838" s="2" t="inlineStr"/>
      <c r="C838" s="2" t="inlineStr"/>
      <c r="D838" s="2" t="inlineStr">
        <is>
          <t>Disponible</t>
        </is>
      </c>
      <c r="E838" s="2" t="inlineStr"/>
    </row>
    <row r="839">
      <c r="A839" s="2" t="inlineStr">
        <is>
          <t>ZAPC-257</t>
        </is>
      </c>
      <c r="B839" s="2" t="inlineStr"/>
      <c r="C839" s="2" t="inlineStr"/>
      <c r="D839" s="2" t="inlineStr">
        <is>
          <t>Disponible</t>
        </is>
      </c>
      <c r="E839" s="2" t="inlineStr"/>
    </row>
    <row r="840">
      <c r="A840" s="2" t="inlineStr">
        <is>
          <t>ZAPC-258</t>
        </is>
      </c>
      <c r="B840" s="2" t="inlineStr"/>
      <c r="C840" s="2" t="inlineStr"/>
      <c r="D840" s="2" t="inlineStr">
        <is>
          <t>Disponible</t>
        </is>
      </c>
      <c r="E840" s="2" t="inlineStr"/>
    </row>
    <row r="841">
      <c r="A841" s="2" t="inlineStr">
        <is>
          <t>ZAPC-259</t>
        </is>
      </c>
      <c r="B841" s="2" t="inlineStr"/>
      <c r="C841" s="2" t="inlineStr"/>
      <c r="D841" s="2" t="inlineStr">
        <is>
          <t>Disponible</t>
        </is>
      </c>
      <c r="E841" s="2" t="inlineStr"/>
    </row>
    <row r="842">
      <c r="A842" s="2" t="inlineStr">
        <is>
          <t>ZAPC-260</t>
        </is>
      </c>
      <c r="B842" s="2" t="inlineStr"/>
      <c r="C842" s="2" t="inlineStr"/>
      <c r="D842" s="2" t="inlineStr">
        <is>
          <t>Disponible</t>
        </is>
      </c>
      <c r="E842" s="2" t="inlineStr"/>
    </row>
    <row r="843">
      <c r="A843" s="2" t="inlineStr">
        <is>
          <t>ZAPC-261</t>
        </is>
      </c>
      <c r="B843" s="2" t="inlineStr"/>
      <c r="C843" s="2" t="inlineStr"/>
      <c r="D843" s="2" t="inlineStr">
        <is>
          <t>Disponible</t>
        </is>
      </c>
      <c r="E843" s="2" t="inlineStr"/>
    </row>
    <row r="844">
      <c r="A844" s="2" t="inlineStr">
        <is>
          <t>ZAPC-262</t>
        </is>
      </c>
      <c r="B844" s="2" t="inlineStr"/>
      <c r="C844" s="2" t="inlineStr"/>
      <c r="D844" s="2" t="inlineStr">
        <is>
          <t>Disponible</t>
        </is>
      </c>
      <c r="E844" s="2" t="inlineStr"/>
    </row>
    <row r="845">
      <c r="A845" s="2" t="inlineStr">
        <is>
          <t>ZAPC-263</t>
        </is>
      </c>
      <c r="B845" s="2" t="inlineStr"/>
      <c r="C845" s="2" t="inlineStr"/>
      <c r="D845" s="2" t="inlineStr">
        <is>
          <t>Disponible</t>
        </is>
      </c>
      <c r="E845" s="2" t="inlineStr"/>
    </row>
    <row r="846">
      <c r="A846" s="2" t="inlineStr">
        <is>
          <t>ZAPC-264</t>
        </is>
      </c>
      <c r="B846" s="2" t="inlineStr"/>
      <c r="C846" s="2" t="inlineStr"/>
      <c r="D846" s="2" t="inlineStr">
        <is>
          <t>Disponible</t>
        </is>
      </c>
      <c r="E846" s="2" t="inlineStr"/>
    </row>
    <row r="847">
      <c r="A847" s="2" t="inlineStr">
        <is>
          <t>ZAPC-265</t>
        </is>
      </c>
      <c r="B847" s="2" t="inlineStr"/>
      <c r="C847" s="2" t="inlineStr"/>
      <c r="D847" s="2" t="inlineStr">
        <is>
          <t>Disponible</t>
        </is>
      </c>
      <c r="E847" s="2" t="inlineStr"/>
    </row>
    <row r="848">
      <c r="A848" s="2" t="inlineStr">
        <is>
          <t>ZAPC-266</t>
        </is>
      </c>
      <c r="B848" s="2" t="inlineStr"/>
      <c r="C848" s="2" t="inlineStr"/>
      <c r="D848" s="2" t="inlineStr">
        <is>
          <t>Disponible</t>
        </is>
      </c>
      <c r="E848" s="2" t="inlineStr"/>
    </row>
    <row r="849">
      <c r="A849" s="2" t="inlineStr">
        <is>
          <t>ZAPC-267</t>
        </is>
      </c>
      <c r="B849" s="2" t="inlineStr"/>
      <c r="C849" s="2" t="inlineStr"/>
      <c r="D849" s="2" t="inlineStr">
        <is>
          <t>Disponible</t>
        </is>
      </c>
      <c r="E849" s="2" t="inlineStr"/>
    </row>
    <row r="850">
      <c r="A850" s="2" t="inlineStr">
        <is>
          <t>ZAPC-268</t>
        </is>
      </c>
      <c r="B850" s="2" t="inlineStr"/>
      <c r="C850" s="2" t="inlineStr"/>
      <c r="D850" s="2" t="inlineStr">
        <is>
          <t>Disponible</t>
        </is>
      </c>
      <c r="E850" s="2" t="inlineStr"/>
    </row>
    <row r="851">
      <c r="A851" s="2" t="inlineStr">
        <is>
          <t>ZAPC-269</t>
        </is>
      </c>
      <c r="B851" s="2" t="inlineStr"/>
      <c r="C851" s="2" t="inlineStr"/>
      <c r="D851" s="2" t="inlineStr">
        <is>
          <t>Disponible</t>
        </is>
      </c>
      <c r="E851" s="2" t="inlineStr"/>
    </row>
    <row r="852">
      <c r="A852" s="2" t="inlineStr">
        <is>
          <t>ZAPC-270</t>
        </is>
      </c>
      <c r="B852" s="2" t="inlineStr"/>
      <c r="C852" s="2" t="inlineStr"/>
      <c r="D852" s="2" t="inlineStr">
        <is>
          <t>Disponible</t>
        </is>
      </c>
      <c r="E852" s="2" t="inlineStr"/>
    </row>
    <row r="853">
      <c r="A853" s="2" t="inlineStr">
        <is>
          <t>ZAPC-271</t>
        </is>
      </c>
      <c r="B853" s="2" t="inlineStr"/>
      <c r="C853" s="2" t="inlineStr"/>
      <c r="D853" s="2" t="inlineStr">
        <is>
          <t>Disponible</t>
        </is>
      </c>
      <c r="E853" s="2" t="inlineStr"/>
    </row>
    <row r="854">
      <c r="A854" s="2" t="inlineStr">
        <is>
          <t>ZAPC-272</t>
        </is>
      </c>
      <c r="B854" s="2" t="inlineStr"/>
      <c r="C854" s="2" t="inlineStr"/>
      <c r="D854" s="2" t="inlineStr">
        <is>
          <t>Disponible</t>
        </is>
      </c>
      <c r="E854" s="2" t="inlineStr"/>
    </row>
    <row r="855">
      <c r="A855" s="2" t="inlineStr">
        <is>
          <t>ZAPC-273</t>
        </is>
      </c>
      <c r="B855" s="2" t="inlineStr"/>
      <c r="C855" s="2" t="inlineStr"/>
      <c r="D855" s="2" t="inlineStr">
        <is>
          <t>Disponible</t>
        </is>
      </c>
      <c r="E855" s="2" t="inlineStr"/>
    </row>
    <row r="856">
      <c r="A856" s="2" t="inlineStr">
        <is>
          <t>ZAPC-274</t>
        </is>
      </c>
      <c r="B856" s="2" t="inlineStr"/>
      <c r="C856" s="2" t="inlineStr"/>
      <c r="D856" s="2" t="inlineStr">
        <is>
          <t>Disponible</t>
        </is>
      </c>
      <c r="E856" s="2" t="inlineStr"/>
    </row>
    <row r="857">
      <c r="A857" s="2" t="inlineStr">
        <is>
          <t>ZAPC-275</t>
        </is>
      </c>
      <c r="B857" s="2" t="inlineStr"/>
      <c r="C857" s="2" t="inlineStr"/>
      <c r="D857" s="2" t="inlineStr">
        <is>
          <t>Disponible</t>
        </is>
      </c>
      <c r="E857" s="2" t="inlineStr"/>
    </row>
    <row r="858">
      <c r="A858" s="2" t="inlineStr">
        <is>
          <t>ZAPC-276</t>
        </is>
      </c>
      <c r="B858" s="2" t="inlineStr"/>
      <c r="C858" s="2" t="inlineStr"/>
      <c r="D858" s="2" t="inlineStr">
        <is>
          <t>Disponible</t>
        </is>
      </c>
      <c r="E858" s="2" t="inlineStr"/>
    </row>
    <row r="859">
      <c r="A859" s="2" t="inlineStr">
        <is>
          <t>ZAPC-277</t>
        </is>
      </c>
      <c r="B859" s="2" t="inlineStr"/>
      <c r="C859" s="2" t="inlineStr"/>
      <c r="D859" s="2" t="inlineStr">
        <is>
          <t>Disponible</t>
        </is>
      </c>
      <c r="E859" s="2" t="inlineStr"/>
    </row>
    <row r="860">
      <c r="A860" s="2" t="inlineStr">
        <is>
          <t>ZAPC-278</t>
        </is>
      </c>
      <c r="B860" s="2" t="inlineStr"/>
      <c r="C860" s="2" t="inlineStr"/>
      <c r="D860" s="2" t="inlineStr">
        <is>
          <t>Disponible</t>
        </is>
      </c>
      <c r="E860" s="2" t="inlineStr"/>
    </row>
    <row r="861">
      <c r="A861" s="2" t="inlineStr">
        <is>
          <t>ZAPC-279</t>
        </is>
      </c>
      <c r="B861" s="2" t="inlineStr"/>
      <c r="C861" s="2" t="inlineStr"/>
      <c r="D861" s="2" t="inlineStr">
        <is>
          <t>Disponible</t>
        </is>
      </c>
      <c r="E861" s="2" t="inlineStr"/>
    </row>
    <row r="862">
      <c r="A862" s="2" t="inlineStr">
        <is>
          <t>ZAPC-280</t>
        </is>
      </c>
      <c r="B862" s="2" t="inlineStr"/>
      <c r="C862" s="2" t="inlineStr"/>
      <c r="D862" s="2" t="inlineStr">
        <is>
          <t>Disponible</t>
        </is>
      </c>
      <c r="E862" s="2" t="inlineStr"/>
    </row>
    <row r="863">
      <c r="A863" s="2" t="inlineStr">
        <is>
          <t>ZAPC-281</t>
        </is>
      </c>
      <c r="B863" s="2" t="inlineStr"/>
      <c r="C863" s="2" t="inlineStr"/>
      <c r="D863" s="2" t="inlineStr">
        <is>
          <t>Disponible</t>
        </is>
      </c>
      <c r="E863" s="2" t="inlineStr"/>
    </row>
    <row r="864">
      <c r="A864" s="2" t="inlineStr">
        <is>
          <t>ZAPC-282</t>
        </is>
      </c>
      <c r="B864" s="2" t="inlineStr"/>
      <c r="C864" s="2" t="inlineStr"/>
      <c r="D864" s="2" t="inlineStr">
        <is>
          <t>Disponible</t>
        </is>
      </c>
      <c r="E864" s="2" t="inlineStr"/>
    </row>
    <row r="865">
      <c r="A865" s="2" t="inlineStr">
        <is>
          <t>ZAPC-283</t>
        </is>
      </c>
      <c r="B865" s="2" t="inlineStr"/>
      <c r="C865" s="2" t="inlineStr"/>
      <c r="D865" s="2" t="inlineStr">
        <is>
          <t>Disponible</t>
        </is>
      </c>
      <c r="E865" s="2" t="inlineStr"/>
    </row>
    <row r="866">
      <c r="A866" s="2" t="inlineStr">
        <is>
          <t>ZAPC-284</t>
        </is>
      </c>
      <c r="B866" s="2" t="inlineStr"/>
      <c r="C866" s="2" t="inlineStr"/>
      <c r="D866" s="2" t="inlineStr">
        <is>
          <t>Disponible</t>
        </is>
      </c>
      <c r="E866" s="2" t="inlineStr"/>
    </row>
    <row r="867">
      <c r="A867" s="2" t="inlineStr">
        <is>
          <t>ZAPC-285</t>
        </is>
      </c>
      <c r="B867" s="2" t="inlineStr"/>
      <c r="C867" s="2" t="inlineStr"/>
      <c r="D867" s="2" t="inlineStr">
        <is>
          <t>Disponible</t>
        </is>
      </c>
      <c r="E867" s="2" t="inlineStr"/>
    </row>
    <row r="868">
      <c r="A868" s="2" t="inlineStr">
        <is>
          <t>ZAPC-286</t>
        </is>
      </c>
      <c r="B868" s="2" t="inlineStr"/>
      <c r="C868" s="2" t="inlineStr"/>
      <c r="D868" s="2" t="inlineStr">
        <is>
          <t>Disponible</t>
        </is>
      </c>
      <c r="E868" s="2" t="inlineStr"/>
    </row>
    <row r="869">
      <c r="A869" s="2" t="inlineStr">
        <is>
          <t>ZAPC-287</t>
        </is>
      </c>
      <c r="B869" s="2" t="inlineStr"/>
      <c r="C869" s="2" t="inlineStr"/>
      <c r="D869" s="2" t="inlineStr">
        <is>
          <t>Disponible</t>
        </is>
      </c>
      <c r="E869" s="2" t="inlineStr"/>
    </row>
    <row r="870">
      <c r="A870" s="2" t="inlineStr">
        <is>
          <t>ZAPC-288</t>
        </is>
      </c>
      <c r="B870" s="2" t="inlineStr"/>
      <c r="C870" s="2" t="inlineStr"/>
      <c r="D870" s="2" t="inlineStr">
        <is>
          <t>Disponible</t>
        </is>
      </c>
      <c r="E870" s="2" t="inlineStr"/>
    </row>
    <row r="871">
      <c r="A871" s="2" t="inlineStr">
        <is>
          <t>ZAPC-289</t>
        </is>
      </c>
      <c r="B871" s="2" t="inlineStr"/>
      <c r="C871" s="2" t="inlineStr"/>
      <c r="D871" s="2" t="inlineStr">
        <is>
          <t>Disponible</t>
        </is>
      </c>
      <c r="E871" s="2" t="inlineStr"/>
    </row>
    <row r="872">
      <c r="A872" s="2" t="inlineStr">
        <is>
          <t>ZAPC-290</t>
        </is>
      </c>
      <c r="B872" s="2" t="inlineStr"/>
      <c r="C872" s="2" t="inlineStr"/>
      <c r="D872" s="2" t="inlineStr">
        <is>
          <t>Disponible</t>
        </is>
      </c>
      <c r="E872" s="2" t="inlineStr"/>
    </row>
    <row r="873">
      <c r="A873" s="2" t="inlineStr">
        <is>
          <t>ZAPC-291</t>
        </is>
      </c>
      <c r="B873" s="2" t="inlineStr"/>
      <c r="C873" s="2" t="inlineStr"/>
      <c r="D873" s="2" t="inlineStr">
        <is>
          <t>Disponible</t>
        </is>
      </c>
      <c r="E873" s="2" t="inlineStr"/>
    </row>
    <row r="874">
      <c r="A874" s="2" t="inlineStr">
        <is>
          <t>ZAPC-292</t>
        </is>
      </c>
      <c r="B874" s="2" t="inlineStr"/>
      <c r="C874" s="2" t="inlineStr"/>
      <c r="D874" s="2" t="inlineStr">
        <is>
          <t>Disponible</t>
        </is>
      </c>
      <c r="E874" s="2" t="inlineStr"/>
    </row>
    <row r="875">
      <c r="A875" s="2" t="inlineStr">
        <is>
          <t>ZAPC-293</t>
        </is>
      </c>
      <c r="B875" s="2" t="inlineStr"/>
      <c r="C875" s="2" t="inlineStr"/>
      <c r="D875" s="2" t="inlineStr">
        <is>
          <t>Disponible</t>
        </is>
      </c>
      <c r="E875" s="2" t="inlineStr"/>
    </row>
    <row r="876">
      <c r="A876" s="2" t="inlineStr">
        <is>
          <t>ZAPC-294</t>
        </is>
      </c>
      <c r="B876" s="2" t="inlineStr"/>
      <c r="C876" s="2" t="inlineStr"/>
      <c r="D876" s="2" t="inlineStr">
        <is>
          <t>Disponible</t>
        </is>
      </c>
      <c r="E876" s="2" t="inlineStr"/>
    </row>
    <row r="877">
      <c r="A877" s="2" t="inlineStr">
        <is>
          <t>ZAPC-295</t>
        </is>
      </c>
      <c r="B877" s="2" t="inlineStr"/>
      <c r="C877" s="2" t="inlineStr"/>
      <c r="D877" s="2" t="inlineStr">
        <is>
          <t>Disponible</t>
        </is>
      </c>
      <c r="E877" s="2" t="inlineStr"/>
    </row>
    <row r="878">
      <c r="A878" s="2" t="inlineStr">
        <is>
          <t>ZAPC-296</t>
        </is>
      </c>
      <c r="B878" s="2" t="inlineStr"/>
      <c r="C878" s="2" t="inlineStr"/>
      <c r="D878" s="2" t="inlineStr">
        <is>
          <t>Disponible</t>
        </is>
      </c>
      <c r="E878" s="2" t="inlineStr"/>
    </row>
    <row r="879">
      <c r="A879" s="2" t="inlineStr">
        <is>
          <t>ZAPC-297</t>
        </is>
      </c>
      <c r="B879" s="2" t="inlineStr"/>
      <c r="C879" s="2" t="inlineStr"/>
      <c r="D879" s="2" t="inlineStr">
        <is>
          <t>Disponible</t>
        </is>
      </c>
      <c r="E879" s="2" t="inlineStr"/>
    </row>
    <row r="880">
      <c r="A880" s="2" t="inlineStr">
        <is>
          <t>ZAPC-298</t>
        </is>
      </c>
      <c r="B880" s="2" t="inlineStr"/>
      <c r="C880" s="2" t="inlineStr"/>
      <c r="D880" s="2" t="inlineStr">
        <is>
          <t>Disponible</t>
        </is>
      </c>
      <c r="E880" s="2" t="inlineStr"/>
    </row>
    <row r="881">
      <c r="A881" s="2" t="inlineStr">
        <is>
          <t>ZAPC-299</t>
        </is>
      </c>
      <c r="B881" s="2" t="inlineStr"/>
      <c r="C881" s="2" t="inlineStr"/>
      <c r="D881" s="2" t="inlineStr">
        <is>
          <t>Disponible</t>
        </is>
      </c>
      <c r="E881" s="2" t="inlineStr"/>
    </row>
    <row r="882">
      <c r="A882" s="2" t="inlineStr">
        <is>
          <t>ZAPC-300</t>
        </is>
      </c>
      <c r="B882" s="2" t="inlineStr"/>
      <c r="C882" s="2" t="inlineStr"/>
      <c r="D882" s="2" t="inlineStr">
        <is>
          <t>Disponible</t>
        </is>
      </c>
      <c r="E882" s="2" t="inlineStr"/>
    </row>
    <row r="883">
      <c r="A883" s="2" t="inlineStr">
        <is>
          <t>ZAPC-301</t>
        </is>
      </c>
      <c r="B883" s="2" t="inlineStr"/>
      <c r="C883" s="2" t="inlineStr"/>
      <c r="D883" s="2" t="inlineStr">
        <is>
          <t>Disponible</t>
        </is>
      </c>
      <c r="E883" s="2" t="inlineStr"/>
    </row>
    <row r="884">
      <c r="A884" s="2" t="inlineStr">
        <is>
          <t>ZAPC-302</t>
        </is>
      </c>
      <c r="B884" s="2" t="inlineStr"/>
      <c r="C884" s="2" t="inlineStr"/>
      <c r="D884" s="2" t="inlineStr">
        <is>
          <t>Disponible</t>
        </is>
      </c>
      <c r="E884" s="2" t="inlineStr"/>
    </row>
    <row r="885">
      <c r="A885" s="2" t="inlineStr">
        <is>
          <t>ZAPC-303</t>
        </is>
      </c>
      <c r="B885" s="2" t="inlineStr"/>
      <c r="C885" s="2" t="inlineStr"/>
      <c r="D885" s="2" t="inlineStr">
        <is>
          <t>Disponible</t>
        </is>
      </c>
      <c r="E885" s="2" t="inlineStr"/>
    </row>
    <row r="886">
      <c r="A886" s="2" t="inlineStr">
        <is>
          <t>ZAPC-304</t>
        </is>
      </c>
      <c r="B886" s="2" t="inlineStr"/>
      <c r="C886" s="2" t="inlineStr"/>
      <c r="D886" s="2" t="inlineStr">
        <is>
          <t>Disponible</t>
        </is>
      </c>
      <c r="E886" s="2" t="inlineStr"/>
    </row>
    <row r="887">
      <c r="A887" s="2" t="inlineStr">
        <is>
          <t>ZAPC-305</t>
        </is>
      </c>
      <c r="B887" s="2" t="inlineStr"/>
      <c r="C887" s="2" t="inlineStr"/>
      <c r="D887" s="2" t="inlineStr">
        <is>
          <t>Disponible</t>
        </is>
      </c>
      <c r="E887" s="2" t="inlineStr"/>
    </row>
    <row r="888">
      <c r="A888" s="2" t="inlineStr">
        <is>
          <t>ZAPC-306</t>
        </is>
      </c>
      <c r="B888" s="2" t="inlineStr"/>
      <c r="C888" s="2" t="inlineStr"/>
      <c r="D888" s="2" t="inlineStr">
        <is>
          <t>Disponible</t>
        </is>
      </c>
      <c r="E888" s="2" t="inlineStr"/>
    </row>
    <row r="889">
      <c r="A889" s="2" t="inlineStr">
        <is>
          <t>ZAPC-307</t>
        </is>
      </c>
      <c r="B889" s="2" t="inlineStr"/>
      <c r="C889" s="2" t="inlineStr"/>
      <c r="D889" s="2" t="inlineStr">
        <is>
          <t>Disponible</t>
        </is>
      </c>
      <c r="E889" s="2" t="inlineStr"/>
    </row>
    <row r="890">
      <c r="A890" s="2" t="inlineStr">
        <is>
          <t>ZAPC-308</t>
        </is>
      </c>
      <c r="B890" s="2" t="inlineStr"/>
      <c r="C890" s="2" t="inlineStr"/>
      <c r="D890" s="2" t="inlineStr">
        <is>
          <t>Disponible</t>
        </is>
      </c>
      <c r="E890" s="2" t="inlineStr"/>
    </row>
    <row r="891">
      <c r="A891" s="2" t="inlineStr">
        <is>
          <t>ZAPC-309</t>
        </is>
      </c>
      <c r="B891" s="2" t="inlineStr"/>
      <c r="C891" s="2" t="inlineStr"/>
      <c r="D891" s="2" t="inlineStr">
        <is>
          <t>Disponible</t>
        </is>
      </c>
      <c r="E891" s="2" t="inlineStr"/>
    </row>
    <row r="892">
      <c r="A892" s="2" t="inlineStr">
        <is>
          <t>ZAPC-310</t>
        </is>
      </c>
      <c r="B892" s="2" t="inlineStr"/>
      <c r="C892" s="2" t="inlineStr"/>
      <c r="D892" s="2" t="inlineStr">
        <is>
          <t>Disponible</t>
        </is>
      </c>
      <c r="E892" s="2" t="inlineStr"/>
    </row>
    <row r="893">
      <c r="A893" s="2" t="inlineStr">
        <is>
          <t>ZAPC-311</t>
        </is>
      </c>
      <c r="B893" s="2" t="inlineStr"/>
      <c r="C893" s="2" t="inlineStr"/>
      <c r="D893" s="2" t="inlineStr">
        <is>
          <t>Disponible</t>
        </is>
      </c>
      <c r="E893" s="2" t="inlineStr"/>
    </row>
    <row r="894">
      <c r="A894" s="2" t="inlineStr">
        <is>
          <t>ZAPC-312</t>
        </is>
      </c>
      <c r="B894" s="2" t="inlineStr"/>
      <c r="C894" s="2" t="inlineStr"/>
      <c r="D894" s="2" t="inlineStr">
        <is>
          <t>Disponible</t>
        </is>
      </c>
      <c r="E894" s="2" t="inlineStr"/>
    </row>
    <row r="895">
      <c r="A895" s="2" t="inlineStr">
        <is>
          <t>ZAPC-313</t>
        </is>
      </c>
      <c r="B895" s="2" t="inlineStr"/>
      <c r="C895" s="2" t="inlineStr"/>
      <c r="D895" s="2" t="inlineStr">
        <is>
          <t>Disponible</t>
        </is>
      </c>
      <c r="E895" s="2" t="inlineStr"/>
    </row>
    <row r="896">
      <c r="A896" s="2" t="inlineStr">
        <is>
          <t>ZAPC-314</t>
        </is>
      </c>
      <c r="B896" s="2" t="inlineStr"/>
      <c r="C896" s="2" t="inlineStr"/>
      <c r="D896" s="2" t="inlineStr">
        <is>
          <t>Disponible</t>
        </is>
      </c>
      <c r="E896" s="2" t="inlineStr"/>
    </row>
    <row r="897">
      <c r="A897" s="2" t="inlineStr">
        <is>
          <t>ZAPC-315</t>
        </is>
      </c>
      <c r="B897" s="2" t="inlineStr"/>
      <c r="C897" s="2" t="inlineStr"/>
      <c r="D897" s="2" t="inlineStr">
        <is>
          <t>Disponible</t>
        </is>
      </c>
      <c r="E897" s="2" t="inlineStr"/>
    </row>
    <row r="898">
      <c r="A898" s="2" t="inlineStr">
        <is>
          <t>ZAPC-316</t>
        </is>
      </c>
      <c r="B898" s="2" t="inlineStr"/>
      <c r="C898" s="2" t="inlineStr"/>
      <c r="D898" s="2" t="inlineStr">
        <is>
          <t>Disponible</t>
        </is>
      </c>
      <c r="E898" s="2" t="inlineStr"/>
    </row>
    <row r="899">
      <c r="A899" s="2" t="inlineStr">
        <is>
          <t>ZAPC-317</t>
        </is>
      </c>
      <c r="B899" s="2" t="inlineStr"/>
      <c r="C899" s="2" t="inlineStr"/>
      <c r="D899" s="2" t="inlineStr">
        <is>
          <t>Disponible</t>
        </is>
      </c>
      <c r="E899" s="2" t="inlineStr"/>
    </row>
    <row r="900">
      <c r="A900" s="2" t="inlineStr">
        <is>
          <t>ZAPC-318</t>
        </is>
      </c>
      <c r="B900" s="2" t="inlineStr"/>
      <c r="C900" s="2" t="inlineStr"/>
      <c r="D900" s="2" t="inlineStr">
        <is>
          <t>Disponible</t>
        </is>
      </c>
      <c r="E900" s="2" t="inlineStr"/>
    </row>
    <row r="901">
      <c r="A901" s="2" t="inlineStr">
        <is>
          <t>ZAPC-319</t>
        </is>
      </c>
      <c r="B901" s="2" t="inlineStr"/>
      <c r="C901" s="2" t="inlineStr"/>
      <c r="D901" s="2" t="inlineStr">
        <is>
          <t>Disponible</t>
        </is>
      </c>
      <c r="E901" s="2" t="inlineStr"/>
    </row>
    <row r="902">
      <c r="A902" s="2" t="inlineStr">
        <is>
          <t>ZAPC-320</t>
        </is>
      </c>
      <c r="B902" s="2" t="inlineStr"/>
      <c r="C902" s="2" t="inlineStr"/>
      <c r="D902" s="2" t="inlineStr">
        <is>
          <t>Disponible</t>
        </is>
      </c>
      <c r="E902" s="2" t="inlineStr"/>
    </row>
    <row r="903">
      <c r="A903" s="2" t="inlineStr">
        <is>
          <t>ZAPC-321</t>
        </is>
      </c>
      <c r="B903" s="2" t="inlineStr"/>
      <c r="C903" s="2" t="inlineStr"/>
      <c r="D903" s="2" t="inlineStr">
        <is>
          <t>Disponible</t>
        </is>
      </c>
      <c r="E903" s="2" t="inlineStr"/>
    </row>
    <row r="904">
      <c r="A904" s="2" t="inlineStr">
        <is>
          <t>ZAPC-322</t>
        </is>
      </c>
      <c r="B904" s="2" t="inlineStr"/>
      <c r="C904" s="2" t="inlineStr"/>
      <c r="D904" s="2" t="inlineStr">
        <is>
          <t>Disponible</t>
        </is>
      </c>
      <c r="E904" s="2" t="inlineStr"/>
    </row>
    <row r="905">
      <c r="A905" s="2" t="inlineStr">
        <is>
          <t>ZAPC-323</t>
        </is>
      </c>
      <c r="B905" s="2" t="inlineStr"/>
      <c r="C905" s="2" t="inlineStr"/>
      <c r="D905" s="2" t="inlineStr">
        <is>
          <t>Disponible</t>
        </is>
      </c>
      <c r="E905" s="2" t="inlineStr"/>
    </row>
    <row r="906">
      <c r="A906" s="2" t="inlineStr">
        <is>
          <t>ZAPC-324</t>
        </is>
      </c>
      <c r="B906" s="2" t="inlineStr"/>
      <c r="C906" s="2" t="inlineStr"/>
      <c r="D906" s="2" t="inlineStr">
        <is>
          <t>Disponible</t>
        </is>
      </c>
      <c r="E906" s="2" t="inlineStr"/>
    </row>
    <row r="907">
      <c r="A907" s="2" t="inlineStr">
        <is>
          <t>ZAPC-325</t>
        </is>
      </c>
      <c r="B907" s="2" t="inlineStr"/>
      <c r="C907" s="2" t="inlineStr"/>
      <c r="D907" s="2" t="inlineStr">
        <is>
          <t>Disponible</t>
        </is>
      </c>
      <c r="E907" s="2" t="inlineStr"/>
    </row>
    <row r="908">
      <c r="A908" s="2" t="inlineStr">
        <is>
          <t>ZAPC-326</t>
        </is>
      </c>
      <c r="B908" s="2" t="inlineStr"/>
      <c r="C908" s="2" t="inlineStr"/>
      <c r="D908" s="2" t="inlineStr">
        <is>
          <t>Disponible</t>
        </is>
      </c>
      <c r="E908" s="2" t="inlineStr"/>
    </row>
    <row r="909">
      <c r="A909" s="2" t="inlineStr">
        <is>
          <t>ZAPC-327</t>
        </is>
      </c>
      <c r="B909" s="2" t="inlineStr"/>
      <c r="C909" s="2" t="inlineStr"/>
      <c r="D909" s="2" t="inlineStr">
        <is>
          <t>Disponible</t>
        </is>
      </c>
      <c r="E909" s="2" t="inlineStr"/>
    </row>
    <row r="910">
      <c r="A910" s="2" t="inlineStr">
        <is>
          <t>ZAPC-328</t>
        </is>
      </c>
      <c r="B910" s="2" t="inlineStr"/>
      <c r="C910" s="2" t="inlineStr"/>
      <c r="D910" s="2" t="inlineStr">
        <is>
          <t>Disponible</t>
        </is>
      </c>
      <c r="E910" s="2" t="inlineStr"/>
    </row>
    <row r="911">
      <c r="A911" s="2" t="inlineStr">
        <is>
          <t>ZAPC-329</t>
        </is>
      </c>
      <c r="B911" s="2" t="inlineStr"/>
      <c r="C911" s="2" t="inlineStr"/>
      <c r="D911" s="2" t="inlineStr">
        <is>
          <t>Disponible</t>
        </is>
      </c>
      <c r="E911" s="2" t="inlineStr"/>
    </row>
    <row r="912">
      <c r="A912" s="2" t="inlineStr">
        <is>
          <t>ZAPC-330</t>
        </is>
      </c>
      <c r="B912" s="2" t="inlineStr"/>
      <c r="C912" s="2" t="inlineStr"/>
      <c r="D912" s="2" t="inlineStr">
        <is>
          <t>Disponible</t>
        </is>
      </c>
      <c r="E912" s="2" t="inlineStr"/>
    </row>
    <row r="913">
      <c r="A913" s="2" t="inlineStr">
        <is>
          <t>ZAPC-331</t>
        </is>
      </c>
      <c r="B913" s="2" t="inlineStr"/>
      <c r="C913" s="2" t="inlineStr"/>
      <c r="D913" s="2" t="inlineStr">
        <is>
          <t>Disponible</t>
        </is>
      </c>
      <c r="E913" s="2" t="inlineStr"/>
    </row>
    <row r="914">
      <c r="A914" s="2" t="inlineStr">
        <is>
          <t>ZAPC-332</t>
        </is>
      </c>
      <c r="B914" s="2" t="inlineStr"/>
      <c r="C914" s="2" t="inlineStr"/>
      <c r="D914" s="2" t="inlineStr">
        <is>
          <t>Disponible</t>
        </is>
      </c>
      <c r="E914" s="2" t="inlineStr"/>
    </row>
    <row r="915">
      <c r="A915" s="2" t="inlineStr">
        <is>
          <t>ZAPC-333</t>
        </is>
      </c>
      <c r="B915" s="2" t="inlineStr"/>
      <c r="C915" s="2" t="inlineStr"/>
      <c r="D915" s="2" t="inlineStr">
        <is>
          <t>Disponible</t>
        </is>
      </c>
      <c r="E915" s="2" t="inlineStr"/>
    </row>
    <row r="916">
      <c r="A916" s="2" t="inlineStr">
        <is>
          <t>ZAPC-334</t>
        </is>
      </c>
      <c r="B916" s="2" t="inlineStr"/>
      <c r="C916" s="2" t="inlineStr"/>
      <c r="D916" s="2" t="inlineStr">
        <is>
          <t>Disponible</t>
        </is>
      </c>
      <c r="E916" s="2" t="inlineStr"/>
    </row>
    <row r="917">
      <c r="A917" s="2" t="inlineStr">
        <is>
          <t>ZAPC-335</t>
        </is>
      </c>
      <c r="B917" s="2" t="inlineStr"/>
      <c r="C917" s="2" t="inlineStr"/>
      <c r="D917" s="2" t="inlineStr">
        <is>
          <t>Disponible</t>
        </is>
      </c>
      <c r="E917" s="2" t="inlineStr"/>
    </row>
    <row r="918">
      <c r="A918" s="2" t="inlineStr">
        <is>
          <t>ZAPC-336</t>
        </is>
      </c>
      <c r="B918" s="2" t="inlineStr"/>
      <c r="C918" s="2" t="inlineStr"/>
      <c r="D918" s="2" t="inlineStr">
        <is>
          <t>Disponible</t>
        </is>
      </c>
      <c r="E918" s="2" t="inlineStr"/>
    </row>
    <row r="919">
      <c r="A919" s="2" t="inlineStr">
        <is>
          <t>ZAPC-337</t>
        </is>
      </c>
      <c r="B919" s="2" t="inlineStr"/>
      <c r="C919" s="2" t="inlineStr"/>
      <c r="D919" s="2" t="inlineStr">
        <is>
          <t>Disponible</t>
        </is>
      </c>
      <c r="E919" s="2" t="inlineStr"/>
    </row>
    <row r="920">
      <c r="A920" s="2" t="inlineStr">
        <is>
          <t>ZAPC-338</t>
        </is>
      </c>
      <c r="B920" s="2" t="inlineStr"/>
      <c r="C920" s="2" t="inlineStr"/>
      <c r="D920" s="2" t="inlineStr">
        <is>
          <t>Disponible</t>
        </is>
      </c>
      <c r="E920" s="2" t="inlineStr"/>
    </row>
    <row r="921">
      <c r="A921" s="2" t="inlineStr">
        <is>
          <t>ZAPC-339</t>
        </is>
      </c>
      <c r="B921" s="2" t="inlineStr"/>
      <c r="C921" s="2" t="inlineStr"/>
      <c r="D921" s="2" t="inlineStr">
        <is>
          <t>Disponible</t>
        </is>
      </c>
      <c r="E921" s="2" t="inlineStr"/>
    </row>
    <row r="922">
      <c r="A922" s="2" t="inlineStr">
        <is>
          <t>ZAPC-340</t>
        </is>
      </c>
      <c r="B922" s="2" t="inlineStr"/>
      <c r="C922" s="2" t="inlineStr"/>
      <c r="D922" s="2" t="inlineStr">
        <is>
          <t>Disponible</t>
        </is>
      </c>
      <c r="E922" s="2" t="inlineStr"/>
    </row>
    <row r="923">
      <c r="A923" s="2" t="inlineStr">
        <is>
          <t>ZAPC-341</t>
        </is>
      </c>
      <c r="B923" s="2" t="inlineStr"/>
      <c r="C923" s="2" t="inlineStr"/>
      <c r="D923" s="2" t="inlineStr">
        <is>
          <t>Disponible</t>
        </is>
      </c>
      <c r="E923" s="2" t="inlineStr"/>
    </row>
    <row r="924">
      <c r="A924" s="2" t="inlineStr">
        <is>
          <t>ZAPC-342</t>
        </is>
      </c>
      <c r="B924" s="2" t="inlineStr"/>
      <c r="C924" s="2" t="inlineStr"/>
      <c r="D924" s="2" t="inlineStr">
        <is>
          <t>Disponible</t>
        </is>
      </c>
      <c r="E924" s="2" t="inlineStr"/>
    </row>
    <row r="925">
      <c r="A925" s="2" t="inlineStr">
        <is>
          <t>ZAPC-343</t>
        </is>
      </c>
      <c r="B925" s="2" t="inlineStr"/>
      <c r="C925" s="2" t="inlineStr"/>
      <c r="D925" s="2" t="inlineStr">
        <is>
          <t>Disponible</t>
        </is>
      </c>
      <c r="E925" s="2" t="inlineStr"/>
    </row>
    <row r="926">
      <c r="A926" s="2" t="inlineStr">
        <is>
          <t>ZAPC-344</t>
        </is>
      </c>
      <c r="B926" s="2" t="inlineStr"/>
      <c r="C926" s="2" t="inlineStr"/>
      <c r="D926" s="2" t="inlineStr">
        <is>
          <t>Disponible</t>
        </is>
      </c>
      <c r="E926" s="2" t="inlineStr"/>
    </row>
    <row r="927">
      <c r="A927" s="2" t="inlineStr">
        <is>
          <t>ZAPC-345</t>
        </is>
      </c>
      <c r="B927" s="2" t="inlineStr"/>
      <c r="C927" s="2" t="inlineStr"/>
      <c r="D927" s="2" t="inlineStr">
        <is>
          <t>Disponible</t>
        </is>
      </c>
      <c r="E927" s="2" t="inlineStr"/>
    </row>
    <row r="928">
      <c r="A928" s="2" t="inlineStr">
        <is>
          <t>ZAPC-346</t>
        </is>
      </c>
      <c r="B928" s="2" t="inlineStr"/>
      <c r="C928" s="2" t="inlineStr"/>
      <c r="D928" s="2" t="inlineStr">
        <is>
          <t>Disponible</t>
        </is>
      </c>
      <c r="E928" s="2" t="inlineStr"/>
    </row>
    <row r="929">
      <c r="A929" s="2" t="inlineStr">
        <is>
          <t>ZAPC-347</t>
        </is>
      </c>
      <c r="B929" s="2" t="inlineStr"/>
      <c r="C929" s="2" t="inlineStr"/>
      <c r="D929" s="2" t="inlineStr">
        <is>
          <t>Disponible</t>
        </is>
      </c>
      <c r="E929" s="2" t="inlineStr"/>
    </row>
    <row r="930">
      <c r="A930" s="2" t="inlineStr">
        <is>
          <t>ZAPC-348</t>
        </is>
      </c>
      <c r="B930" s="2" t="inlineStr"/>
      <c r="C930" s="2" t="inlineStr"/>
      <c r="D930" s="2" t="inlineStr">
        <is>
          <t>Disponible</t>
        </is>
      </c>
      <c r="E930" s="2" t="inlineStr"/>
    </row>
    <row r="931">
      <c r="A931" s="2" t="inlineStr">
        <is>
          <t>ZAPC-349</t>
        </is>
      </c>
      <c r="B931" s="2" t="inlineStr"/>
      <c r="C931" s="2" t="inlineStr"/>
      <c r="D931" s="2" t="inlineStr">
        <is>
          <t>Disponible</t>
        </is>
      </c>
      <c r="E931" s="2" t="inlineStr"/>
    </row>
    <row r="932">
      <c r="A932" s="2" t="inlineStr">
        <is>
          <t>ZAPC-350</t>
        </is>
      </c>
      <c r="B932" s="2" t="inlineStr"/>
      <c r="C932" s="2" t="inlineStr"/>
      <c r="D932" s="2" t="inlineStr">
        <is>
          <t>Disponible</t>
        </is>
      </c>
      <c r="E932" s="2" t="inlineStr"/>
    </row>
    <row r="933">
      <c r="A933" s="2" t="inlineStr">
        <is>
          <t>ZAPC-351</t>
        </is>
      </c>
      <c r="B933" s="2" t="inlineStr"/>
      <c r="C933" s="2" t="inlineStr"/>
      <c r="D933" s="2" t="inlineStr">
        <is>
          <t>Disponible</t>
        </is>
      </c>
      <c r="E933" s="2" t="inlineStr"/>
    </row>
    <row r="934">
      <c r="A934" s="2" t="inlineStr">
        <is>
          <t>ZAPC-352</t>
        </is>
      </c>
      <c r="B934" s="2" t="inlineStr"/>
      <c r="C934" s="2" t="inlineStr"/>
      <c r="D934" s="2" t="inlineStr">
        <is>
          <t>Disponible</t>
        </is>
      </c>
      <c r="E934" s="2" t="inlineStr"/>
    </row>
    <row r="935">
      <c r="A935" s="2" t="inlineStr">
        <is>
          <t>ZAPC-353</t>
        </is>
      </c>
      <c r="B935" s="2" t="inlineStr"/>
      <c r="C935" s="2" t="inlineStr"/>
      <c r="D935" s="2" t="inlineStr">
        <is>
          <t>Disponible</t>
        </is>
      </c>
      <c r="E935" s="2" t="inlineStr"/>
    </row>
    <row r="936">
      <c r="A936" s="2" t="inlineStr">
        <is>
          <t>ZAPC-354</t>
        </is>
      </c>
      <c r="B936" s="2" t="inlineStr"/>
      <c r="C936" s="2" t="inlineStr"/>
      <c r="D936" s="2" t="inlineStr">
        <is>
          <t>Disponible</t>
        </is>
      </c>
      <c r="E936" s="2" t="inlineStr"/>
    </row>
    <row r="937">
      <c r="A937" s="2" t="inlineStr">
        <is>
          <t>ZAPC-355</t>
        </is>
      </c>
      <c r="B937" s="2" t="inlineStr"/>
      <c r="C937" s="2" t="inlineStr"/>
      <c r="D937" s="2" t="inlineStr">
        <is>
          <t>Disponible</t>
        </is>
      </c>
      <c r="E937" s="2" t="inlineStr"/>
    </row>
    <row r="938">
      <c r="A938" s="2" t="inlineStr">
        <is>
          <t>ZAPC-356</t>
        </is>
      </c>
      <c r="B938" s="2" t="inlineStr"/>
      <c r="C938" s="2" t="inlineStr"/>
      <c r="D938" s="2" t="inlineStr">
        <is>
          <t>Disponible</t>
        </is>
      </c>
      <c r="E938" s="2" t="inlineStr"/>
    </row>
    <row r="939">
      <c r="A939" s="2" t="inlineStr">
        <is>
          <t>ZAPC-357</t>
        </is>
      </c>
      <c r="B939" s="2" t="inlineStr"/>
      <c r="C939" s="2" t="inlineStr"/>
      <c r="D939" s="2" t="inlineStr">
        <is>
          <t>Disponible</t>
        </is>
      </c>
      <c r="E939" s="2" t="inlineStr"/>
    </row>
    <row r="940">
      <c r="A940" s="2" t="inlineStr">
        <is>
          <t>ZAPC-358</t>
        </is>
      </c>
      <c r="B940" s="2" t="inlineStr"/>
      <c r="C940" s="2" t="inlineStr"/>
      <c r="D940" s="2" t="inlineStr">
        <is>
          <t>Disponible</t>
        </is>
      </c>
      <c r="E940" s="2" t="inlineStr"/>
    </row>
    <row r="941">
      <c r="A941" s="2" t="inlineStr">
        <is>
          <t>ZAPC-359</t>
        </is>
      </c>
      <c r="B941" s="2" t="inlineStr"/>
      <c r="C941" s="2" t="inlineStr"/>
      <c r="D941" s="2" t="inlineStr">
        <is>
          <t>Disponible</t>
        </is>
      </c>
      <c r="E941" s="2" t="inlineStr"/>
    </row>
    <row r="942">
      <c r="A942" s="2" t="inlineStr">
        <is>
          <t>ZAPC-360</t>
        </is>
      </c>
      <c r="B942" s="2" t="inlineStr"/>
      <c r="C942" s="2" t="inlineStr"/>
      <c r="D942" s="2" t="inlineStr">
        <is>
          <t>Disponible</t>
        </is>
      </c>
      <c r="E942" s="2" t="inlineStr"/>
    </row>
    <row r="943">
      <c r="A943" s="2" t="inlineStr">
        <is>
          <t>ZAPC-361</t>
        </is>
      </c>
      <c r="B943" s="2" t="inlineStr"/>
      <c r="C943" s="2" t="inlineStr"/>
      <c r="D943" s="2" t="inlineStr">
        <is>
          <t>Disponible</t>
        </is>
      </c>
      <c r="E943" s="2" t="inlineStr"/>
    </row>
    <row r="944">
      <c r="A944" s="2" t="inlineStr">
        <is>
          <t>ZAPC-362</t>
        </is>
      </c>
      <c r="B944" s="2" t="inlineStr"/>
      <c r="C944" s="2" t="inlineStr"/>
      <c r="D944" s="2" t="inlineStr">
        <is>
          <t>Disponible</t>
        </is>
      </c>
      <c r="E944" s="2" t="inlineStr"/>
    </row>
    <row r="945">
      <c r="A945" s="2" t="inlineStr">
        <is>
          <t>ZAPC-363</t>
        </is>
      </c>
      <c r="B945" s="2" t="inlineStr"/>
      <c r="C945" s="2" t="inlineStr"/>
      <c r="D945" s="2" t="inlineStr">
        <is>
          <t>Disponible</t>
        </is>
      </c>
      <c r="E945" s="2" t="inlineStr"/>
    </row>
    <row r="946">
      <c r="A946" s="2" t="inlineStr">
        <is>
          <t>ZAPC-364</t>
        </is>
      </c>
      <c r="B946" s="2" t="inlineStr"/>
      <c r="C946" s="2" t="inlineStr"/>
      <c r="D946" s="2" t="inlineStr">
        <is>
          <t>Disponible</t>
        </is>
      </c>
      <c r="E946" s="2" t="inlineStr"/>
    </row>
    <row r="947">
      <c r="A947" s="2" t="inlineStr">
        <is>
          <t>ZAPC-365</t>
        </is>
      </c>
      <c r="B947" s="2" t="inlineStr"/>
      <c r="C947" s="2" t="inlineStr"/>
      <c r="D947" s="2" t="inlineStr">
        <is>
          <t>Disponible</t>
        </is>
      </c>
      <c r="E947" s="2" t="inlineStr"/>
    </row>
    <row r="948">
      <c r="A948" s="2" t="inlineStr">
        <is>
          <t>ZAPC-366</t>
        </is>
      </c>
      <c r="B948" s="2" t="inlineStr"/>
      <c r="C948" s="2" t="inlineStr"/>
      <c r="D948" s="2" t="inlineStr">
        <is>
          <t>Disponible</t>
        </is>
      </c>
      <c r="E948" s="2" t="inlineStr"/>
    </row>
    <row r="949">
      <c r="A949" s="2" t="inlineStr">
        <is>
          <t>ZAPC-367</t>
        </is>
      </c>
      <c r="B949" s="2" t="inlineStr"/>
      <c r="C949" s="2" t="inlineStr"/>
      <c r="D949" s="2" t="inlineStr">
        <is>
          <t>Disponible</t>
        </is>
      </c>
      <c r="E949" s="2" t="inlineStr"/>
    </row>
    <row r="950">
      <c r="A950" s="2" t="inlineStr">
        <is>
          <t>ZAPC-368</t>
        </is>
      </c>
      <c r="B950" s="2" t="inlineStr"/>
      <c r="C950" s="2" t="inlineStr"/>
      <c r="D950" s="2" t="inlineStr">
        <is>
          <t>Disponible</t>
        </is>
      </c>
      <c r="E950" s="2" t="inlineStr"/>
    </row>
    <row r="951">
      <c r="A951" s="2" t="inlineStr">
        <is>
          <t>ZAPC-369</t>
        </is>
      </c>
      <c r="B951" s="2" t="inlineStr"/>
      <c r="C951" s="2" t="inlineStr"/>
      <c r="D951" s="2" t="inlineStr">
        <is>
          <t>Disponible</t>
        </is>
      </c>
      <c r="E951" s="2" t="inlineStr"/>
    </row>
    <row r="952">
      <c r="A952" s="2" t="inlineStr">
        <is>
          <t>ZAPC-370</t>
        </is>
      </c>
      <c r="B952" s="2" t="inlineStr"/>
      <c r="C952" s="2" t="inlineStr"/>
      <c r="D952" s="2" t="inlineStr">
        <is>
          <t>Disponible</t>
        </is>
      </c>
      <c r="E952" s="2" t="inlineStr"/>
    </row>
    <row r="953">
      <c r="A953" s="2" t="inlineStr">
        <is>
          <t>ZAPC-371</t>
        </is>
      </c>
      <c r="B953" s="2" t="inlineStr"/>
      <c r="C953" s="2" t="inlineStr"/>
      <c r="D953" s="2" t="inlineStr">
        <is>
          <t>Disponible</t>
        </is>
      </c>
      <c r="E953" s="2" t="inlineStr"/>
    </row>
    <row r="954">
      <c r="A954" s="2" t="inlineStr">
        <is>
          <t>ZAPC-372</t>
        </is>
      </c>
      <c r="B954" s="2" t="inlineStr"/>
      <c r="C954" s="2" t="inlineStr"/>
      <c r="D954" s="2" t="inlineStr">
        <is>
          <t>Disponible</t>
        </is>
      </c>
      <c r="E954" s="2" t="inlineStr"/>
    </row>
    <row r="955">
      <c r="A955" s="2" t="inlineStr">
        <is>
          <t>ZAPC-373</t>
        </is>
      </c>
      <c r="B955" s="2" t="inlineStr"/>
      <c r="C955" s="2" t="inlineStr"/>
      <c r="D955" s="2" t="inlineStr">
        <is>
          <t>Disponible</t>
        </is>
      </c>
      <c r="E955" s="2" t="inlineStr"/>
    </row>
    <row r="956">
      <c r="A956" s="2" t="inlineStr">
        <is>
          <t>ZAPC-374</t>
        </is>
      </c>
      <c r="B956" s="2" t="inlineStr"/>
      <c r="C956" s="2" t="inlineStr"/>
      <c r="D956" s="2" t="inlineStr">
        <is>
          <t>Disponible</t>
        </is>
      </c>
      <c r="E956" s="2" t="inlineStr"/>
    </row>
    <row r="957">
      <c r="A957" s="2" t="inlineStr">
        <is>
          <t>ZAPC-375</t>
        </is>
      </c>
      <c r="B957" s="2" t="inlineStr"/>
      <c r="C957" s="2" t="inlineStr"/>
      <c r="D957" s="2" t="inlineStr">
        <is>
          <t>Disponible</t>
        </is>
      </c>
      <c r="E957" s="2" t="inlineStr"/>
    </row>
    <row r="958">
      <c r="A958" s="2" t="inlineStr">
        <is>
          <t>ZAPC-376</t>
        </is>
      </c>
      <c r="B958" s="2" t="inlineStr"/>
      <c r="C958" s="2" t="inlineStr"/>
      <c r="D958" s="2" t="inlineStr">
        <is>
          <t>Disponible</t>
        </is>
      </c>
      <c r="E958" s="2" t="inlineStr"/>
    </row>
    <row r="959">
      <c r="A959" s="2" t="inlineStr">
        <is>
          <t>ZAPC-377</t>
        </is>
      </c>
      <c r="B959" s="2" t="inlineStr"/>
      <c r="C959" s="2" t="inlineStr"/>
      <c r="D959" s="2" t="inlineStr">
        <is>
          <t>Disponible</t>
        </is>
      </c>
      <c r="E959" s="2" t="inlineStr"/>
    </row>
    <row r="960">
      <c r="A960" s="2" t="inlineStr">
        <is>
          <t>ZAPC-378</t>
        </is>
      </c>
      <c r="B960" s="2" t="inlineStr"/>
      <c r="C960" s="2" t="inlineStr"/>
      <c r="D960" s="2" t="inlineStr">
        <is>
          <t>Disponible</t>
        </is>
      </c>
      <c r="E960" s="2" t="inlineStr"/>
    </row>
    <row r="961">
      <c r="A961" s="2" t="inlineStr">
        <is>
          <t>ZAPC-379</t>
        </is>
      </c>
      <c r="B961" s="2" t="inlineStr"/>
      <c r="C961" s="2" t="inlineStr"/>
      <c r="D961" s="2" t="inlineStr">
        <is>
          <t>Disponible</t>
        </is>
      </c>
      <c r="E961" s="2" t="inlineStr"/>
    </row>
    <row r="962">
      <c r="A962" s="2" t="inlineStr">
        <is>
          <t>ZAPC-380</t>
        </is>
      </c>
      <c r="B962" s="2" t="inlineStr"/>
      <c r="C962" s="2" t="inlineStr"/>
      <c r="D962" s="2" t="inlineStr">
        <is>
          <t>Disponible</t>
        </is>
      </c>
      <c r="E962" s="2" t="inlineStr"/>
    </row>
    <row r="963">
      <c r="A963" s="2" t="inlineStr">
        <is>
          <t>ZAPC-381</t>
        </is>
      </c>
      <c r="B963" s="2" t="inlineStr"/>
      <c r="C963" s="2" t="inlineStr"/>
      <c r="D963" s="2" t="inlineStr">
        <is>
          <t>Disponible</t>
        </is>
      </c>
      <c r="E963" s="2" t="inlineStr"/>
    </row>
    <row r="964">
      <c r="A964" s="2" t="inlineStr">
        <is>
          <t>ZAPC-382</t>
        </is>
      </c>
      <c r="B964" s="2" t="inlineStr"/>
      <c r="C964" s="2" t="inlineStr"/>
      <c r="D964" s="2" t="inlineStr">
        <is>
          <t>Disponible</t>
        </is>
      </c>
      <c r="E964" s="2" t="inlineStr"/>
    </row>
    <row r="965">
      <c r="A965" s="2" t="inlineStr">
        <is>
          <t>ZAPC-383</t>
        </is>
      </c>
      <c r="B965" s="2" t="inlineStr"/>
      <c r="C965" s="2" t="inlineStr"/>
      <c r="D965" s="2" t="inlineStr">
        <is>
          <t>Disponible</t>
        </is>
      </c>
      <c r="E965" s="2" t="inlineStr"/>
    </row>
    <row r="966">
      <c r="A966" s="2" t="inlineStr">
        <is>
          <t>ZAPC-384</t>
        </is>
      </c>
      <c r="B966" s="2" t="inlineStr"/>
      <c r="C966" s="2" t="inlineStr"/>
      <c r="D966" s="2" t="inlineStr">
        <is>
          <t>Disponible</t>
        </is>
      </c>
      <c r="E966" s="2" t="inlineStr"/>
    </row>
    <row r="967">
      <c r="A967" s="2" t="inlineStr">
        <is>
          <t>ZAPC-385</t>
        </is>
      </c>
      <c r="B967" s="2" t="inlineStr"/>
      <c r="C967" s="2" t="inlineStr"/>
      <c r="D967" s="2" t="inlineStr">
        <is>
          <t>Disponible</t>
        </is>
      </c>
      <c r="E967" s="2" t="inlineStr"/>
    </row>
    <row r="968">
      <c r="A968" s="2" t="inlineStr">
        <is>
          <t>ZAPC-386</t>
        </is>
      </c>
      <c r="B968" s="2" t="inlineStr"/>
      <c r="C968" s="2" t="inlineStr"/>
      <c r="D968" s="2" t="inlineStr">
        <is>
          <t>Disponible</t>
        </is>
      </c>
      <c r="E968" s="2" t="inlineStr"/>
    </row>
    <row r="969">
      <c r="A969" s="2" t="inlineStr">
        <is>
          <t>ZAPC-387</t>
        </is>
      </c>
      <c r="B969" s="2" t="inlineStr"/>
      <c r="C969" s="2" t="inlineStr"/>
      <c r="D969" s="2" t="inlineStr">
        <is>
          <t>Disponible</t>
        </is>
      </c>
      <c r="E969" s="2" t="inlineStr"/>
    </row>
    <row r="970">
      <c r="A970" s="2" t="inlineStr">
        <is>
          <t>ZAPC-388</t>
        </is>
      </c>
      <c r="B970" s="2" t="inlineStr"/>
      <c r="C970" s="2" t="inlineStr"/>
      <c r="D970" s="2" t="inlineStr">
        <is>
          <t>Disponible</t>
        </is>
      </c>
      <c r="E970" s="2" t="inlineStr"/>
    </row>
    <row r="971">
      <c r="A971" s="2" t="inlineStr">
        <is>
          <t>ZAPC-389</t>
        </is>
      </c>
      <c r="B971" s="2" t="inlineStr"/>
      <c r="C971" s="2" t="inlineStr"/>
      <c r="D971" s="2" t="inlineStr">
        <is>
          <t>Disponible</t>
        </is>
      </c>
      <c r="E971" s="2" t="inlineStr"/>
    </row>
    <row r="972">
      <c r="A972" s="2" t="inlineStr">
        <is>
          <t>ZAPC-390</t>
        </is>
      </c>
      <c r="B972" s="2" t="inlineStr"/>
      <c r="C972" s="2" t="inlineStr"/>
      <c r="D972" s="2" t="inlineStr">
        <is>
          <t>Disponible</t>
        </is>
      </c>
      <c r="E972" s="2" t="inlineStr"/>
    </row>
    <row r="973">
      <c r="A973" s="2" t="inlineStr">
        <is>
          <t>ZAPC-391</t>
        </is>
      </c>
      <c r="B973" s="2" t="inlineStr"/>
      <c r="C973" s="2" t="inlineStr"/>
      <c r="D973" s="2" t="inlineStr">
        <is>
          <t>Disponible</t>
        </is>
      </c>
      <c r="E973" s="2" t="inlineStr"/>
    </row>
    <row r="974">
      <c r="A974" s="2" t="inlineStr">
        <is>
          <t>ZAPC-392</t>
        </is>
      </c>
      <c r="B974" s="2" t="inlineStr"/>
      <c r="C974" s="2" t="inlineStr"/>
      <c r="D974" s="2" t="inlineStr">
        <is>
          <t>Disponible</t>
        </is>
      </c>
      <c r="E974" s="2" t="inlineStr"/>
    </row>
    <row r="975">
      <c r="A975" s="2" t="inlineStr">
        <is>
          <t>ZAPC-393</t>
        </is>
      </c>
      <c r="B975" s="2" t="inlineStr"/>
      <c r="C975" s="2" t="inlineStr"/>
      <c r="D975" s="2" t="inlineStr">
        <is>
          <t>Disponible</t>
        </is>
      </c>
      <c r="E975" s="2" t="inlineStr"/>
    </row>
    <row r="976">
      <c r="A976" s="2" t="inlineStr">
        <is>
          <t>ZAPC-394</t>
        </is>
      </c>
      <c r="B976" s="2" t="inlineStr"/>
      <c r="C976" s="2" t="inlineStr"/>
      <c r="D976" s="2" t="inlineStr">
        <is>
          <t>Disponible</t>
        </is>
      </c>
      <c r="E976" s="2" t="inlineStr"/>
    </row>
    <row r="977">
      <c r="A977" s="2" t="inlineStr">
        <is>
          <t>ZAPC-395</t>
        </is>
      </c>
      <c r="B977" s="2" t="inlineStr"/>
      <c r="C977" s="2" t="inlineStr"/>
      <c r="D977" s="2" t="inlineStr">
        <is>
          <t>Disponible</t>
        </is>
      </c>
      <c r="E977" s="2" t="inlineStr"/>
    </row>
    <row r="978">
      <c r="A978" s="2" t="inlineStr">
        <is>
          <t>ZAPC-396</t>
        </is>
      </c>
      <c r="B978" s="2" t="inlineStr"/>
      <c r="C978" s="2" t="inlineStr"/>
      <c r="D978" s="2" t="inlineStr">
        <is>
          <t>Disponible</t>
        </is>
      </c>
      <c r="E978" s="2" t="inlineStr"/>
    </row>
    <row r="979">
      <c r="A979" s="2" t="inlineStr">
        <is>
          <t>ZAPC-397</t>
        </is>
      </c>
      <c r="B979" s="2" t="inlineStr"/>
      <c r="C979" s="2" t="inlineStr"/>
      <c r="D979" s="2" t="inlineStr">
        <is>
          <t>Disponible</t>
        </is>
      </c>
      <c r="E979" s="2" t="inlineStr"/>
    </row>
    <row r="980">
      <c r="A980" s="2" t="inlineStr">
        <is>
          <t>ZAPC-398</t>
        </is>
      </c>
      <c r="B980" s="2" t="inlineStr"/>
      <c r="C980" s="2" t="inlineStr"/>
      <c r="D980" s="2" t="inlineStr">
        <is>
          <t>Disponible</t>
        </is>
      </c>
      <c r="E980" s="2" t="inlineStr"/>
    </row>
    <row r="981">
      <c r="A981" s="2" t="inlineStr">
        <is>
          <t>ZAPC-399</t>
        </is>
      </c>
      <c r="B981" s="2" t="inlineStr"/>
      <c r="C981" s="2" t="inlineStr"/>
      <c r="D981" s="2" t="inlineStr">
        <is>
          <t>Disponible</t>
        </is>
      </c>
      <c r="E981" s="2" t="inlineStr"/>
    </row>
    <row r="982">
      <c r="A982" s="2" t="inlineStr">
        <is>
          <t>ZAPC-400</t>
        </is>
      </c>
      <c r="B982" s="2" t="inlineStr"/>
      <c r="C982" s="2" t="inlineStr"/>
      <c r="D982" s="2" t="inlineStr">
        <is>
          <t>Disponible</t>
        </is>
      </c>
      <c r="E982" s="2" t="inlineStr"/>
    </row>
    <row r="983">
      <c r="A983" s="2" t="inlineStr">
        <is>
          <t>ZAPC-401</t>
        </is>
      </c>
      <c r="B983" s="2" t="inlineStr"/>
      <c r="C983" s="2" t="inlineStr"/>
      <c r="D983" s="2" t="inlineStr">
        <is>
          <t>Disponible</t>
        </is>
      </c>
      <c r="E983" s="2" t="inlineStr"/>
    </row>
    <row r="984">
      <c r="A984" s="2" t="inlineStr">
        <is>
          <t>ZAPC-402</t>
        </is>
      </c>
      <c r="B984" s="2" t="inlineStr"/>
      <c r="C984" s="2" t="inlineStr"/>
      <c r="D984" s="2" t="inlineStr">
        <is>
          <t>Disponible</t>
        </is>
      </c>
      <c r="E984" s="2" t="inlineStr"/>
    </row>
    <row r="985">
      <c r="A985" s="2" t="inlineStr">
        <is>
          <t>ZAPC-403</t>
        </is>
      </c>
      <c r="B985" s="2" t="inlineStr"/>
      <c r="C985" s="2" t="inlineStr"/>
      <c r="D985" s="2" t="inlineStr">
        <is>
          <t>Disponible</t>
        </is>
      </c>
      <c r="E985" s="2" t="inlineStr"/>
    </row>
    <row r="986">
      <c r="A986" s="2" t="inlineStr">
        <is>
          <t>ZAPC-404</t>
        </is>
      </c>
      <c r="B986" s="2" t="inlineStr"/>
      <c r="C986" s="2" t="inlineStr"/>
      <c r="D986" s="2" t="inlineStr">
        <is>
          <t>Disponible</t>
        </is>
      </c>
      <c r="E986" s="2" t="inlineStr"/>
    </row>
    <row r="987">
      <c r="A987" s="2" t="inlineStr">
        <is>
          <t>ZAPC-405</t>
        </is>
      </c>
      <c r="B987" s="2" t="inlineStr"/>
      <c r="C987" s="2" t="inlineStr"/>
      <c r="D987" s="2" t="inlineStr">
        <is>
          <t>Disponible</t>
        </is>
      </c>
      <c r="E987" s="2" t="inlineStr"/>
    </row>
    <row r="988">
      <c r="A988" s="2" t="inlineStr">
        <is>
          <t>ZAPC-406</t>
        </is>
      </c>
      <c r="B988" s="2" t="inlineStr"/>
      <c r="C988" s="2" t="inlineStr"/>
      <c r="D988" s="2" t="inlineStr">
        <is>
          <t>Disponible</t>
        </is>
      </c>
      <c r="E988" s="2" t="inlineStr"/>
    </row>
    <row r="989">
      <c r="A989" s="2" t="inlineStr">
        <is>
          <t>ZAPC-407</t>
        </is>
      </c>
      <c r="B989" s="2" t="inlineStr"/>
      <c r="C989" s="2" t="inlineStr"/>
      <c r="D989" s="2" t="inlineStr">
        <is>
          <t>Disponible</t>
        </is>
      </c>
      <c r="E989" s="2" t="inlineStr"/>
    </row>
    <row r="990">
      <c r="A990" s="2" t="inlineStr">
        <is>
          <t>ZAPC-408</t>
        </is>
      </c>
      <c r="B990" s="2" t="inlineStr"/>
      <c r="C990" s="2" t="inlineStr"/>
      <c r="D990" s="2" t="inlineStr">
        <is>
          <t>Disponible</t>
        </is>
      </c>
      <c r="E990" s="2" t="inlineStr"/>
    </row>
    <row r="991">
      <c r="A991" s="2" t="inlineStr">
        <is>
          <t>ZAPC-409</t>
        </is>
      </c>
      <c r="B991" s="2" t="inlineStr"/>
      <c r="C991" s="2" t="inlineStr"/>
      <c r="D991" s="2" t="inlineStr">
        <is>
          <t>Disponible</t>
        </is>
      </c>
      <c r="E991" s="2" t="inlineStr"/>
    </row>
    <row r="992">
      <c r="A992" s="2" t="inlineStr">
        <is>
          <t>ZAPC-410</t>
        </is>
      </c>
      <c r="B992" s="2" t="inlineStr"/>
      <c r="C992" s="2" t="inlineStr"/>
      <c r="D992" s="2" t="inlineStr">
        <is>
          <t>Disponible</t>
        </is>
      </c>
      <c r="E992" s="2" t="inlineStr"/>
    </row>
    <row r="993">
      <c r="A993" s="2" t="inlineStr">
        <is>
          <t>ZAPC-411</t>
        </is>
      </c>
      <c r="B993" s="2" t="inlineStr"/>
      <c r="C993" s="2" t="inlineStr"/>
      <c r="D993" s="2" t="inlineStr">
        <is>
          <t>Disponible</t>
        </is>
      </c>
      <c r="E993" s="2" t="inlineStr"/>
    </row>
    <row r="994">
      <c r="A994" s="2" t="inlineStr">
        <is>
          <t>ZAPC-412</t>
        </is>
      </c>
      <c r="B994" s="2" t="inlineStr"/>
      <c r="C994" s="2" t="inlineStr"/>
      <c r="D994" s="2" t="inlineStr">
        <is>
          <t>Disponible</t>
        </is>
      </c>
      <c r="E994" s="2" t="inlineStr"/>
    </row>
    <row r="995">
      <c r="A995" s="2" t="inlineStr">
        <is>
          <t>ZAPC-413</t>
        </is>
      </c>
      <c r="B995" s="2" t="inlineStr"/>
      <c r="C995" s="2" t="inlineStr"/>
      <c r="D995" s="2" t="inlineStr">
        <is>
          <t>Disponible</t>
        </is>
      </c>
      <c r="E995" s="2" t="inlineStr"/>
    </row>
    <row r="996">
      <c r="A996" s="2" t="inlineStr">
        <is>
          <t>ZAPC-414</t>
        </is>
      </c>
      <c r="B996" s="2" t="inlineStr"/>
      <c r="C996" s="2" t="inlineStr"/>
      <c r="D996" s="2" t="inlineStr">
        <is>
          <t>Disponible</t>
        </is>
      </c>
      <c r="E996" s="2" t="inlineStr"/>
    </row>
    <row r="997">
      <c r="A997" s="2" t="inlineStr">
        <is>
          <t>ZAPC-415</t>
        </is>
      </c>
      <c r="B997" s="2" t="inlineStr"/>
      <c r="C997" s="2" t="inlineStr"/>
      <c r="D997" s="2" t="inlineStr">
        <is>
          <t>Disponible</t>
        </is>
      </c>
      <c r="E997" s="2" t="inlineStr"/>
    </row>
    <row r="998">
      <c r="A998" s="2" t="inlineStr">
        <is>
          <t>ZAPC-416</t>
        </is>
      </c>
      <c r="B998" s="2" t="inlineStr"/>
      <c r="C998" s="2" t="inlineStr"/>
      <c r="D998" s="2" t="inlineStr">
        <is>
          <t>Disponible</t>
        </is>
      </c>
      <c r="E998" s="2" t="inlineStr"/>
    </row>
    <row r="999">
      <c r="A999" s="2" t="inlineStr">
        <is>
          <t>ZAPC-417</t>
        </is>
      </c>
      <c r="B999" s="2" t="inlineStr"/>
      <c r="C999" s="2" t="inlineStr"/>
      <c r="D999" s="2" t="inlineStr">
        <is>
          <t>Disponible</t>
        </is>
      </c>
      <c r="E999" s="2" t="inlineStr"/>
    </row>
    <row r="1000">
      <c r="A1000" s="2" t="inlineStr">
        <is>
          <t>ZAPC-418</t>
        </is>
      </c>
      <c r="B1000" s="2" t="inlineStr"/>
      <c r="C1000" s="2" t="inlineStr"/>
      <c r="D1000" s="2" t="inlineStr">
        <is>
          <t>Disponible</t>
        </is>
      </c>
      <c r="E1000" s="2" t="inlineStr"/>
    </row>
    <row r="1001">
      <c r="A1001" s="2" t="inlineStr">
        <is>
          <t>ZAPC-419</t>
        </is>
      </c>
      <c r="B1001" s="2" t="inlineStr"/>
      <c r="C1001" s="2" t="inlineStr"/>
      <c r="D1001" s="2" t="inlineStr">
        <is>
          <t>Disponible</t>
        </is>
      </c>
      <c r="E1001" s="2" t="inlineStr"/>
    </row>
    <row r="1002">
      <c r="A1002" s="2" t="inlineStr">
        <is>
          <t>ZAPC-420</t>
        </is>
      </c>
      <c r="B1002" s="2" t="inlineStr"/>
      <c r="C1002" s="2" t="inlineStr"/>
      <c r="D1002" s="2" t="inlineStr">
        <is>
          <t>Disponible</t>
        </is>
      </c>
      <c r="E1002" s="2" t="inlineStr"/>
    </row>
    <row r="1003">
      <c r="A1003" s="2" t="inlineStr">
        <is>
          <t>ZAPC-421</t>
        </is>
      </c>
      <c r="B1003" s="2" t="inlineStr"/>
      <c r="C1003" s="2" t="inlineStr"/>
      <c r="D1003" s="2" t="inlineStr">
        <is>
          <t>Disponible</t>
        </is>
      </c>
      <c r="E1003" s="2" t="inlineStr"/>
    </row>
    <row r="1004">
      <c r="A1004" s="2" t="inlineStr">
        <is>
          <t>ZAPC-422</t>
        </is>
      </c>
      <c r="B1004" s="2" t="inlineStr"/>
      <c r="C1004" s="2" t="inlineStr"/>
      <c r="D1004" s="2" t="inlineStr">
        <is>
          <t>Disponible</t>
        </is>
      </c>
      <c r="E1004" s="2" t="inlineStr"/>
    </row>
    <row r="1005">
      <c r="A1005" s="2" t="inlineStr">
        <is>
          <t>ZAPC-423</t>
        </is>
      </c>
      <c r="B1005" s="2" t="inlineStr"/>
      <c r="C1005" s="2" t="inlineStr"/>
      <c r="D1005" s="2" t="inlineStr">
        <is>
          <t>Disponible</t>
        </is>
      </c>
      <c r="E1005" s="2" t="inlineStr"/>
    </row>
    <row r="1006">
      <c r="A1006" s="2" t="inlineStr">
        <is>
          <t>ZAPC-424</t>
        </is>
      </c>
      <c r="B1006" s="2" t="inlineStr"/>
      <c r="C1006" s="2" t="inlineStr"/>
      <c r="D1006" s="2" t="inlineStr">
        <is>
          <t>Disponible</t>
        </is>
      </c>
      <c r="E1006" s="2" t="inlineStr"/>
    </row>
    <row r="1007">
      <c r="A1007" s="2" t="inlineStr">
        <is>
          <t>ZAPC-425</t>
        </is>
      </c>
      <c r="B1007" s="2" t="inlineStr"/>
      <c r="C1007" s="2" t="inlineStr"/>
      <c r="D1007" s="2" t="inlineStr">
        <is>
          <t>Disponible</t>
        </is>
      </c>
      <c r="E1007" s="2" t="inlineStr"/>
    </row>
    <row r="1008">
      <c r="A1008" s="2" t="inlineStr">
        <is>
          <t>ZAPC-426</t>
        </is>
      </c>
      <c r="B1008" s="2" t="inlineStr"/>
      <c r="C1008" s="2" t="inlineStr"/>
      <c r="D1008" s="2" t="inlineStr">
        <is>
          <t>Disponible</t>
        </is>
      </c>
      <c r="E1008" s="2" t="inlineStr"/>
    </row>
    <row r="1009">
      <c r="A1009" s="2" t="inlineStr">
        <is>
          <t>ZAPC-427</t>
        </is>
      </c>
      <c r="B1009" s="2" t="inlineStr"/>
      <c r="C1009" s="2" t="inlineStr"/>
      <c r="D1009" s="2" t="inlineStr">
        <is>
          <t>Disponible</t>
        </is>
      </c>
      <c r="E1009" s="2" t="inlineStr"/>
    </row>
    <row r="1010">
      <c r="A1010" s="2" t="inlineStr">
        <is>
          <t>ZAPC-428</t>
        </is>
      </c>
      <c r="B1010" s="2" t="inlineStr"/>
      <c r="C1010" s="2" t="inlineStr"/>
      <c r="D1010" s="2" t="inlineStr">
        <is>
          <t>Disponible</t>
        </is>
      </c>
      <c r="E1010" s="2" t="inlineStr"/>
    </row>
    <row r="1011">
      <c r="A1011" s="2" t="inlineStr">
        <is>
          <t>ZAPC-429</t>
        </is>
      </c>
      <c r="B1011" s="2" t="inlineStr"/>
      <c r="C1011" s="2" t="inlineStr"/>
      <c r="D1011" s="2" t="inlineStr">
        <is>
          <t>Disponible</t>
        </is>
      </c>
      <c r="E1011" s="2" t="inlineStr"/>
    </row>
    <row r="1012">
      <c r="A1012" s="2" t="inlineStr">
        <is>
          <t>ZAPC-430</t>
        </is>
      </c>
      <c r="B1012" s="2" t="inlineStr"/>
      <c r="C1012" s="2" t="inlineStr"/>
      <c r="D1012" s="2" t="inlineStr">
        <is>
          <t>Disponible</t>
        </is>
      </c>
      <c r="E1012" s="2" t="inlineStr"/>
    </row>
    <row r="1013">
      <c r="A1013" s="2" t="inlineStr">
        <is>
          <t>ZAPC-431</t>
        </is>
      </c>
      <c r="B1013" s="2" t="inlineStr"/>
      <c r="C1013" s="2" t="inlineStr"/>
      <c r="D1013" s="2" t="inlineStr">
        <is>
          <t>Disponible</t>
        </is>
      </c>
      <c r="E1013" s="2" t="inlineStr"/>
    </row>
    <row r="1014">
      <c r="A1014" s="2" t="inlineStr">
        <is>
          <t>ZAPC-432</t>
        </is>
      </c>
      <c r="B1014" s="2" t="inlineStr"/>
      <c r="C1014" s="2" t="inlineStr"/>
      <c r="D1014" s="2" t="inlineStr">
        <is>
          <t>Disponible</t>
        </is>
      </c>
      <c r="E1014" s="2" t="inlineStr"/>
    </row>
    <row r="1015">
      <c r="A1015" s="2" t="inlineStr">
        <is>
          <t>ZAPC-433</t>
        </is>
      </c>
      <c r="B1015" s="2" t="inlineStr"/>
      <c r="C1015" s="2" t="inlineStr"/>
      <c r="D1015" s="2" t="inlineStr">
        <is>
          <t>Disponible</t>
        </is>
      </c>
      <c r="E1015" s="2" t="inlineStr"/>
    </row>
    <row r="1016">
      <c r="A1016" s="2" t="inlineStr">
        <is>
          <t>ZAPC-434</t>
        </is>
      </c>
      <c r="B1016" s="2" t="inlineStr"/>
      <c r="C1016" s="2" t="inlineStr"/>
      <c r="D1016" s="2" t="inlineStr">
        <is>
          <t>Disponible</t>
        </is>
      </c>
      <c r="E1016" s="2" t="inlineStr"/>
    </row>
    <row r="1017">
      <c r="A1017" s="2" t="inlineStr">
        <is>
          <t>ZAPC-435</t>
        </is>
      </c>
      <c r="B1017" s="2" t="inlineStr"/>
      <c r="C1017" s="2" t="inlineStr"/>
      <c r="D1017" s="2" t="inlineStr">
        <is>
          <t>Disponible</t>
        </is>
      </c>
      <c r="E1017" s="2" t="inlineStr"/>
    </row>
    <row r="1018">
      <c r="A1018" s="2" t="inlineStr">
        <is>
          <t>ZAPC-436</t>
        </is>
      </c>
      <c r="B1018" s="2" t="inlineStr"/>
      <c r="C1018" s="2" t="inlineStr"/>
      <c r="D1018" s="2" t="inlineStr">
        <is>
          <t>Disponible</t>
        </is>
      </c>
      <c r="E1018" s="2" t="inlineStr"/>
    </row>
    <row r="1019">
      <c r="A1019" s="2" t="inlineStr">
        <is>
          <t>ZAPC-437</t>
        </is>
      </c>
      <c r="B1019" s="2" t="inlineStr"/>
      <c r="C1019" s="2" t="inlineStr"/>
      <c r="D1019" s="2" t="inlineStr">
        <is>
          <t>Disponible</t>
        </is>
      </c>
      <c r="E1019" s="2" t="inlineStr"/>
    </row>
    <row r="1020">
      <c r="A1020" s="2" t="inlineStr">
        <is>
          <t>ZAPC-438</t>
        </is>
      </c>
      <c r="B1020" s="2" t="inlineStr"/>
      <c r="C1020" s="2" t="inlineStr"/>
      <c r="D1020" s="2" t="inlineStr">
        <is>
          <t>Disponible</t>
        </is>
      </c>
      <c r="E1020" s="2" t="inlineStr"/>
    </row>
    <row r="1021">
      <c r="A1021" s="2" t="inlineStr">
        <is>
          <t>ZAPC-439</t>
        </is>
      </c>
      <c r="B1021" s="2" t="inlineStr"/>
      <c r="C1021" s="2" t="inlineStr"/>
      <c r="D1021" s="2" t="inlineStr">
        <is>
          <t>Disponible</t>
        </is>
      </c>
      <c r="E1021" s="2" t="inlineStr"/>
    </row>
    <row r="1022">
      <c r="A1022" s="2" t="inlineStr">
        <is>
          <t>ZAPC-440</t>
        </is>
      </c>
      <c r="B1022" s="2" t="inlineStr"/>
      <c r="C1022" s="2" t="inlineStr"/>
      <c r="D1022" s="2" t="inlineStr">
        <is>
          <t>Disponible</t>
        </is>
      </c>
      <c r="E1022" s="2" t="inlineStr"/>
    </row>
    <row r="1023">
      <c r="A1023" s="2" t="inlineStr">
        <is>
          <t>ZAPC-441</t>
        </is>
      </c>
      <c r="B1023" s="2" t="inlineStr"/>
      <c r="C1023" s="2" t="inlineStr"/>
      <c r="D1023" s="2" t="inlineStr">
        <is>
          <t>Disponible</t>
        </is>
      </c>
      <c r="E1023" s="2" t="inlineStr"/>
    </row>
    <row r="1024">
      <c r="A1024" s="2" t="inlineStr">
        <is>
          <t>ZAPC-442</t>
        </is>
      </c>
      <c r="B1024" s="2" t="inlineStr"/>
      <c r="C1024" s="2" t="inlineStr"/>
      <c r="D1024" s="2" t="inlineStr">
        <is>
          <t>Disponible</t>
        </is>
      </c>
      <c r="E1024" s="2" t="inlineStr"/>
    </row>
    <row r="1025">
      <c r="A1025" s="2" t="inlineStr">
        <is>
          <t>ZAPC-443</t>
        </is>
      </c>
      <c r="B1025" s="2" t="inlineStr"/>
      <c r="C1025" s="2" t="inlineStr"/>
      <c r="D1025" s="2" t="inlineStr">
        <is>
          <t>Disponible</t>
        </is>
      </c>
      <c r="E1025" s="2" t="inlineStr"/>
    </row>
    <row r="1026">
      <c r="A1026" s="2" t="inlineStr">
        <is>
          <t>ZAPC-444</t>
        </is>
      </c>
      <c r="B1026" s="2" t="inlineStr"/>
      <c r="C1026" s="2" t="inlineStr"/>
      <c r="D1026" s="2" t="inlineStr">
        <is>
          <t>Disponible</t>
        </is>
      </c>
      <c r="E1026" s="2" t="inlineStr"/>
    </row>
    <row r="1027">
      <c r="A1027" s="2" t="inlineStr">
        <is>
          <t>ZAPC-445</t>
        </is>
      </c>
      <c r="B1027" s="2" t="inlineStr"/>
      <c r="C1027" s="2" t="inlineStr"/>
      <c r="D1027" s="2" t="inlineStr">
        <is>
          <t>Disponible</t>
        </is>
      </c>
      <c r="E1027" s="2" t="inlineStr"/>
    </row>
    <row r="1028">
      <c r="A1028" s="2" t="inlineStr">
        <is>
          <t>ZAPC-446</t>
        </is>
      </c>
      <c r="B1028" s="2" t="inlineStr"/>
      <c r="C1028" s="2" t="inlineStr"/>
      <c r="D1028" s="2" t="inlineStr">
        <is>
          <t>Disponible</t>
        </is>
      </c>
      <c r="E1028" s="2" t="inlineStr"/>
    </row>
    <row r="1029">
      <c r="A1029" s="2" t="inlineStr">
        <is>
          <t>ZAPC-447</t>
        </is>
      </c>
      <c r="B1029" s="2" t="inlineStr"/>
      <c r="C1029" s="2" t="inlineStr"/>
      <c r="D1029" s="2" t="inlineStr">
        <is>
          <t>Disponible</t>
        </is>
      </c>
      <c r="E1029" s="2" t="inlineStr"/>
    </row>
    <row r="1030">
      <c r="A1030" s="2" t="inlineStr">
        <is>
          <t>ZAPC-448</t>
        </is>
      </c>
      <c r="B1030" s="2" t="inlineStr"/>
      <c r="C1030" s="2" t="inlineStr"/>
      <c r="D1030" s="2" t="inlineStr">
        <is>
          <t>Disponible</t>
        </is>
      </c>
      <c r="E1030" s="2" t="inlineStr"/>
    </row>
    <row r="1031">
      <c r="A1031" s="2" t="inlineStr">
        <is>
          <t>ZAPC-449</t>
        </is>
      </c>
      <c r="B1031" s="2" t="inlineStr"/>
      <c r="C1031" s="2" t="inlineStr"/>
      <c r="D1031" s="2" t="inlineStr">
        <is>
          <t>Disponible</t>
        </is>
      </c>
      <c r="E1031" s="2" t="inlineStr"/>
    </row>
    <row r="1032">
      <c r="A1032" s="2" t="inlineStr">
        <is>
          <t>ZAPC-450</t>
        </is>
      </c>
      <c r="B1032" s="2" t="inlineStr"/>
      <c r="C1032" s="2" t="inlineStr"/>
      <c r="D1032" s="2" t="inlineStr">
        <is>
          <t>Disponible</t>
        </is>
      </c>
      <c r="E1032" s="2" t="inlineStr"/>
    </row>
    <row r="1033">
      <c r="A1033" s="2" t="inlineStr">
        <is>
          <t>ZAPC-451</t>
        </is>
      </c>
      <c r="B1033" s="2" t="inlineStr"/>
      <c r="C1033" s="2" t="inlineStr"/>
      <c r="D1033" s="2" t="inlineStr">
        <is>
          <t>Disponible</t>
        </is>
      </c>
      <c r="E1033" s="2" t="inlineStr"/>
    </row>
    <row r="1034">
      <c r="A1034" s="2" t="inlineStr">
        <is>
          <t>ZAPC-452</t>
        </is>
      </c>
      <c r="B1034" s="2" t="inlineStr"/>
      <c r="C1034" s="2" t="inlineStr"/>
      <c r="D1034" s="2" t="inlineStr">
        <is>
          <t>Disponible</t>
        </is>
      </c>
      <c r="E1034" s="2" t="inlineStr"/>
    </row>
    <row r="1035">
      <c r="A1035" s="2" t="inlineStr">
        <is>
          <t>ZAPC-453</t>
        </is>
      </c>
      <c r="B1035" s="2" t="inlineStr"/>
      <c r="C1035" s="2" t="inlineStr"/>
      <c r="D1035" s="2" t="inlineStr">
        <is>
          <t>Disponible</t>
        </is>
      </c>
      <c r="E1035" s="2" t="inlineStr"/>
    </row>
    <row r="1036">
      <c r="A1036" s="2" t="inlineStr">
        <is>
          <t>ZAPC-454</t>
        </is>
      </c>
      <c r="B1036" s="2" t="inlineStr"/>
      <c r="C1036" s="2" t="inlineStr"/>
      <c r="D1036" s="2" t="inlineStr">
        <is>
          <t>Disponible</t>
        </is>
      </c>
      <c r="E1036" s="2" t="inlineStr"/>
    </row>
    <row r="1037">
      <c r="A1037" s="2" t="inlineStr">
        <is>
          <t>ZAPC-455</t>
        </is>
      </c>
      <c r="B1037" s="2" t="inlineStr"/>
      <c r="C1037" s="2" t="inlineStr"/>
      <c r="D1037" s="2" t="inlineStr">
        <is>
          <t>Disponible</t>
        </is>
      </c>
      <c r="E1037" s="2" t="inlineStr"/>
    </row>
    <row r="1038">
      <c r="A1038" s="2" t="inlineStr">
        <is>
          <t>ZAPC-456</t>
        </is>
      </c>
      <c r="B1038" s="2" t="inlineStr"/>
      <c r="C1038" s="2" t="inlineStr"/>
      <c r="D1038" s="2" t="inlineStr">
        <is>
          <t>Disponible</t>
        </is>
      </c>
      <c r="E1038" s="2" t="inlineStr"/>
    </row>
    <row r="1039">
      <c r="A1039" s="2" t="inlineStr">
        <is>
          <t>ZAPC-457</t>
        </is>
      </c>
      <c r="B1039" s="2" t="inlineStr"/>
      <c r="C1039" s="2" t="inlineStr"/>
      <c r="D1039" s="2" t="inlineStr">
        <is>
          <t>Disponible</t>
        </is>
      </c>
      <c r="E1039" s="2" t="inlineStr"/>
    </row>
    <row r="1040">
      <c r="A1040" s="2" t="inlineStr">
        <is>
          <t>ZAPC-458</t>
        </is>
      </c>
      <c r="B1040" s="2" t="inlineStr"/>
      <c r="C1040" s="2" t="inlineStr"/>
      <c r="D1040" s="2" t="inlineStr">
        <is>
          <t>Disponible</t>
        </is>
      </c>
      <c r="E1040" s="2" t="inlineStr"/>
    </row>
    <row r="1041">
      <c r="A1041" s="2" t="inlineStr">
        <is>
          <t>ZAPC-459</t>
        </is>
      </c>
      <c r="B1041" s="2" t="inlineStr"/>
      <c r="C1041" s="2" t="inlineStr"/>
      <c r="D1041" s="2" t="inlineStr">
        <is>
          <t>Disponible</t>
        </is>
      </c>
      <c r="E1041" s="2" t="inlineStr"/>
    </row>
    <row r="1042">
      <c r="A1042" s="2" t="inlineStr">
        <is>
          <t>ZAPC-460</t>
        </is>
      </c>
      <c r="B1042" s="2" t="inlineStr"/>
      <c r="C1042" s="2" t="inlineStr"/>
      <c r="D1042" s="2" t="inlineStr">
        <is>
          <t>Disponible</t>
        </is>
      </c>
      <c r="E1042" s="2" t="inlineStr"/>
    </row>
    <row r="1043">
      <c r="A1043" s="2" t="inlineStr">
        <is>
          <t>ZAPC-461</t>
        </is>
      </c>
      <c r="B1043" s="2" t="inlineStr"/>
      <c r="C1043" s="2" t="inlineStr"/>
      <c r="D1043" s="2" t="inlineStr">
        <is>
          <t>Disponible</t>
        </is>
      </c>
      <c r="E1043" s="2" t="inlineStr"/>
    </row>
    <row r="1044">
      <c r="A1044" s="2" t="inlineStr">
        <is>
          <t>ZAPC-462</t>
        </is>
      </c>
      <c r="B1044" s="2" t="inlineStr"/>
      <c r="C1044" s="2" t="inlineStr"/>
      <c r="D1044" s="2" t="inlineStr">
        <is>
          <t>Disponible</t>
        </is>
      </c>
      <c r="E1044" s="2" t="inlineStr"/>
    </row>
    <row r="1045">
      <c r="A1045" s="2" t="inlineStr">
        <is>
          <t>ZAPC-463</t>
        </is>
      </c>
      <c r="B1045" s="2" t="inlineStr"/>
      <c r="C1045" s="2" t="inlineStr"/>
      <c r="D1045" s="2" t="inlineStr">
        <is>
          <t>Disponible</t>
        </is>
      </c>
      <c r="E1045" s="2" t="inlineStr"/>
    </row>
    <row r="1046">
      <c r="A1046" s="2" t="inlineStr">
        <is>
          <t>ZAPC-464</t>
        </is>
      </c>
      <c r="B1046" s="2" t="inlineStr"/>
      <c r="C1046" s="2" t="inlineStr"/>
      <c r="D1046" s="2" t="inlineStr">
        <is>
          <t>Disponible</t>
        </is>
      </c>
      <c r="E1046" s="2" t="inlineStr"/>
    </row>
    <row r="1047">
      <c r="A1047" s="2" t="inlineStr">
        <is>
          <t>ZAPC-465</t>
        </is>
      </c>
      <c r="B1047" s="2" t="inlineStr"/>
      <c r="C1047" s="2" t="inlineStr"/>
      <c r="D1047" s="2" t="inlineStr">
        <is>
          <t>Disponible</t>
        </is>
      </c>
      <c r="E1047" s="2" t="inlineStr"/>
    </row>
    <row r="1048">
      <c r="A1048" s="2" t="inlineStr">
        <is>
          <t>ZAPC-466</t>
        </is>
      </c>
      <c r="B1048" s="2" t="inlineStr"/>
      <c r="C1048" s="2" t="inlineStr"/>
      <c r="D1048" s="2" t="inlineStr">
        <is>
          <t>Disponible</t>
        </is>
      </c>
      <c r="E1048" s="2" t="inlineStr"/>
    </row>
    <row r="1049">
      <c r="A1049" s="2" t="inlineStr">
        <is>
          <t>ZAPC-467</t>
        </is>
      </c>
      <c r="B1049" s="2" t="inlineStr"/>
      <c r="C1049" s="2" t="inlineStr"/>
      <c r="D1049" s="2" t="inlineStr">
        <is>
          <t>Disponible</t>
        </is>
      </c>
      <c r="E1049" s="2" t="inlineStr"/>
    </row>
    <row r="1050">
      <c r="A1050" s="2" t="inlineStr">
        <is>
          <t>ZAPC-468</t>
        </is>
      </c>
      <c r="B1050" s="2" t="inlineStr"/>
      <c r="C1050" s="2" t="inlineStr"/>
      <c r="D1050" s="2" t="inlineStr">
        <is>
          <t>Disponible</t>
        </is>
      </c>
      <c r="E1050" s="2" t="inlineStr"/>
    </row>
    <row r="1051">
      <c r="A1051" s="2" t="inlineStr">
        <is>
          <t>ZAPC-469</t>
        </is>
      </c>
      <c r="B1051" s="2" t="inlineStr"/>
      <c r="C1051" s="2" t="inlineStr"/>
      <c r="D1051" s="2" t="inlineStr">
        <is>
          <t>Disponible</t>
        </is>
      </c>
      <c r="E1051" s="2" t="inlineStr"/>
    </row>
    <row r="1052">
      <c r="A1052" s="2" t="inlineStr">
        <is>
          <t>ZAPC-470</t>
        </is>
      </c>
      <c r="B1052" s="2" t="inlineStr"/>
      <c r="C1052" s="2" t="inlineStr"/>
      <c r="D1052" s="2" t="inlineStr">
        <is>
          <t>Disponible</t>
        </is>
      </c>
      <c r="E1052" s="2" t="inlineStr"/>
    </row>
    <row r="1053">
      <c r="A1053" s="2" t="inlineStr">
        <is>
          <t>ZAPC-471</t>
        </is>
      </c>
      <c r="B1053" s="2" t="inlineStr"/>
      <c r="C1053" s="2" t="inlineStr"/>
      <c r="D1053" s="2" t="inlineStr">
        <is>
          <t>Disponible</t>
        </is>
      </c>
      <c r="E1053" s="2" t="inlineStr"/>
    </row>
    <row r="1054">
      <c r="A1054" s="2" t="inlineStr">
        <is>
          <t>ZAPC-472</t>
        </is>
      </c>
      <c r="B1054" s="2" t="inlineStr"/>
      <c r="C1054" s="2" t="inlineStr"/>
      <c r="D1054" s="2" t="inlineStr">
        <is>
          <t>Disponible</t>
        </is>
      </c>
      <c r="E1054" s="2" t="inlineStr"/>
    </row>
    <row r="1055">
      <c r="A1055" s="2" t="inlineStr">
        <is>
          <t>ZAPC-473</t>
        </is>
      </c>
      <c r="B1055" s="2" t="inlineStr"/>
      <c r="C1055" s="2" t="inlineStr"/>
      <c r="D1055" s="2" t="inlineStr">
        <is>
          <t>Disponible</t>
        </is>
      </c>
      <c r="E1055" s="2" t="inlineStr"/>
    </row>
    <row r="1056">
      <c r="A1056" s="2" t="inlineStr">
        <is>
          <t>ZAPC-474</t>
        </is>
      </c>
      <c r="B1056" s="2" t="inlineStr"/>
      <c r="C1056" s="2" t="inlineStr"/>
      <c r="D1056" s="2" t="inlineStr">
        <is>
          <t>Disponible</t>
        </is>
      </c>
      <c r="E1056" s="2" t="inlineStr"/>
    </row>
    <row r="1057">
      <c r="A1057" s="2" t="inlineStr">
        <is>
          <t>ZAPC-475</t>
        </is>
      </c>
      <c r="B1057" s="2" t="inlineStr"/>
      <c r="C1057" s="2" t="inlineStr"/>
      <c r="D1057" s="2" t="inlineStr">
        <is>
          <t>Disponible</t>
        </is>
      </c>
      <c r="E1057" s="2" t="inlineStr"/>
    </row>
    <row r="1058">
      <c r="A1058" s="2" t="inlineStr">
        <is>
          <t>ZAPC-476</t>
        </is>
      </c>
      <c r="B1058" s="2" t="inlineStr"/>
      <c r="C1058" s="2" t="inlineStr"/>
      <c r="D1058" s="2" t="inlineStr">
        <is>
          <t>Disponible</t>
        </is>
      </c>
      <c r="E1058" s="2" t="inlineStr"/>
    </row>
    <row r="1059">
      <c r="A1059" s="2" t="inlineStr">
        <is>
          <t>ZAPC-477</t>
        </is>
      </c>
      <c r="B1059" s="2" t="inlineStr"/>
      <c r="C1059" s="2" t="inlineStr"/>
      <c r="D1059" s="2" t="inlineStr">
        <is>
          <t>Disponible</t>
        </is>
      </c>
      <c r="E1059" s="2" t="inlineStr"/>
    </row>
    <row r="1060">
      <c r="A1060" s="2" t="inlineStr">
        <is>
          <t>ZAPC-478</t>
        </is>
      </c>
      <c r="B1060" s="2" t="inlineStr"/>
      <c r="C1060" s="2" t="inlineStr"/>
      <c r="D1060" s="2" t="inlineStr">
        <is>
          <t>Disponible</t>
        </is>
      </c>
      <c r="E1060" s="2" t="inlineStr"/>
    </row>
    <row r="1061">
      <c r="A1061" s="2" t="inlineStr">
        <is>
          <t>ZAPC-479</t>
        </is>
      </c>
      <c r="B1061" s="2" t="inlineStr"/>
      <c r="C1061" s="2" t="inlineStr"/>
      <c r="D1061" s="2" t="inlineStr">
        <is>
          <t>Disponible</t>
        </is>
      </c>
      <c r="E1061" s="2" t="inlineStr"/>
    </row>
    <row r="1062">
      <c r="A1062" s="2" t="inlineStr">
        <is>
          <t>ZAPC-480</t>
        </is>
      </c>
      <c r="B1062" s="2" t="inlineStr"/>
      <c r="C1062" s="2" t="inlineStr"/>
      <c r="D1062" s="2" t="inlineStr">
        <is>
          <t>Disponible</t>
        </is>
      </c>
      <c r="E1062" s="2" t="inlineStr"/>
    </row>
    <row r="1063">
      <c r="A1063" s="2" t="inlineStr">
        <is>
          <t>ZAPC-481</t>
        </is>
      </c>
      <c r="B1063" s="2" t="inlineStr"/>
      <c r="C1063" s="2" t="inlineStr"/>
      <c r="D1063" s="2" t="inlineStr">
        <is>
          <t>Disponible</t>
        </is>
      </c>
      <c r="E1063" s="2" t="inlineStr"/>
    </row>
    <row r="1064">
      <c r="A1064" s="2" t="inlineStr">
        <is>
          <t>ZAPC-482</t>
        </is>
      </c>
      <c r="B1064" s="2" t="inlineStr"/>
      <c r="C1064" s="2" t="inlineStr"/>
      <c r="D1064" s="2" t="inlineStr">
        <is>
          <t>Disponible</t>
        </is>
      </c>
      <c r="E1064" s="2" t="inlineStr"/>
    </row>
    <row r="1065">
      <c r="A1065" s="2" t="inlineStr">
        <is>
          <t>ZAPC-483</t>
        </is>
      </c>
      <c r="B1065" s="2" t="inlineStr"/>
      <c r="C1065" s="2" t="inlineStr"/>
      <c r="D1065" s="2" t="inlineStr">
        <is>
          <t>Disponible</t>
        </is>
      </c>
      <c r="E1065" s="2" t="inlineStr"/>
    </row>
    <row r="1066">
      <c r="A1066" s="2" t="inlineStr">
        <is>
          <t>ZAPC-484</t>
        </is>
      </c>
      <c r="B1066" s="2" t="inlineStr"/>
      <c r="C1066" s="2" t="inlineStr"/>
      <c r="D1066" s="2" t="inlineStr">
        <is>
          <t>Disponible</t>
        </is>
      </c>
      <c r="E1066" s="2" t="inlineStr"/>
    </row>
    <row r="1067">
      <c r="A1067" s="2" t="inlineStr">
        <is>
          <t>ZAPC-485</t>
        </is>
      </c>
      <c r="B1067" s="2" t="inlineStr"/>
      <c r="C1067" s="2" t="inlineStr"/>
      <c r="D1067" s="2" t="inlineStr">
        <is>
          <t>Disponible</t>
        </is>
      </c>
      <c r="E1067" s="2" t="inlineStr"/>
    </row>
    <row r="1068">
      <c r="A1068" s="2" t="inlineStr">
        <is>
          <t>ZAPC-486</t>
        </is>
      </c>
      <c r="B1068" s="2" t="inlineStr"/>
      <c r="C1068" s="2" t="inlineStr"/>
      <c r="D1068" s="2" t="inlineStr">
        <is>
          <t>Disponible</t>
        </is>
      </c>
      <c r="E1068" s="2" t="inlineStr"/>
    </row>
    <row r="1069">
      <c r="A1069" s="2" t="inlineStr">
        <is>
          <t>ZAPC-487</t>
        </is>
      </c>
      <c r="B1069" s="2" t="inlineStr"/>
      <c r="C1069" s="2" t="inlineStr"/>
      <c r="D1069" s="2" t="inlineStr">
        <is>
          <t>Disponible</t>
        </is>
      </c>
      <c r="E1069" s="2" t="inlineStr"/>
    </row>
    <row r="1070">
      <c r="A1070" s="2" t="inlineStr">
        <is>
          <t>ZAPC-488</t>
        </is>
      </c>
      <c r="B1070" s="2" t="inlineStr"/>
      <c r="C1070" s="2" t="inlineStr"/>
      <c r="D1070" s="2" t="inlineStr">
        <is>
          <t>Disponible</t>
        </is>
      </c>
      <c r="E1070" s="2" t="inlineStr"/>
    </row>
    <row r="1071">
      <c r="A1071" s="2" t="inlineStr">
        <is>
          <t>ZAPC-489</t>
        </is>
      </c>
      <c r="B1071" s="2" t="inlineStr"/>
      <c r="C1071" s="2" t="inlineStr"/>
      <c r="D1071" s="2" t="inlineStr">
        <is>
          <t>Disponible</t>
        </is>
      </c>
      <c r="E1071" s="2" t="inlineStr"/>
    </row>
    <row r="1072">
      <c r="A1072" s="2" t="inlineStr">
        <is>
          <t>ZAPC-490</t>
        </is>
      </c>
      <c r="B1072" s="2" t="inlineStr"/>
      <c r="C1072" s="2" t="inlineStr"/>
      <c r="D1072" s="2" t="inlineStr">
        <is>
          <t>Disponible</t>
        </is>
      </c>
      <c r="E1072" s="2" t="inlineStr"/>
    </row>
    <row r="1073">
      <c r="A1073" s="2" t="inlineStr">
        <is>
          <t>ZAPC-491</t>
        </is>
      </c>
      <c r="B1073" s="2" t="inlineStr"/>
      <c r="C1073" s="2" t="inlineStr"/>
      <c r="D1073" s="2" t="inlineStr">
        <is>
          <t>Disponible</t>
        </is>
      </c>
      <c r="E1073" s="2" t="inlineStr"/>
    </row>
    <row r="1074">
      <c r="A1074" s="2" t="inlineStr">
        <is>
          <t>ZAPC-492</t>
        </is>
      </c>
      <c r="B1074" s="2" t="inlineStr"/>
      <c r="C1074" s="2" t="inlineStr"/>
      <c r="D1074" s="2" t="inlineStr">
        <is>
          <t>Disponible</t>
        </is>
      </c>
      <c r="E1074" s="2" t="inlineStr"/>
    </row>
    <row r="1075">
      <c r="A1075" s="2" t="inlineStr">
        <is>
          <t>ZAPC-493</t>
        </is>
      </c>
      <c r="B1075" s="2" t="inlineStr"/>
      <c r="C1075" s="2" t="inlineStr"/>
      <c r="D1075" s="2" t="inlineStr">
        <is>
          <t>Disponible</t>
        </is>
      </c>
      <c r="E1075" s="2" t="inlineStr"/>
    </row>
    <row r="1076">
      <c r="A1076" s="2" t="inlineStr">
        <is>
          <t>ZAPC-494</t>
        </is>
      </c>
      <c r="B1076" s="2" t="inlineStr"/>
      <c r="C1076" s="2" t="inlineStr"/>
      <c r="D1076" s="2" t="inlineStr">
        <is>
          <t>Disponible</t>
        </is>
      </c>
      <c r="E1076" s="2" t="inlineStr"/>
    </row>
    <row r="1077">
      <c r="A1077" s="2" t="inlineStr">
        <is>
          <t>ZAPC-495</t>
        </is>
      </c>
      <c r="B1077" s="2" t="inlineStr"/>
      <c r="C1077" s="2" t="inlineStr"/>
      <c r="D1077" s="2" t="inlineStr">
        <is>
          <t>Disponible</t>
        </is>
      </c>
      <c r="E1077" s="2" t="inlineStr"/>
    </row>
    <row r="1078">
      <c r="A1078" s="2" t="inlineStr">
        <is>
          <t>ZAPC-496</t>
        </is>
      </c>
      <c r="B1078" s="2" t="inlineStr"/>
      <c r="C1078" s="2" t="inlineStr"/>
      <c r="D1078" s="2" t="inlineStr">
        <is>
          <t>Disponible</t>
        </is>
      </c>
      <c r="E1078" s="2" t="inlineStr"/>
    </row>
    <row r="1079">
      <c r="A1079" s="2" t="inlineStr">
        <is>
          <t>ZAPC-497</t>
        </is>
      </c>
      <c r="B1079" s="2" t="inlineStr"/>
      <c r="C1079" s="2" t="inlineStr"/>
      <c r="D1079" s="2" t="inlineStr">
        <is>
          <t>Disponible</t>
        </is>
      </c>
      <c r="E1079" s="2" t="inlineStr"/>
    </row>
    <row r="1080">
      <c r="A1080" s="2" t="inlineStr">
        <is>
          <t>ZAPC-498</t>
        </is>
      </c>
      <c r="B1080" s="2" t="inlineStr"/>
      <c r="C1080" s="2" t="inlineStr"/>
      <c r="D1080" s="2" t="inlineStr">
        <is>
          <t>Disponible</t>
        </is>
      </c>
      <c r="E1080" s="2" t="inlineStr"/>
    </row>
    <row r="1081">
      <c r="A1081" s="2" t="inlineStr">
        <is>
          <t>ZAPC-499</t>
        </is>
      </c>
      <c r="B1081" s="2" t="inlineStr"/>
      <c r="C1081" s="2" t="inlineStr"/>
      <c r="D1081" s="2" t="inlineStr">
        <is>
          <t>Disponible</t>
        </is>
      </c>
      <c r="E1081" s="2" t="inlineStr"/>
    </row>
    <row r="1082">
      <c r="A1082" s="2" t="inlineStr">
        <is>
          <t>ZAPC-500</t>
        </is>
      </c>
      <c r="B1082" s="2" t="inlineStr"/>
      <c r="C1082" s="2" t="inlineStr"/>
      <c r="D1082" s="2" t="inlineStr">
        <is>
          <t>Disponible</t>
        </is>
      </c>
      <c r="E1082" s="2" t="inlineStr"/>
    </row>
    <row r="1083">
      <c r="A1083" s="2" t="inlineStr">
        <is>
          <t>ZAPC-501</t>
        </is>
      </c>
      <c r="B1083" s="2" t="inlineStr"/>
      <c r="C1083" s="2" t="inlineStr"/>
      <c r="D1083" s="2" t="inlineStr">
        <is>
          <t>Disponible</t>
        </is>
      </c>
      <c r="E1083" s="2" t="inlineStr"/>
    </row>
    <row r="1084">
      <c r="A1084" s="2" t="inlineStr">
        <is>
          <t>ZAPC-502</t>
        </is>
      </c>
      <c r="B1084" s="2" t="inlineStr"/>
      <c r="C1084" s="2" t="inlineStr"/>
      <c r="D1084" s="2" t="inlineStr">
        <is>
          <t>Disponible</t>
        </is>
      </c>
      <c r="E1084" s="2" t="inlineStr"/>
    </row>
    <row r="1085">
      <c r="A1085" s="2" t="inlineStr">
        <is>
          <t>ZAPC-503</t>
        </is>
      </c>
      <c r="B1085" s="2" t="inlineStr"/>
      <c r="C1085" s="2" t="inlineStr"/>
      <c r="D1085" s="2" t="inlineStr">
        <is>
          <t>Disponible</t>
        </is>
      </c>
      <c r="E1085" s="2" t="inlineStr"/>
    </row>
    <row r="1086">
      <c r="A1086" s="2" t="inlineStr">
        <is>
          <t>ZAPC-504</t>
        </is>
      </c>
      <c r="B1086" s="2" t="inlineStr"/>
      <c r="C1086" s="2" t="inlineStr"/>
      <c r="D1086" s="2" t="inlineStr">
        <is>
          <t>Disponible</t>
        </is>
      </c>
      <c r="E1086" s="2" t="inlineStr"/>
    </row>
    <row r="1087">
      <c r="A1087" s="2" t="inlineStr">
        <is>
          <t>ZAPC-505</t>
        </is>
      </c>
      <c r="B1087" s="2" t="inlineStr"/>
      <c r="C1087" s="2" t="inlineStr"/>
      <c r="D1087" s="2" t="inlineStr">
        <is>
          <t>Disponible</t>
        </is>
      </c>
      <c r="E1087" s="2" t="inlineStr"/>
    </row>
    <row r="1088">
      <c r="A1088" s="2" t="inlineStr">
        <is>
          <t>ZAPC-506</t>
        </is>
      </c>
      <c r="B1088" s="2" t="inlineStr"/>
      <c r="C1088" s="2" t="inlineStr"/>
      <c r="D1088" s="2" t="inlineStr">
        <is>
          <t>Disponible</t>
        </is>
      </c>
      <c r="E1088" s="2" t="inlineStr"/>
    </row>
    <row r="1089">
      <c r="A1089" s="2" t="inlineStr">
        <is>
          <t>ZAPC-507</t>
        </is>
      </c>
      <c r="B1089" s="2" t="inlineStr"/>
      <c r="C1089" s="2" t="inlineStr"/>
      <c r="D1089" s="2" t="inlineStr">
        <is>
          <t>Disponible</t>
        </is>
      </c>
      <c r="E1089" s="2" t="inlineStr"/>
    </row>
    <row r="1090">
      <c r="A1090" s="2" t="inlineStr">
        <is>
          <t>ZAPC-508</t>
        </is>
      </c>
      <c r="B1090" s="2" t="inlineStr"/>
      <c r="C1090" s="2" t="inlineStr"/>
      <c r="D1090" s="2" t="inlineStr">
        <is>
          <t>Disponible</t>
        </is>
      </c>
      <c r="E1090" s="2" t="inlineStr"/>
    </row>
    <row r="1091">
      <c r="A1091" s="2" t="inlineStr">
        <is>
          <t>ZAPC-509</t>
        </is>
      </c>
      <c r="B1091" s="2" t="inlineStr"/>
      <c r="C1091" s="2" t="inlineStr"/>
      <c r="D1091" s="2" t="inlineStr">
        <is>
          <t>Disponible</t>
        </is>
      </c>
      <c r="E1091" s="2" t="inlineStr"/>
    </row>
    <row r="1092">
      <c r="A1092" s="2" t="inlineStr">
        <is>
          <t>ZAPC-510</t>
        </is>
      </c>
      <c r="B1092" s="2" t="inlineStr"/>
      <c r="C1092" s="2" t="inlineStr"/>
      <c r="D1092" s="2" t="inlineStr">
        <is>
          <t>Disponible</t>
        </is>
      </c>
      <c r="E1092" s="2" t="inlineStr"/>
    </row>
    <row r="1093">
      <c r="A1093" s="2" t="inlineStr">
        <is>
          <t>ZAPC-511</t>
        </is>
      </c>
      <c r="B1093" s="2" t="inlineStr"/>
      <c r="C1093" s="2" t="inlineStr"/>
      <c r="D1093" s="2" t="inlineStr">
        <is>
          <t>Disponible</t>
        </is>
      </c>
      <c r="E1093" s="2" t="inlineStr"/>
    </row>
    <row r="1094">
      <c r="A1094" s="2" t="inlineStr">
        <is>
          <t>ZAPC-512</t>
        </is>
      </c>
      <c r="B1094" s="2" t="inlineStr"/>
      <c r="C1094" s="2" t="inlineStr"/>
      <c r="D1094" s="2" t="inlineStr">
        <is>
          <t>Disponible</t>
        </is>
      </c>
      <c r="E1094" s="2" t="inlineStr"/>
    </row>
    <row r="1095">
      <c r="A1095" s="2" t="inlineStr">
        <is>
          <t>ZAPC-513</t>
        </is>
      </c>
      <c r="B1095" s="2" t="inlineStr"/>
      <c r="C1095" s="2" t="inlineStr"/>
      <c r="D1095" s="2" t="inlineStr">
        <is>
          <t>Disponible</t>
        </is>
      </c>
      <c r="E1095" s="2" t="inlineStr"/>
    </row>
    <row r="1096">
      <c r="A1096" s="2" t="inlineStr">
        <is>
          <t>ZAPC-514</t>
        </is>
      </c>
      <c r="B1096" s="2" t="inlineStr"/>
      <c r="C1096" s="2" t="inlineStr"/>
      <c r="D1096" s="2" t="inlineStr">
        <is>
          <t>Disponible</t>
        </is>
      </c>
      <c r="E1096" s="2" t="inlineStr"/>
    </row>
    <row r="1097">
      <c r="A1097" s="2" t="inlineStr">
        <is>
          <t>ZAPC-515</t>
        </is>
      </c>
      <c r="B1097" s="2" t="inlineStr"/>
      <c r="C1097" s="2" t="inlineStr"/>
      <c r="D1097" s="2" t="inlineStr">
        <is>
          <t>Disponible</t>
        </is>
      </c>
      <c r="E1097" s="2" t="inlineStr"/>
    </row>
    <row r="1098">
      <c r="A1098" s="2" t="inlineStr">
        <is>
          <t>ZAPC-516</t>
        </is>
      </c>
      <c r="B1098" s="2" t="inlineStr"/>
      <c r="C1098" s="2" t="inlineStr"/>
      <c r="D1098" s="2" t="inlineStr">
        <is>
          <t>Disponible</t>
        </is>
      </c>
      <c r="E1098" s="2" t="inlineStr"/>
    </row>
    <row r="1099">
      <c r="A1099" s="2" t="inlineStr">
        <is>
          <t>ZAPC-517</t>
        </is>
      </c>
      <c r="B1099" s="2" t="inlineStr"/>
      <c r="C1099" s="2" t="inlineStr"/>
      <c r="D1099" s="2" t="inlineStr">
        <is>
          <t>Disponible</t>
        </is>
      </c>
      <c r="E1099" s="2" t="inlineStr"/>
    </row>
    <row r="1100">
      <c r="A1100" s="2" t="inlineStr">
        <is>
          <t>ZAPC-518</t>
        </is>
      </c>
      <c r="B1100" s="2" t="inlineStr"/>
      <c r="C1100" s="2" t="inlineStr"/>
      <c r="D1100" s="2" t="inlineStr">
        <is>
          <t>Disponible</t>
        </is>
      </c>
      <c r="E1100" s="2" t="inlineStr"/>
    </row>
    <row r="1101">
      <c r="A1101" s="2" t="inlineStr">
        <is>
          <t>ZAPC-519</t>
        </is>
      </c>
      <c r="B1101" s="2" t="inlineStr"/>
      <c r="C1101" s="2" t="inlineStr"/>
      <c r="D1101" s="2" t="inlineStr">
        <is>
          <t>Disponible</t>
        </is>
      </c>
      <c r="E1101" s="2" t="inlineStr"/>
    </row>
    <row r="1102">
      <c r="A1102" s="2" t="inlineStr">
        <is>
          <t>ZAPC-520</t>
        </is>
      </c>
      <c r="B1102" s="2" t="inlineStr"/>
      <c r="C1102" s="2" t="inlineStr"/>
      <c r="D1102" s="2" t="inlineStr">
        <is>
          <t>Disponible</t>
        </is>
      </c>
      <c r="E1102" s="2" t="inlineStr"/>
    </row>
    <row r="1103">
      <c r="A1103" s="2" t="inlineStr">
        <is>
          <t>ZAPC-521</t>
        </is>
      </c>
      <c r="B1103" s="2" t="inlineStr"/>
      <c r="C1103" s="2" t="inlineStr"/>
      <c r="D1103" s="2" t="inlineStr">
        <is>
          <t>Disponible</t>
        </is>
      </c>
      <c r="E1103" s="2" t="inlineStr"/>
    </row>
    <row r="1104">
      <c r="A1104" s="2" t="inlineStr">
        <is>
          <t>ZAPC-522</t>
        </is>
      </c>
      <c r="B1104" s="2" t="inlineStr"/>
      <c r="C1104" s="2" t="inlineStr"/>
      <c r="D1104" s="2" t="inlineStr">
        <is>
          <t>Disponible</t>
        </is>
      </c>
      <c r="E1104" s="2" t="inlineStr"/>
    </row>
    <row r="1105">
      <c r="A1105" s="2" t="inlineStr">
        <is>
          <t>ZAPC-523</t>
        </is>
      </c>
      <c r="B1105" s="2" t="inlineStr"/>
      <c r="C1105" s="2" t="inlineStr"/>
      <c r="D1105" s="2" t="inlineStr">
        <is>
          <t>Disponible</t>
        </is>
      </c>
      <c r="E1105" s="2" t="inlineStr"/>
    </row>
    <row r="1106">
      <c r="A1106" s="2" t="inlineStr">
        <is>
          <t>ZAPC-524</t>
        </is>
      </c>
      <c r="B1106" s="2" t="inlineStr"/>
      <c r="C1106" s="2" t="inlineStr"/>
      <c r="D1106" s="2" t="inlineStr">
        <is>
          <t>Disponible</t>
        </is>
      </c>
      <c r="E1106" s="2" t="inlineStr"/>
    </row>
    <row r="1107">
      <c r="A1107" s="2" t="inlineStr">
        <is>
          <t>ZAPC-525</t>
        </is>
      </c>
      <c r="B1107" s="2" t="inlineStr"/>
      <c r="C1107" s="2" t="inlineStr"/>
      <c r="D1107" s="2" t="inlineStr">
        <is>
          <t>Disponible</t>
        </is>
      </c>
      <c r="E1107" s="2" t="inlineStr"/>
    </row>
    <row r="1108">
      <c r="A1108" s="2" t="inlineStr">
        <is>
          <t>ZAPC-526</t>
        </is>
      </c>
      <c r="B1108" s="2" t="inlineStr"/>
      <c r="C1108" s="2" t="inlineStr"/>
      <c r="D1108" s="2" t="inlineStr">
        <is>
          <t>Disponible</t>
        </is>
      </c>
      <c r="E1108" s="2" t="inlineStr"/>
    </row>
    <row r="1109">
      <c r="A1109" s="2" t="inlineStr">
        <is>
          <t>ZAPC-527</t>
        </is>
      </c>
      <c r="B1109" s="2" t="inlineStr"/>
      <c r="C1109" s="2" t="inlineStr"/>
      <c r="D1109" s="2" t="inlineStr">
        <is>
          <t>Disponible</t>
        </is>
      </c>
      <c r="E1109" s="2" t="inlineStr"/>
    </row>
    <row r="1110">
      <c r="A1110" s="2" t="inlineStr">
        <is>
          <t>ZAPC-528</t>
        </is>
      </c>
      <c r="B1110" s="2" t="inlineStr"/>
      <c r="C1110" s="2" t="inlineStr"/>
      <c r="D1110" s="2" t="inlineStr">
        <is>
          <t>Disponible</t>
        </is>
      </c>
      <c r="E1110" s="2" t="inlineStr"/>
    </row>
    <row r="1111">
      <c r="A1111" s="2" t="inlineStr">
        <is>
          <t>ZAPC-529</t>
        </is>
      </c>
      <c r="B1111" s="2" t="inlineStr"/>
      <c r="C1111" s="2" t="inlineStr"/>
      <c r="D1111" s="2" t="inlineStr">
        <is>
          <t>Disponible</t>
        </is>
      </c>
      <c r="E1111" s="2" t="inlineStr"/>
    </row>
    <row r="1112">
      <c r="A1112" s="2" t="inlineStr">
        <is>
          <t>ZAPC-530</t>
        </is>
      </c>
      <c r="B1112" s="2" t="inlineStr"/>
      <c r="C1112" s="2" t="inlineStr"/>
      <c r="D1112" s="2" t="inlineStr">
        <is>
          <t>Disponible</t>
        </is>
      </c>
      <c r="E1112" s="2" t="inlineStr"/>
    </row>
    <row r="1113">
      <c r="A1113" s="2" t="inlineStr">
        <is>
          <t>ZAPC-531</t>
        </is>
      </c>
      <c r="B1113" s="2" t="inlineStr"/>
      <c r="C1113" s="2" t="inlineStr"/>
      <c r="D1113" s="2" t="inlineStr">
        <is>
          <t>Disponible</t>
        </is>
      </c>
      <c r="E1113" s="2" t="inlineStr"/>
    </row>
    <row r="1114">
      <c r="A1114" s="2" t="inlineStr">
        <is>
          <t>ZAPC-532</t>
        </is>
      </c>
      <c r="B1114" s="2" t="inlineStr"/>
      <c r="C1114" s="2" t="inlineStr"/>
      <c r="D1114" s="2" t="inlineStr">
        <is>
          <t>Disponible</t>
        </is>
      </c>
      <c r="E1114" s="2" t="inlineStr"/>
    </row>
    <row r="1115">
      <c r="A1115" s="2" t="inlineStr">
        <is>
          <t>ZAPC-533</t>
        </is>
      </c>
      <c r="B1115" s="2" t="inlineStr"/>
      <c r="C1115" s="2" t="inlineStr"/>
      <c r="D1115" s="2" t="inlineStr">
        <is>
          <t>Disponible</t>
        </is>
      </c>
      <c r="E1115" s="2" t="inlineStr"/>
    </row>
    <row r="1116">
      <c r="A1116" s="2" t="inlineStr">
        <is>
          <t>ZAPC-534</t>
        </is>
      </c>
      <c r="B1116" s="2" t="inlineStr"/>
      <c r="C1116" s="2" t="inlineStr"/>
      <c r="D1116" s="2" t="inlineStr">
        <is>
          <t>Disponible</t>
        </is>
      </c>
      <c r="E1116" s="2" t="inlineStr"/>
    </row>
    <row r="1117">
      <c r="A1117" s="2" t="inlineStr">
        <is>
          <t>ZAPC-535</t>
        </is>
      </c>
      <c r="B1117" s="2" t="inlineStr"/>
      <c r="C1117" s="2" t="inlineStr"/>
      <c r="D1117" s="2" t="inlineStr">
        <is>
          <t>Disponible</t>
        </is>
      </c>
      <c r="E1117" s="2" t="inlineStr"/>
    </row>
    <row r="1118">
      <c r="A1118" s="2" t="inlineStr">
        <is>
          <t>ZAPC-536</t>
        </is>
      </c>
      <c r="B1118" s="2" t="inlineStr"/>
      <c r="C1118" s="2" t="inlineStr"/>
      <c r="D1118" s="2" t="inlineStr">
        <is>
          <t>Disponible</t>
        </is>
      </c>
      <c r="E1118" s="2" t="inlineStr"/>
    </row>
    <row r="1119">
      <c r="A1119" s="2" t="inlineStr">
        <is>
          <t>ZAPC-537</t>
        </is>
      </c>
      <c r="B1119" s="2" t="inlineStr"/>
      <c r="C1119" s="2" t="inlineStr"/>
      <c r="D1119" s="2" t="inlineStr">
        <is>
          <t>Disponible</t>
        </is>
      </c>
      <c r="E1119" s="2" t="inlineStr"/>
    </row>
    <row r="1120">
      <c r="A1120" s="2" t="inlineStr">
        <is>
          <t>ZAPC-538</t>
        </is>
      </c>
      <c r="B1120" s="2" t="inlineStr"/>
      <c r="C1120" s="2" t="inlineStr"/>
      <c r="D1120" s="2" t="inlineStr">
        <is>
          <t>Disponible</t>
        </is>
      </c>
      <c r="E1120" s="2" t="inlineStr"/>
    </row>
    <row r="1121">
      <c r="A1121" s="2" t="inlineStr">
        <is>
          <t>ZAPC-539</t>
        </is>
      </c>
      <c r="B1121" s="2" t="inlineStr"/>
      <c r="C1121" s="2" t="inlineStr"/>
      <c r="D1121" s="2" t="inlineStr">
        <is>
          <t>Disponible</t>
        </is>
      </c>
      <c r="E1121" s="2" t="inlineStr"/>
    </row>
    <row r="1122">
      <c r="A1122" s="2" t="inlineStr">
        <is>
          <t>ZAPC-540</t>
        </is>
      </c>
      <c r="B1122" s="2" t="inlineStr"/>
      <c r="C1122" s="2" t="inlineStr"/>
      <c r="D1122" s="2" t="inlineStr">
        <is>
          <t>Disponible</t>
        </is>
      </c>
      <c r="E1122" s="2" t="inlineStr"/>
    </row>
    <row r="1123">
      <c r="A1123" s="2" t="inlineStr">
        <is>
          <t>ZAPC-541</t>
        </is>
      </c>
      <c r="B1123" s="2" t="inlineStr"/>
      <c r="C1123" s="2" t="inlineStr"/>
      <c r="D1123" s="2" t="inlineStr">
        <is>
          <t>Disponible</t>
        </is>
      </c>
      <c r="E1123" s="2" t="inlineStr"/>
    </row>
    <row r="1124">
      <c r="A1124" s="2" t="inlineStr">
        <is>
          <t>ZAPC-542</t>
        </is>
      </c>
      <c r="B1124" s="2" t="inlineStr"/>
      <c r="C1124" s="2" t="inlineStr"/>
      <c r="D1124" s="2" t="inlineStr">
        <is>
          <t>Disponible</t>
        </is>
      </c>
      <c r="E1124" s="2" t="inlineStr"/>
    </row>
    <row r="1125">
      <c r="A1125" s="2" t="inlineStr">
        <is>
          <t>ZAPC-543</t>
        </is>
      </c>
      <c r="B1125" s="2" t="inlineStr"/>
      <c r="C1125" s="2" t="inlineStr"/>
      <c r="D1125" s="2" t="inlineStr">
        <is>
          <t>Disponible</t>
        </is>
      </c>
      <c r="E1125" s="2" t="inlineStr"/>
    </row>
    <row r="1126">
      <c r="A1126" s="2" t="inlineStr">
        <is>
          <t>ZAPC-544</t>
        </is>
      </c>
      <c r="B1126" s="2" t="inlineStr"/>
      <c r="C1126" s="2" t="inlineStr"/>
      <c r="D1126" s="2" t="inlineStr">
        <is>
          <t>Disponible</t>
        </is>
      </c>
      <c r="E1126" s="2" t="inlineStr"/>
    </row>
    <row r="1127">
      <c r="A1127" s="2" t="inlineStr">
        <is>
          <t>ZAPC-545</t>
        </is>
      </c>
      <c r="B1127" s="2" t="inlineStr"/>
      <c r="C1127" s="2" t="inlineStr"/>
      <c r="D1127" s="2" t="inlineStr">
        <is>
          <t>Disponible</t>
        </is>
      </c>
      <c r="E1127" s="2" t="inlineStr"/>
    </row>
    <row r="1128">
      <c r="A1128" s="2" t="inlineStr">
        <is>
          <t>ZAPC-546</t>
        </is>
      </c>
      <c r="B1128" s="2" t="inlineStr"/>
      <c r="C1128" s="2" t="inlineStr"/>
      <c r="D1128" s="2" t="inlineStr">
        <is>
          <t>Disponible</t>
        </is>
      </c>
      <c r="E1128" s="2" t="inlineStr"/>
    </row>
    <row r="1129">
      <c r="A1129" s="2" t="inlineStr">
        <is>
          <t>ZAPC-547</t>
        </is>
      </c>
      <c r="B1129" s="2" t="inlineStr"/>
      <c r="C1129" s="2" t="inlineStr"/>
      <c r="D1129" s="2" t="inlineStr">
        <is>
          <t>Disponible</t>
        </is>
      </c>
      <c r="E1129" s="2" t="inlineStr"/>
    </row>
    <row r="1130">
      <c r="A1130" s="2" t="inlineStr">
        <is>
          <t>ZAPC-548</t>
        </is>
      </c>
      <c r="B1130" s="2" t="inlineStr"/>
      <c r="C1130" s="2" t="inlineStr"/>
      <c r="D1130" s="2" t="inlineStr">
        <is>
          <t>Disponible</t>
        </is>
      </c>
      <c r="E1130" s="2" t="inlineStr"/>
    </row>
    <row r="1131">
      <c r="A1131" s="2" t="inlineStr">
        <is>
          <t>ZAPC-549</t>
        </is>
      </c>
      <c r="B1131" s="2" t="inlineStr"/>
      <c r="C1131" s="2" t="inlineStr"/>
      <c r="D1131" s="2" t="inlineStr">
        <is>
          <t>Disponible</t>
        </is>
      </c>
      <c r="E1131" s="2" t="inlineStr"/>
    </row>
    <row r="1132">
      <c r="A1132" s="2" t="inlineStr">
        <is>
          <t>ZAPC-550</t>
        </is>
      </c>
      <c r="B1132" s="2" t="inlineStr"/>
      <c r="C1132" s="2" t="inlineStr"/>
      <c r="D1132" s="2" t="inlineStr">
        <is>
          <t>Disponible</t>
        </is>
      </c>
      <c r="E1132" s="2" t="inlineStr"/>
    </row>
    <row r="1133">
      <c r="A1133" s="2" t="inlineStr">
        <is>
          <t>ZAPC-551</t>
        </is>
      </c>
      <c r="B1133" s="2" t="inlineStr"/>
      <c r="C1133" s="2" t="inlineStr"/>
      <c r="D1133" s="2" t="inlineStr">
        <is>
          <t>Disponible</t>
        </is>
      </c>
      <c r="E1133" s="2" t="inlineStr"/>
    </row>
    <row r="1134">
      <c r="A1134" s="2" t="inlineStr">
        <is>
          <t>ZAPC-552</t>
        </is>
      </c>
      <c r="B1134" s="2" t="inlineStr"/>
      <c r="C1134" s="2" t="inlineStr"/>
      <c r="D1134" s="2" t="inlineStr">
        <is>
          <t>Disponible</t>
        </is>
      </c>
      <c r="E1134" s="2" t="inlineStr"/>
    </row>
    <row r="1135">
      <c r="A1135" s="2" t="inlineStr">
        <is>
          <t>ZAPC-553</t>
        </is>
      </c>
      <c r="B1135" s="2" t="inlineStr"/>
      <c r="C1135" s="2" t="inlineStr"/>
      <c r="D1135" s="2" t="inlineStr">
        <is>
          <t>Disponible</t>
        </is>
      </c>
      <c r="E1135" s="2" t="inlineStr"/>
    </row>
    <row r="1136">
      <c r="A1136" s="2" t="inlineStr">
        <is>
          <t>ZAPC-554</t>
        </is>
      </c>
      <c r="B1136" s="2" t="inlineStr"/>
      <c r="C1136" s="2" t="inlineStr"/>
      <c r="D1136" s="2" t="inlineStr">
        <is>
          <t>Disponible</t>
        </is>
      </c>
      <c r="E1136" s="2" t="inlineStr"/>
    </row>
    <row r="1137">
      <c r="A1137" s="2" t="inlineStr">
        <is>
          <t>ZAPC-555</t>
        </is>
      </c>
      <c r="B1137" s="2" t="inlineStr"/>
      <c r="C1137" s="2" t="inlineStr"/>
      <c r="D1137" s="2" t="inlineStr">
        <is>
          <t>Disponible</t>
        </is>
      </c>
      <c r="E1137" s="2" t="inlineStr"/>
    </row>
    <row r="1138">
      <c r="A1138" s="2" t="inlineStr">
        <is>
          <t>ZAPC-556</t>
        </is>
      </c>
      <c r="B1138" s="2" t="inlineStr"/>
      <c r="C1138" s="2" t="inlineStr"/>
      <c r="D1138" s="2" t="inlineStr">
        <is>
          <t>Disponible</t>
        </is>
      </c>
      <c r="E1138" s="2" t="inlineStr"/>
    </row>
    <row r="1139">
      <c r="A1139" s="2" t="inlineStr">
        <is>
          <t>ZAPC-557</t>
        </is>
      </c>
      <c r="B1139" s="2" t="inlineStr"/>
      <c r="C1139" s="2" t="inlineStr"/>
      <c r="D1139" s="2" t="inlineStr">
        <is>
          <t>Disponible</t>
        </is>
      </c>
      <c r="E1139" s="2" t="inlineStr"/>
    </row>
    <row r="1140">
      <c r="A1140" s="2" t="inlineStr">
        <is>
          <t>ZAPC-558</t>
        </is>
      </c>
      <c r="B1140" s="2" t="inlineStr"/>
      <c r="C1140" s="2" t="inlineStr"/>
      <c r="D1140" s="2" t="inlineStr">
        <is>
          <t>Disponible</t>
        </is>
      </c>
      <c r="E1140" s="2" t="inlineStr"/>
    </row>
    <row r="1141">
      <c r="A1141" s="2" t="inlineStr">
        <is>
          <t>ZAPC-559</t>
        </is>
      </c>
      <c r="B1141" s="2" t="inlineStr"/>
      <c r="C1141" s="2" t="inlineStr"/>
      <c r="D1141" s="2" t="inlineStr">
        <is>
          <t>Disponible</t>
        </is>
      </c>
      <c r="E1141" s="2" t="inlineStr"/>
    </row>
    <row r="1142">
      <c r="A1142" s="2" t="inlineStr">
        <is>
          <t>ZAPC-560</t>
        </is>
      </c>
      <c r="B1142" s="2" t="inlineStr"/>
      <c r="C1142" s="2" t="inlineStr"/>
      <c r="D1142" s="2" t="inlineStr">
        <is>
          <t>Disponible</t>
        </is>
      </c>
      <c r="E1142" s="2" t="inlineStr"/>
    </row>
    <row r="1143">
      <c r="A1143" s="2" t="inlineStr">
        <is>
          <t>ZAPC-561</t>
        </is>
      </c>
      <c r="B1143" s="2" t="inlineStr"/>
      <c r="C1143" s="2" t="inlineStr"/>
      <c r="D1143" s="2" t="inlineStr">
        <is>
          <t>Disponible</t>
        </is>
      </c>
      <c r="E1143" s="2" t="inlineStr"/>
    </row>
    <row r="1144">
      <c r="A1144" s="2" t="inlineStr">
        <is>
          <t>ZAPC-562</t>
        </is>
      </c>
      <c r="B1144" s="2" t="inlineStr"/>
      <c r="C1144" s="2" t="inlineStr"/>
      <c r="D1144" s="2" t="inlineStr">
        <is>
          <t>Disponible</t>
        </is>
      </c>
      <c r="E1144" s="2" t="inlineStr"/>
    </row>
    <row r="1145">
      <c r="A1145" s="2" t="inlineStr">
        <is>
          <t>ZAPC-563</t>
        </is>
      </c>
      <c r="B1145" s="2" t="inlineStr"/>
      <c r="C1145" s="2" t="inlineStr"/>
      <c r="D1145" s="2" t="inlineStr">
        <is>
          <t>Disponible</t>
        </is>
      </c>
      <c r="E1145" s="2" t="inlineStr"/>
    </row>
    <row r="1146">
      <c r="A1146" s="2" t="inlineStr">
        <is>
          <t>ZAPC-564</t>
        </is>
      </c>
      <c r="B1146" s="2" t="inlineStr"/>
      <c r="C1146" s="2" t="inlineStr"/>
      <c r="D1146" s="2" t="inlineStr">
        <is>
          <t>Disponible</t>
        </is>
      </c>
      <c r="E1146" s="2" t="inlineStr"/>
    </row>
    <row r="1147">
      <c r="A1147" s="2" t="inlineStr">
        <is>
          <t>ZAPC-565</t>
        </is>
      </c>
      <c r="B1147" s="2" t="inlineStr"/>
      <c r="C1147" s="2" t="inlineStr"/>
      <c r="D1147" s="2" t="inlineStr">
        <is>
          <t>Disponible</t>
        </is>
      </c>
      <c r="E1147" s="2" t="inlineStr"/>
    </row>
    <row r="1148">
      <c r="A1148" s="2" t="inlineStr">
        <is>
          <t>ZAPC-566</t>
        </is>
      </c>
      <c r="B1148" s="2" t="inlineStr"/>
      <c r="C1148" s="2" t="inlineStr"/>
      <c r="D1148" s="2" t="inlineStr">
        <is>
          <t>Disponible</t>
        </is>
      </c>
      <c r="E1148" s="2" t="inlineStr"/>
    </row>
    <row r="1149">
      <c r="A1149" s="2" t="inlineStr">
        <is>
          <t>ZAPC-567</t>
        </is>
      </c>
      <c r="B1149" s="2" t="inlineStr"/>
      <c r="C1149" s="2" t="inlineStr"/>
      <c r="D1149" s="2" t="inlineStr">
        <is>
          <t>Disponible</t>
        </is>
      </c>
      <c r="E1149" s="2" t="inlineStr"/>
    </row>
    <row r="1150">
      <c r="A1150" s="2" t="inlineStr">
        <is>
          <t>ZAPC-568</t>
        </is>
      </c>
      <c r="B1150" s="2" t="inlineStr"/>
      <c r="C1150" s="2" t="inlineStr"/>
      <c r="D1150" s="2" t="inlineStr">
        <is>
          <t>Disponible</t>
        </is>
      </c>
      <c r="E1150" s="2" t="inlineStr"/>
    </row>
    <row r="1151">
      <c r="A1151" s="2" t="inlineStr">
        <is>
          <t>ZAPC-569</t>
        </is>
      </c>
      <c r="B1151" s="2" t="inlineStr"/>
      <c r="C1151" s="2" t="inlineStr"/>
      <c r="D1151" s="2" t="inlineStr">
        <is>
          <t>Disponible</t>
        </is>
      </c>
      <c r="E1151" s="2" t="inlineStr"/>
    </row>
    <row r="1152">
      <c r="A1152" s="2" t="inlineStr">
        <is>
          <t>ZAPC-570</t>
        </is>
      </c>
      <c r="B1152" s="2" t="inlineStr"/>
      <c r="C1152" s="2" t="inlineStr"/>
      <c r="D1152" s="2" t="inlineStr">
        <is>
          <t>Disponible</t>
        </is>
      </c>
      <c r="E1152" s="2" t="inlineStr"/>
    </row>
    <row r="1153">
      <c r="A1153" s="2" t="inlineStr">
        <is>
          <t>ZAPC-571</t>
        </is>
      </c>
      <c r="B1153" s="2" t="inlineStr"/>
      <c r="C1153" s="2" t="inlineStr"/>
      <c r="D1153" s="2" t="inlineStr">
        <is>
          <t>Disponible</t>
        </is>
      </c>
      <c r="E1153" s="2" t="inlineStr"/>
    </row>
    <row r="1154">
      <c r="A1154" s="2" t="inlineStr">
        <is>
          <t>ZAPC-572</t>
        </is>
      </c>
      <c r="B1154" s="2" t="inlineStr"/>
      <c r="C1154" s="2" t="inlineStr"/>
      <c r="D1154" s="2" t="inlineStr">
        <is>
          <t>Disponible</t>
        </is>
      </c>
      <c r="E1154" s="2" t="inlineStr"/>
    </row>
    <row r="1155">
      <c r="A1155" s="2" t="inlineStr">
        <is>
          <t>ZAPC-573</t>
        </is>
      </c>
      <c r="B1155" s="2" t="inlineStr"/>
      <c r="C1155" s="2" t="inlineStr"/>
      <c r="D1155" s="2" t="inlineStr">
        <is>
          <t>Disponible</t>
        </is>
      </c>
      <c r="E1155" s="2" t="inlineStr"/>
    </row>
    <row r="1156">
      <c r="A1156" s="2" t="inlineStr">
        <is>
          <t>ZAPC-574</t>
        </is>
      </c>
      <c r="B1156" s="2" t="inlineStr"/>
      <c r="C1156" s="2" t="inlineStr"/>
      <c r="D1156" s="2" t="inlineStr">
        <is>
          <t>Disponible</t>
        </is>
      </c>
      <c r="E1156" s="2" t="inlineStr"/>
    </row>
    <row r="1157">
      <c r="A1157" s="2" t="inlineStr">
        <is>
          <t>ZAPC-575</t>
        </is>
      </c>
      <c r="B1157" s="2" t="inlineStr"/>
      <c r="C1157" s="2" t="inlineStr"/>
      <c r="D1157" s="2" t="inlineStr">
        <is>
          <t>Disponible</t>
        </is>
      </c>
      <c r="E1157" s="2" t="inlineStr"/>
    </row>
    <row r="1158">
      <c r="A1158" s="2" t="inlineStr">
        <is>
          <t>ZAPC-576</t>
        </is>
      </c>
      <c r="B1158" s="2" t="inlineStr"/>
      <c r="C1158" s="2" t="inlineStr"/>
      <c r="D1158" s="2" t="inlineStr">
        <is>
          <t>Disponible</t>
        </is>
      </c>
      <c r="E1158" s="2" t="inlineStr"/>
    </row>
    <row r="1159">
      <c r="A1159" s="2" t="inlineStr">
        <is>
          <t>ZAPC-577</t>
        </is>
      </c>
      <c r="B1159" s="2" t="inlineStr"/>
      <c r="C1159" s="2" t="inlineStr"/>
      <c r="D1159" s="2" t="inlineStr">
        <is>
          <t>Disponible</t>
        </is>
      </c>
      <c r="E1159" s="2" t="inlineStr"/>
    </row>
    <row r="1160">
      <c r="A1160" s="2" t="inlineStr">
        <is>
          <t>ZAPC-578</t>
        </is>
      </c>
      <c r="B1160" s="2" t="inlineStr"/>
      <c r="C1160" s="2" t="inlineStr"/>
      <c r="D1160" s="2" t="inlineStr">
        <is>
          <t>Disponible</t>
        </is>
      </c>
      <c r="E1160" s="2" t="inlineStr"/>
    </row>
    <row r="1161">
      <c r="A1161" s="2" t="inlineStr">
        <is>
          <t>ZAPC-579</t>
        </is>
      </c>
      <c r="B1161" s="2" t="inlineStr"/>
      <c r="C1161" s="2" t="inlineStr"/>
      <c r="D1161" s="2" t="inlineStr">
        <is>
          <t>Disponible</t>
        </is>
      </c>
      <c r="E1161" s="2" t="inlineStr"/>
    </row>
    <row r="1162">
      <c r="A1162" s="2" t="inlineStr">
        <is>
          <t>ZAPC-580</t>
        </is>
      </c>
      <c r="B1162" s="2" t="inlineStr"/>
      <c r="C1162" s="2" t="inlineStr"/>
      <c r="D1162" s="2" t="inlineStr">
        <is>
          <t>Disponible</t>
        </is>
      </c>
      <c r="E1162" s="2" t="inlineStr"/>
    </row>
    <row r="1163">
      <c r="A1163" s="2" t="inlineStr">
        <is>
          <t>ZAPC-581</t>
        </is>
      </c>
      <c r="B1163" s="2" t="inlineStr"/>
      <c r="C1163" s="2" t="inlineStr"/>
      <c r="D1163" s="2" t="inlineStr">
        <is>
          <t>Disponible</t>
        </is>
      </c>
      <c r="E1163" s="2" t="inlineStr"/>
    </row>
    <row r="1164">
      <c r="A1164" s="2" t="inlineStr">
        <is>
          <t>ZAPC-582</t>
        </is>
      </c>
      <c r="B1164" s="2" t="inlineStr"/>
      <c r="C1164" s="2" t="inlineStr"/>
      <c r="D1164" s="2" t="inlineStr">
        <is>
          <t>Disponible</t>
        </is>
      </c>
      <c r="E1164" s="2" t="inlineStr"/>
    </row>
    <row r="1165">
      <c r="A1165" s="2" t="inlineStr">
        <is>
          <t>ZAPC-583</t>
        </is>
      </c>
      <c r="B1165" s="2" t="inlineStr"/>
      <c r="C1165" s="2" t="inlineStr"/>
      <c r="D1165" s="2" t="inlineStr">
        <is>
          <t>Disponible</t>
        </is>
      </c>
      <c r="E1165" s="2" t="inlineStr"/>
    </row>
    <row r="1166">
      <c r="A1166" s="2" t="inlineStr">
        <is>
          <t>ZAPC-584</t>
        </is>
      </c>
      <c r="B1166" s="2" t="inlineStr"/>
      <c r="C1166" s="2" t="inlineStr"/>
      <c r="D1166" s="2" t="inlineStr">
        <is>
          <t>Disponible</t>
        </is>
      </c>
      <c r="E1166" s="2" t="inlineStr"/>
    </row>
    <row r="1167">
      <c r="A1167" s="2" t="inlineStr">
        <is>
          <t>ZAPC-585</t>
        </is>
      </c>
      <c r="B1167" s="2" t="inlineStr"/>
      <c r="C1167" s="2" t="inlineStr"/>
      <c r="D1167" s="2" t="inlineStr">
        <is>
          <t>Disponible</t>
        </is>
      </c>
      <c r="E1167" s="2" t="inlineStr"/>
    </row>
    <row r="1168">
      <c r="A1168" s="2" t="inlineStr">
        <is>
          <t>ZAPC-586</t>
        </is>
      </c>
      <c r="B1168" s="2" t="inlineStr"/>
      <c r="C1168" s="2" t="inlineStr"/>
      <c r="D1168" s="2" t="inlineStr">
        <is>
          <t>Disponible</t>
        </is>
      </c>
      <c r="E1168" s="2" t="inlineStr"/>
    </row>
    <row r="1169">
      <c r="A1169" s="2" t="inlineStr">
        <is>
          <t>ZAPC-587</t>
        </is>
      </c>
      <c r="B1169" s="2" t="inlineStr"/>
      <c r="C1169" s="2" t="inlineStr"/>
      <c r="D1169" s="2" t="inlineStr">
        <is>
          <t>Disponible</t>
        </is>
      </c>
      <c r="E1169" s="2" t="inlineStr"/>
    </row>
    <row r="1170">
      <c r="A1170" s="2" t="inlineStr">
        <is>
          <t>ZAPC-588</t>
        </is>
      </c>
      <c r="B1170" s="2" t="inlineStr"/>
      <c r="C1170" s="2" t="inlineStr"/>
      <c r="D1170" s="2" t="inlineStr">
        <is>
          <t>Disponible</t>
        </is>
      </c>
      <c r="E1170" s="2" t="inlineStr"/>
    </row>
    <row r="1171">
      <c r="A1171" s="2" t="inlineStr">
        <is>
          <t>ZAPC-589</t>
        </is>
      </c>
      <c r="B1171" s="2" t="inlineStr"/>
      <c r="C1171" s="2" t="inlineStr"/>
      <c r="D1171" s="2" t="inlineStr">
        <is>
          <t>Disponible</t>
        </is>
      </c>
      <c r="E1171" s="2" t="inlineStr"/>
    </row>
    <row r="1172">
      <c r="A1172" s="2" t="inlineStr">
        <is>
          <t>ZAPC-590</t>
        </is>
      </c>
      <c r="B1172" s="2" t="inlineStr"/>
      <c r="C1172" s="2" t="inlineStr"/>
      <c r="D1172" s="2" t="inlineStr">
        <is>
          <t>Disponible</t>
        </is>
      </c>
      <c r="E1172" s="2" t="inlineStr"/>
    </row>
    <row r="1173">
      <c r="A1173" s="2" t="inlineStr">
        <is>
          <t>ZAPC-591</t>
        </is>
      </c>
      <c r="B1173" s="2" t="inlineStr"/>
      <c r="C1173" s="2" t="inlineStr"/>
      <c r="D1173" s="2" t="inlineStr">
        <is>
          <t>Disponible</t>
        </is>
      </c>
      <c r="E1173" s="2" t="inlineStr"/>
    </row>
    <row r="1174">
      <c r="A1174" s="2" t="inlineStr">
        <is>
          <t>ZAPC-592</t>
        </is>
      </c>
      <c r="B1174" s="2" t="inlineStr"/>
      <c r="C1174" s="2" t="inlineStr"/>
      <c r="D1174" s="2" t="inlineStr">
        <is>
          <t>Disponible</t>
        </is>
      </c>
      <c r="E1174" s="2" t="inlineStr"/>
    </row>
    <row r="1175">
      <c r="A1175" s="2" t="inlineStr">
        <is>
          <t>ZAPC-593</t>
        </is>
      </c>
      <c r="B1175" s="2" t="inlineStr"/>
      <c r="C1175" s="2" t="inlineStr"/>
      <c r="D1175" s="2" t="inlineStr">
        <is>
          <t>Disponible</t>
        </is>
      </c>
      <c r="E1175" s="2" t="inlineStr"/>
    </row>
    <row r="1176">
      <c r="A1176" s="2" t="inlineStr">
        <is>
          <t>ZAPC-594</t>
        </is>
      </c>
      <c r="B1176" s="2" t="inlineStr"/>
      <c r="C1176" s="2" t="inlineStr"/>
      <c r="D1176" s="2" t="inlineStr">
        <is>
          <t>Disponible</t>
        </is>
      </c>
      <c r="E1176" s="2" t="inlineStr"/>
    </row>
    <row r="1177">
      <c r="A1177" s="2" t="inlineStr">
        <is>
          <t>ZAPC-595</t>
        </is>
      </c>
      <c r="B1177" s="2" t="inlineStr"/>
      <c r="C1177" s="2" t="inlineStr"/>
      <c r="D1177" s="2" t="inlineStr">
        <is>
          <t>Disponible</t>
        </is>
      </c>
      <c r="E1177" s="2" t="inlineStr"/>
    </row>
    <row r="1178">
      <c r="A1178" s="2" t="inlineStr">
        <is>
          <t>ZAPC-596</t>
        </is>
      </c>
      <c r="B1178" s="2" t="inlineStr"/>
      <c r="C1178" s="2" t="inlineStr"/>
      <c r="D1178" s="2" t="inlineStr">
        <is>
          <t>Disponible</t>
        </is>
      </c>
      <c r="E1178" s="2" t="inlineStr"/>
    </row>
    <row r="1179">
      <c r="A1179" s="2" t="inlineStr">
        <is>
          <t>ZAPC-597</t>
        </is>
      </c>
      <c r="B1179" s="2" t="inlineStr"/>
      <c r="C1179" s="2" t="inlineStr"/>
      <c r="D1179" s="2" t="inlineStr">
        <is>
          <t>Disponible</t>
        </is>
      </c>
      <c r="E1179" s="2" t="inlineStr"/>
    </row>
    <row r="1180">
      <c r="A1180" s="2" t="inlineStr">
        <is>
          <t>ZAPC-598</t>
        </is>
      </c>
      <c r="B1180" s="2" t="inlineStr"/>
      <c r="C1180" s="2" t="inlineStr"/>
      <c r="D1180" s="2" t="inlineStr">
        <is>
          <t>Disponible</t>
        </is>
      </c>
      <c r="E1180" s="2" t="inlineStr"/>
    </row>
    <row r="1181">
      <c r="A1181" s="2" t="inlineStr">
        <is>
          <t>ZAPC-599</t>
        </is>
      </c>
      <c r="B1181" s="2" t="inlineStr"/>
      <c r="C1181" s="2" t="inlineStr"/>
      <c r="D1181" s="2" t="inlineStr">
        <is>
          <t>Disponible</t>
        </is>
      </c>
      <c r="E1181" s="2" t="inlineStr"/>
    </row>
    <row r="1182">
      <c r="A1182" s="2" t="inlineStr">
        <is>
          <t>ZAPC-600</t>
        </is>
      </c>
      <c r="B1182" s="2" t="inlineStr"/>
      <c r="C1182" s="2" t="inlineStr"/>
      <c r="D1182" s="2" t="inlineStr">
        <is>
          <t>Disponible</t>
        </is>
      </c>
      <c r="E1182" s="2" t="inlineStr"/>
    </row>
    <row r="1183">
      <c r="A1183" s="2" t="inlineStr">
        <is>
          <t>ZAPC-601</t>
        </is>
      </c>
      <c r="B1183" s="2" t="inlineStr"/>
      <c r="C1183" s="2" t="inlineStr"/>
      <c r="D1183" s="2" t="inlineStr">
        <is>
          <t>Disponible</t>
        </is>
      </c>
      <c r="E1183" s="2" t="inlineStr"/>
    </row>
    <row r="1184">
      <c r="A1184" s="2" t="inlineStr">
        <is>
          <t>ZAPC-602</t>
        </is>
      </c>
      <c r="B1184" s="2" t="inlineStr"/>
      <c r="C1184" s="2" t="inlineStr"/>
      <c r="D1184" s="2" t="inlineStr">
        <is>
          <t>Disponible</t>
        </is>
      </c>
      <c r="E1184" s="2" t="inlineStr"/>
    </row>
    <row r="1185">
      <c r="A1185" s="2" t="inlineStr">
        <is>
          <t>ZAPC-603</t>
        </is>
      </c>
      <c r="B1185" s="2" t="inlineStr"/>
      <c r="C1185" s="2" t="inlineStr"/>
      <c r="D1185" s="2" t="inlineStr">
        <is>
          <t>Disponible</t>
        </is>
      </c>
      <c r="E1185" s="2" t="inlineStr"/>
    </row>
    <row r="1186">
      <c r="A1186" s="2" t="inlineStr">
        <is>
          <t>ZAPC-604</t>
        </is>
      </c>
      <c r="B1186" s="2" t="inlineStr"/>
      <c r="C1186" s="2" t="inlineStr"/>
      <c r="D1186" s="2" t="inlineStr">
        <is>
          <t>Disponible</t>
        </is>
      </c>
      <c r="E1186" s="2" t="inlineStr"/>
    </row>
    <row r="1187">
      <c r="A1187" s="2" t="inlineStr">
        <is>
          <t>ZAPC-605</t>
        </is>
      </c>
      <c r="B1187" s="2" t="inlineStr"/>
      <c r="C1187" s="2" t="inlineStr"/>
      <c r="D1187" s="2" t="inlineStr">
        <is>
          <t>Disponible</t>
        </is>
      </c>
      <c r="E1187" s="2" t="inlineStr"/>
    </row>
    <row r="1188">
      <c r="A1188" s="2" t="inlineStr">
        <is>
          <t>ZAPC-606</t>
        </is>
      </c>
      <c r="B1188" s="2" t="inlineStr"/>
      <c r="C1188" s="2" t="inlineStr"/>
      <c r="D1188" s="2" t="inlineStr">
        <is>
          <t>Disponible</t>
        </is>
      </c>
      <c r="E1188" s="2" t="inlineStr"/>
    </row>
    <row r="1189">
      <c r="A1189" s="2" t="inlineStr">
        <is>
          <t>ZAPC-607</t>
        </is>
      </c>
      <c r="B1189" s="2" t="inlineStr"/>
      <c r="C1189" s="2" t="inlineStr"/>
      <c r="D1189" s="2" t="inlineStr">
        <is>
          <t>Disponible</t>
        </is>
      </c>
      <c r="E1189" s="2" t="inlineStr"/>
    </row>
    <row r="1190">
      <c r="A1190" s="2" t="inlineStr">
        <is>
          <t>ZAPC-608</t>
        </is>
      </c>
      <c r="B1190" s="2" t="inlineStr"/>
      <c r="C1190" s="2" t="inlineStr"/>
      <c r="D1190" s="2" t="inlineStr">
        <is>
          <t>Disponible</t>
        </is>
      </c>
      <c r="E1190" s="2" t="inlineStr"/>
    </row>
    <row r="1191">
      <c r="A1191" s="2" t="inlineStr">
        <is>
          <t>ZAPC-609</t>
        </is>
      </c>
      <c r="B1191" s="2" t="inlineStr"/>
      <c r="C1191" s="2" t="inlineStr"/>
      <c r="D1191" s="2" t="inlineStr">
        <is>
          <t>Disponible</t>
        </is>
      </c>
      <c r="E1191" s="2" t="inlineStr"/>
    </row>
    <row r="1192">
      <c r="A1192" s="2" t="inlineStr">
        <is>
          <t>ZAPC-610</t>
        </is>
      </c>
      <c r="B1192" s="2" t="inlineStr"/>
      <c r="C1192" s="2" t="inlineStr"/>
      <c r="D1192" s="2" t="inlineStr">
        <is>
          <t>Disponible</t>
        </is>
      </c>
      <c r="E1192" s="2" t="inlineStr"/>
    </row>
    <row r="1193">
      <c r="A1193" s="2" t="inlineStr">
        <is>
          <t>ZAPC-611</t>
        </is>
      </c>
      <c r="B1193" s="2" t="inlineStr"/>
      <c r="C1193" s="2" t="inlineStr"/>
      <c r="D1193" s="2" t="inlineStr">
        <is>
          <t>Disponible</t>
        </is>
      </c>
      <c r="E1193" s="2" t="inlineStr"/>
    </row>
    <row r="1194">
      <c r="A1194" s="2" t="inlineStr">
        <is>
          <t>ZAPC-612</t>
        </is>
      </c>
      <c r="B1194" s="2" t="inlineStr"/>
      <c r="C1194" s="2" t="inlineStr"/>
      <c r="D1194" s="2" t="inlineStr">
        <is>
          <t>Disponible</t>
        </is>
      </c>
      <c r="E1194" s="2" t="inlineStr"/>
    </row>
    <row r="1195">
      <c r="A1195" s="2" t="inlineStr">
        <is>
          <t>ZAPC-613</t>
        </is>
      </c>
      <c r="B1195" s="2" t="inlineStr"/>
      <c r="C1195" s="2" t="inlineStr"/>
      <c r="D1195" s="2" t="inlineStr">
        <is>
          <t>Disponible</t>
        </is>
      </c>
      <c r="E1195" s="2" t="inlineStr"/>
    </row>
    <row r="1196">
      <c r="A1196" s="2" t="inlineStr">
        <is>
          <t>ZAPC-614</t>
        </is>
      </c>
      <c r="B1196" s="2" t="inlineStr"/>
      <c r="C1196" s="2" t="inlineStr"/>
      <c r="D1196" s="2" t="inlineStr">
        <is>
          <t>Disponible</t>
        </is>
      </c>
      <c r="E1196" s="2" t="inlineStr"/>
    </row>
    <row r="1197">
      <c r="A1197" s="2" t="inlineStr">
        <is>
          <t>ZAPC-615</t>
        </is>
      </c>
      <c r="B1197" s="2" t="inlineStr"/>
      <c r="C1197" s="2" t="inlineStr"/>
      <c r="D1197" s="2" t="inlineStr">
        <is>
          <t>Disponible</t>
        </is>
      </c>
      <c r="E1197" s="2" t="inlineStr"/>
    </row>
    <row r="1198">
      <c r="A1198" s="2" t="inlineStr">
        <is>
          <t>ZAPC-616</t>
        </is>
      </c>
      <c r="B1198" s="2" t="inlineStr"/>
      <c r="C1198" s="2" t="inlineStr"/>
      <c r="D1198" s="2" t="inlineStr">
        <is>
          <t>Disponible</t>
        </is>
      </c>
      <c r="E1198" s="2" t="inlineStr"/>
    </row>
    <row r="1199">
      <c r="A1199" s="2" t="inlineStr">
        <is>
          <t>ZAPC-617</t>
        </is>
      </c>
      <c r="B1199" s="2" t="inlineStr"/>
      <c r="C1199" s="2" t="inlineStr"/>
      <c r="D1199" s="2" t="inlineStr">
        <is>
          <t>Disponible</t>
        </is>
      </c>
      <c r="E1199" s="2" t="inlineStr"/>
    </row>
    <row r="1200">
      <c r="A1200" s="2" t="inlineStr">
        <is>
          <t>ZAPC-618</t>
        </is>
      </c>
      <c r="B1200" s="2" t="inlineStr"/>
      <c r="C1200" s="2" t="inlineStr"/>
      <c r="D1200" s="2" t="inlineStr">
        <is>
          <t>Disponible</t>
        </is>
      </c>
      <c r="E1200" s="2" t="inlineStr"/>
    </row>
    <row r="1201">
      <c r="A1201" s="2" t="inlineStr">
        <is>
          <t>ZAPC-619</t>
        </is>
      </c>
      <c r="B1201" s="2" t="inlineStr"/>
      <c r="C1201" s="2" t="inlineStr"/>
      <c r="D1201" s="2" t="inlineStr">
        <is>
          <t>Disponible</t>
        </is>
      </c>
      <c r="E1201" s="2" t="inlineStr"/>
    </row>
    <row r="1202">
      <c r="A1202" s="2" t="inlineStr">
        <is>
          <t>ZAPC-620</t>
        </is>
      </c>
      <c r="B1202" s="2" t="inlineStr"/>
      <c r="C1202" s="2" t="inlineStr"/>
      <c r="D1202" s="2" t="inlineStr">
        <is>
          <t>Disponible</t>
        </is>
      </c>
      <c r="E1202" s="2" t="inlineStr"/>
    </row>
    <row r="1203">
      <c r="A1203" s="2" t="inlineStr">
        <is>
          <t>ZAPC-621</t>
        </is>
      </c>
      <c r="B1203" s="2" t="inlineStr"/>
      <c r="C1203" s="2" t="inlineStr"/>
      <c r="D1203" s="2" t="inlineStr">
        <is>
          <t>Disponible</t>
        </is>
      </c>
      <c r="E1203" s="2" t="inlineStr"/>
    </row>
    <row r="1204">
      <c r="A1204" s="2" t="inlineStr">
        <is>
          <t>ZAPC-622</t>
        </is>
      </c>
      <c r="B1204" s="2" t="inlineStr"/>
      <c r="C1204" s="2" t="inlineStr"/>
      <c r="D1204" s="2" t="inlineStr">
        <is>
          <t>Disponible</t>
        </is>
      </c>
      <c r="E1204" s="2" t="inlineStr"/>
    </row>
    <row r="1205">
      <c r="A1205" s="2" t="inlineStr">
        <is>
          <t>ZAPC-623</t>
        </is>
      </c>
      <c r="B1205" s="2" t="inlineStr"/>
      <c r="C1205" s="2" t="inlineStr"/>
      <c r="D1205" s="2" t="inlineStr">
        <is>
          <t>Disponible</t>
        </is>
      </c>
      <c r="E1205" s="2" t="inlineStr"/>
    </row>
    <row r="1206">
      <c r="A1206" s="2" t="inlineStr">
        <is>
          <t>ZAPC-624</t>
        </is>
      </c>
      <c r="B1206" s="2" t="inlineStr"/>
      <c r="C1206" s="2" t="inlineStr"/>
      <c r="D1206" s="2" t="inlineStr">
        <is>
          <t>Disponible</t>
        </is>
      </c>
      <c r="E1206" s="2" t="inlineStr"/>
    </row>
    <row r="1207">
      <c r="A1207" s="2" t="inlineStr">
        <is>
          <t>ZAPC-625</t>
        </is>
      </c>
      <c r="B1207" s="2" t="inlineStr"/>
      <c r="C1207" s="2" t="inlineStr"/>
      <c r="D1207" s="2" t="inlineStr">
        <is>
          <t>Disponible</t>
        </is>
      </c>
      <c r="E1207" s="2" t="inlineStr"/>
    </row>
    <row r="1208">
      <c r="A1208" s="2" t="inlineStr">
        <is>
          <t>ZAPC-626</t>
        </is>
      </c>
      <c r="B1208" s="2" t="inlineStr"/>
      <c r="C1208" s="2" t="inlineStr"/>
      <c r="D1208" s="2" t="inlineStr">
        <is>
          <t>Disponible</t>
        </is>
      </c>
      <c r="E1208" s="2" t="inlineStr"/>
    </row>
    <row r="1209">
      <c r="A1209" s="2" t="inlineStr">
        <is>
          <t>ZAPC-627</t>
        </is>
      </c>
      <c r="B1209" s="2" t="inlineStr"/>
      <c r="C1209" s="2" t="inlineStr"/>
      <c r="D1209" s="2" t="inlineStr">
        <is>
          <t>Disponible</t>
        </is>
      </c>
      <c r="E1209" s="2" t="inlineStr"/>
    </row>
    <row r="1210">
      <c r="A1210" s="2" t="inlineStr">
        <is>
          <t>ZAPC-628</t>
        </is>
      </c>
      <c r="B1210" s="2" t="inlineStr"/>
      <c r="C1210" s="2" t="inlineStr"/>
      <c r="D1210" s="2" t="inlineStr">
        <is>
          <t>Disponible</t>
        </is>
      </c>
      <c r="E1210" s="2" t="inlineStr"/>
    </row>
    <row r="1211">
      <c r="A1211" s="2" t="inlineStr">
        <is>
          <t>ZAPC-629</t>
        </is>
      </c>
      <c r="B1211" s="2" t="inlineStr"/>
      <c r="C1211" s="2" t="inlineStr"/>
      <c r="D1211" s="2" t="inlineStr">
        <is>
          <t>Disponible</t>
        </is>
      </c>
      <c r="E1211" s="2" t="inlineStr"/>
    </row>
    <row r="1212">
      <c r="A1212" s="2" t="inlineStr">
        <is>
          <t>ZAPC-630</t>
        </is>
      </c>
      <c r="B1212" s="2" t="inlineStr"/>
      <c r="C1212" s="2" t="inlineStr"/>
      <c r="D1212" s="2" t="inlineStr">
        <is>
          <t>Disponible</t>
        </is>
      </c>
      <c r="E1212" s="2" t="inlineStr"/>
    </row>
    <row r="1213">
      <c r="A1213" s="2" t="inlineStr">
        <is>
          <t>ZAPC-631</t>
        </is>
      </c>
      <c r="B1213" s="2" t="inlineStr"/>
      <c r="C1213" s="2" t="inlineStr"/>
      <c r="D1213" s="2" t="inlineStr">
        <is>
          <t>Disponible</t>
        </is>
      </c>
      <c r="E1213" s="2" t="inlineStr"/>
    </row>
    <row r="1214">
      <c r="A1214" s="2" t="inlineStr">
        <is>
          <t>ZAPC-632</t>
        </is>
      </c>
      <c r="B1214" s="2" t="inlineStr"/>
      <c r="C1214" s="2" t="inlineStr"/>
      <c r="D1214" s="2" t="inlineStr">
        <is>
          <t>Disponible</t>
        </is>
      </c>
      <c r="E1214" s="2" t="inlineStr"/>
    </row>
    <row r="1215">
      <c r="A1215" s="2" t="inlineStr">
        <is>
          <t>ZAPC-633</t>
        </is>
      </c>
      <c r="B1215" s="2" t="inlineStr"/>
      <c r="C1215" s="2" t="inlineStr"/>
      <c r="D1215" s="2" t="inlineStr">
        <is>
          <t>Disponible</t>
        </is>
      </c>
      <c r="E1215" s="2" t="inlineStr"/>
    </row>
    <row r="1216">
      <c r="A1216" s="2" t="inlineStr">
        <is>
          <t>ZAPC-634</t>
        </is>
      </c>
      <c r="B1216" s="2" t="inlineStr"/>
      <c r="C1216" s="2" t="inlineStr"/>
      <c r="D1216" s="2" t="inlineStr">
        <is>
          <t>Disponible</t>
        </is>
      </c>
      <c r="E1216" s="2" t="inlineStr"/>
    </row>
    <row r="1217">
      <c r="A1217" s="2" t="inlineStr">
        <is>
          <t>ZAPC-635</t>
        </is>
      </c>
      <c r="B1217" s="2" t="inlineStr"/>
      <c r="C1217" s="2" t="inlineStr"/>
      <c r="D1217" s="2" t="inlineStr">
        <is>
          <t>Disponible</t>
        </is>
      </c>
      <c r="E1217" s="2" t="inlineStr"/>
    </row>
    <row r="1218">
      <c r="A1218" s="2" t="inlineStr">
        <is>
          <t>ZAPC-636</t>
        </is>
      </c>
      <c r="B1218" s="2" t="inlineStr"/>
      <c r="C1218" s="2" t="inlineStr"/>
      <c r="D1218" s="2" t="inlineStr">
        <is>
          <t>Disponible</t>
        </is>
      </c>
      <c r="E1218" s="2" t="inlineStr"/>
    </row>
    <row r="1219">
      <c r="A1219" s="2" t="inlineStr">
        <is>
          <t>ZAPC-637</t>
        </is>
      </c>
      <c r="B1219" s="2" t="inlineStr"/>
      <c r="C1219" s="2" t="inlineStr"/>
      <c r="D1219" s="2" t="inlineStr">
        <is>
          <t>Disponible</t>
        </is>
      </c>
      <c r="E1219" s="2" t="inlineStr"/>
    </row>
    <row r="1220">
      <c r="A1220" s="2" t="inlineStr">
        <is>
          <t>ZAPC-638</t>
        </is>
      </c>
      <c r="B1220" s="2" t="inlineStr"/>
      <c r="C1220" s="2" t="inlineStr"/>
      <c r="D1220" s="2" t="inlineStr">
        <is>
          <t>Disponible</t>
        </is>
      </c>
      <c r="E1220" s="2" t="inlineStr"/>
    </row>
    <row r="1221">
      <c r="A1221" s="2" t="inlineStr">
        <is>
          <t>ZAPC-639</t>
        </is>
      </c>
      <c r="B1221" s="2" t="inlineStr"/>
      <c r="C1221" s="2" t="inlineStr"/>
      <c r="D1221" s="2" t="inlineStr">
        <is>
          <t>Disponible</t>
        </is>
      </c>
      <c r="E1221" s="2" t="inlineStr"/>
    </row>
    <row r="1222">
      <c r="A1222" s="2" t="inlineStr">
        <is>
          <t>ZAPC-640</t>
        </is>
      </c>
      <c r="B1222" s="2" t="inlineStr"/>
      <c r="C1222" s="2" t="inlineStr"/>
      <c r="D1222" s="2" t="inlineStr">
        <is>
          <t>Disponible</t>
        </is>
      </c>
      <c r="E1222" s="2" t="inlineStr"/>
    </row>
    <row r="1223">
      <c r="A1223" s="2" t="inlineStr">
        <is>
          <t>ZAPC-641</t>
        </is>
      </c>
      <c r="B1223" s="2" t="inlineStr"/>
      <c r="C1223" s="2" t="inlineStr"/>
      <c r="D1223" s="2" t="inlineStr">
        <is>
          <t>Disponible</t>
        </is>
      </c>
      <c r="E1223" s="2" t="inlineStr"/>
    </row>
    <row r="1224">
      <c r="A1224" s="2" t="inlineStr">
        <is>
          <t>ZAPC-642</t>
        </is>
      </c>
      <c r="B1224" s="2" t="inlineStr"/>
      <c r="C1224" s="2" t="inlineStr"/>
      <c r="D1224" s="2" t="inlineStr">
        <is>
          <t>Disponible</t>
        </is>
      </c>
      <c r="E1224" s="2" t="inlineStr"/>
    </row>
    <row r="1225">
      <c r="A1225" s="2" t="inlineStr">
        <is>
          <t>ZAPC-643</t>
        </is>
      </c>
      <c r="B1225" s="2" t="inlineStr"/>
      <c r="C1225" s="2" t="inlineStr"/>
      <c r="D1225" s="2" t="inlineStr">
        <is>
          <t>Disponible</t>
        </is>
      </c>
      <c r="E1225" s="2" t="inlineStr"/>
    </row>
    <row r="1226">
      <c r="A1226" s="2" t="inlineStr">
        <is>
          <t>ZAPC-644</t>
        </is>
      </c>
      <c r="B1226" s="2" t="inlineStr"/>
      <c r="C1226" s="2" t="inlineStr"/>
      <c r="D1226" s="2" t="inlineStr">
        <is>
          <t>Disponible</t>
        </is>
      </c>
      <c r="E1226" s="2" t="inlineStr"/>
    </row>
    <row r="1227">
      <c r="A1227" s="2" t="inlineStr">
        <is>
          <t>ZAPC-645</t>
        </is>
      </c>
      <c r="B1227" s="2" t="inlineStr"/>
      <c r="C1227" s="2" t="inlineStr"/>
      <c r="D1227" s="2" t="inlineStr">
        <is>
          <t>Disponible</t>
        </is>
      </c>
      <c r="E1227" s="2" t="inlineStr"/>
    </row>
    <row r="1228">
      <c r="A1228" s="2" t="inlineStr">
        <is>
          <t>ZAPC-646</t>
        </is>
      </c>
      <c r="B1228" s="2" t="inlineStr"/>
      <c r="C1228" s="2" t="inlineStr"/>
      <c r="D1228" s="2" t="inlineStr">
        <is>
          <t>Disponible</t>
        </is>
      </c>
      <c r="E1228" s="2" t="inlineStr"/>
    </row>
    <row r="1229">
      <c r="A1229" s="2" t="inlineStr">
        <is>
          <t>ZAPC-647</t>
        </is>
      </c>
      <c r="B1229" s="2" t="inlineStr"/>
      <c r="C1229" s="2" t="inlineStr"/>
      <c r="D1229" s="2" t="inlineStr">
        <is>
          <t>Disponible</t>
        </is>
      </c>
      <c r="E1229" s="2" t="inlineStr"/>
    </row>
    <row r="1230">
      <c r="A1230" s="2" t="inlineStr">
        <is>
          <t>ZAPC-648</t>
        </is>
      </c>
      <c r="B1230" s="2" t="inlineStr"/>
      <c r="C1230" s="2" t="inlineStr"/>
      <c r="D1230" s="2" t="inlineStr">
        <is>
          <t>Disponible</t>
        </is>
      </c>
      <c r="E1230" s="2" t="inlineStr"/>
    </row>
    <row r="1231">
      <c r="A1231" s="2" t="inlineStr">
        <is>
          <t>ZAPC-649</t>
        </is>
      </c>
      <c r="B1231" s="2" t="inlineStr"/>
      <c r="C1231" s="2" t="inlineStr"/>
      <c r="D1231" s="2" t="inlineStr">
        <is>
          <t>Disponible</t>
        </is>
      </c>
      <c r="E1231" s="2" t="inlineStr"/>
    </row>
    <row r="1232">
      <c r="A1232" s="2" t="inlineStr">
        <is>
          <t>ZAPC-650</t>
        </is>
      </c>
      <c r="B1232" s="2" t="inlineStr"/>
      <c r="C1232" s="2" t="inlineStr"/>
      <c r="D1232" s="2" t="inlineStr">
        <is>
          <t>Disponible</t>
        </is>
      </c>
      <c r="E1232" s="2" t="inlineStr"/>
    </row>
    <row r="1233">
      <c r="A1233" s="2" t="inlineStr">
        <is>
          <t>ZAPC-651</t>
        </is>
      </c>
      <c r="B1233" s="2" t="inlineStr"/>
      <c r="C1233" s="2" t="inlineStr"/>
      <c r="D1233" s="2" t="inlineStr">
        <is>
          <t>Disponible</t>
        </is>
      </c>
      <c r="E1233" s="2" t="inlineStr"/>
    </row>
    <row r="1234">
      <c r="A1234" s="2" t="inlineStr">
        <is>
          <t>ZAPC-652</t>
        </is>
      </c>
      <c r="B1234" s="2" t="inlineStr"/>
      <c r="C1234" s="2" t="inlineStr"/>
      <c r="D1234" s="2" t="inlineStr">
        <is>
          <t>Disponible</t>
        </is>
      </c>
      <c r="E1234" s="2" t="inlineStr"/>
    </row>
    <row r="1235">
      <c r="A1235" s="2" t="inlineStr">
        <is>
          <t>ZAPC-653</t>
        </is>
      </c>
      <c r="B1235" s="2" t="inlineStr"/>
      <c r="C1235" s="2" t="inlineStr"/>
      <c r="D1235" s="2" t="inlineStr">
        <is>
          <t>Disponible</t>
        </is>
      </c>
      <c r="E1235" s="2" t="inlineStr"/>
    </row>
    <row r="1236">
      <c r="A1236" s="2" t="inlineStr">
        <is>
          <t>ZAPC-654</t>
        </is>
      </c>
      <c r="B1236" s="2" t="inlineStr"/>
      <c r="C1236" s="2" t="inlineStr"/>
      <c r="D1236" s="2" t="inlineStr">
        <is>
          <t>Disponible</t>
        </is>
      </c>
      <c r="E1236" s="2" t="inlineStr"/>
    </row>
    <row r="1237">
      <c r="A1237" s="2" t="inlineStr">
        <is>
          <t>ZAPC-655</t>
        </is>
      </c>
      <c r="B1237" s="2" t="inlineStr"/>
      <c r="C1237" s="2" t="inlineStr"/>
      <c r="D1237" s="2" t="inlineStr">
        <is>
          <t>Disponible</t>
        </is>
      </c>
      <c r="E1237" s="2" t="inlineStr"/>
    </row>
    <row r="1238">
      <c r="A1238" s="2" t="inlineStr">
        <is>
          <t>ZAPC-656</t>
        </is>
      </c>
      <c r="B1238" s="2" t="inlineStr"/>
      <c r="C1238" s="2" t="inlineStr"/>
      <c r="D1238" s="2" t="inlineStr">
        <is>
          <t>Disponible</t>
        </is>
      </c>
      <c r="E1238" s="2" t="inlineStr"/>
    </row>
    <row r="1239">
      <c r="A1239" s="2" t="inlineStr">
        <is>
          <t>ZAPC-657</t>
        </is>
      </c>
      <c r="B1239" s="2" t="inlineStr"/>
      <c r="C1239" s="2" t="inlineStr"/>
      <c r="D1239" s="2" t="inlineStr">
        <is>
          <t>Disponible</t>
        </is>
      </c>
      <c r="E1239" s="2" t="inlineStr"/>
    </row>
    <row r="1240">
      <c r="A1240" s="2" t="inlineStr">
        <is>
          <t>ZAPC-658</t>
        </is>
      </c>
      <c r="B1240" s="2" t="inlineStr"/>
      <c r="C1240" s="2" t="inlineStr"/>
      <c r="D1240" s="2" t="inlineStr">
        <is>
          <t>Disponible</t>
        </is>
      </c>
      <c r="E1240" s="2" t="inlineStr"/>
    </row>
    <row r="1241">
      <c r="A1241" s="2" t="inlineStr">
        <is>
          <t>ZAPC-659</t>
        </is>
      </c>
      <c r="B1241" s="2" t="inlineStr"/>
      <c r="C1241" s="2" t="inlineStr"/>
      <c r="D1241" s="2" t="inlineStr">
        <is>
          <t>Disponible</t>
        </is>
      </c>
      <c r="E1241" s="2" t="inlineStr"/>
    </row>
    <row r="1242">
      <c r="A1242" s="2" t="inlineStr">
        <is>
          <t>ZAPC-660</t>
        </is>
      </c>
      <c r="B1242" s="2" t="inlineStr"/>
      <c r="C1242" s="2" t="inlineStr"/>
      <c r="D1242" s="2" t="inlineStr">
        <is>
          <t>Disponible</t>
        </is>
      </c>
      <c r="E1242" s="2" t="inlineStr"/>
    </row>
    <row r="1243">
      <c r="A1243" s="2" t="inlineStr">
        <is>
          <t>ZAPC-661</t>
        </is>
      </c>
      <c r="B1243" s="2" t="inlineStr"/>
      <c r="C1243" s="2" t="inlineStr"/>
      <c r="D1243" s="2" t="inlineStr">
        <is>
          <t>Disponible</t>
        </is>
      </c>
      <c r="E1243" s="2" t="inlineStr"/>
    </row>
    <row r="1244">
      <c r="A1244" s="2" t="inlineStr">
        <is>
          <t>ZAPC-662</t>
        </is>
      </c>
      <c r="B1244" s="2" t="inlineStr"/>
      <c r="C1244" s="2" t="inlineStr"/>
      <c r="D1244" s="2" t="inlineStr">
        <is>
          <t>Disponible</t>
        </is>
      </c>
      <c r="E1244" s="2" t="inlineStr"/>
    </row>
    <row r="1245">
      <c r="A1245" s="2" t="inlineStr">
        <is>
          <t>ZAPC-663</t>
        </is>
      </c>
      <c r="B1245" s="2" t="inlineStr"/>
      <c r="C1245" s="2" t="inlineStr"/>
      <c r="D1245" s="2" t="inlineStr">
        <is>
          <t>Disponible</t>
        </is>
      </c>
      <c r="E1245" s="2" t="inlineStr"/>
    </row>
    <row r="1246">
      <c r="A1246" s="2" t="inlineStr">
        <is>
          <t>ZAPC-664</t>
        </is>
      </c>
      <c r="B1246" s="2" t="inlineStr"/>
      <c r="C1246" s="2" t="inlineStr"/>
      <c r="D1246" s="2" t="inlineStr">
        <is>
          <t>Disponible</t>
        </is>
      </c>
      <c r="E1246" s="2" t="inlineStr"/>
    </row>
    <row r="1247">
      <c r="A1247" s="2" t="inlineStr">
        <is>
          <t>ZAPC-665</t>
        </is>
      </c>
      <c r="B1247" s="2" t="inlineStr"/>
      <c r="C1247" s="2" t="inlineStr"/>
      <c r="D1247" s="2" t="inlineStr">
        <is>
          <t>Disponible</t>
        </is>
      </c>
      <c r="E1247" s="2" t="inlineStr"/>
    </row>
    <row r="1248">
      <c r="A1248" s="2" t="inlineStr">
        <is>
          <t>ZAPC-666</t>
        </is>
      </c>
      <c r="B1248" s="2" t="inlineStr"/>
      <c r="C1248" s="2" t="inlineStr"/>
      <c r="D1248" s="2" t="inlineStr">
        <is>
          <t>Disponible</t>
        </is>
      </c>
      <c r="E1248" s="2" t="inlineStr"/>
    </row>
    <row r="1249">
      <c r="A1249" s="2" t="inlineStr">
        <is>
          <t>ZAPC-667</t>
        </is>
      </c>
      <c r="B1249" s="2" t="inlineStr"/>
      <c r="C1249" s="2" t="inlineStr"/>
      <c r="D1249" s="2" t="inlineStr">
        <is>
          <t>Disponible</t>
        </is>
      </c>
      <c r="E1249" s="2" t="inlineStr"/>
    </row>
    <row r="1250">
      <c r="A1250" s="2" t="inlineStr">
        <is>
          <t>ZAPC-668</t>
        </is>
      </c>
      <c r="B1250" s="2" t="inlineStr"/>
      <c r="C1250" s="2" t="inlineStr"/>
      <c r="D1250" s="2" t="inlineStr">
        <is>
          <t>Disponible</t>
        </is>
      </c>
      <c r="E1250" s="2" t="inlineStr"/>
    </row>
    <row r="1251">
      <c r="A1251" s="2" t="inlineStr">
        <is>
          <t>ZAPC-669</t>
        </is>
      </c>
      <c r="B1251" s="2" t="inlineStr"/>
      <c r="C1251" s="2" t="inlineStr"/>
      <c r="D1251" s="2" t="inlineStr">
        <is>
          <t>Disponible</t>
        </is>
      </c>
      <c r="E1251" s="2" t="inlineStr"/>
    </row>
    <row r="1252">
      <c r="A1252" s="2" t="inlineStr">
        <is>
          <t>ZAPC-670</t>
        </is>
      </c>
      <c r="B1252" s="2" t="inlineStr"/>
      <c r="C1252" s="2" t="inlineStr"/>
      <c r="D1252" s="2" t="inlineStr">
        <is>
          <t>Disponible</t>
        </is>
      </c>
      <c r="E1252" s="2" t="inlineStr"/>
    </row>
    <row r="1253">
      <c r="A1253" s="2" t="inlineStr">
        <is>
          <t>ZAPC-671</t>
        </is>
      </c>
      <c r="B1253" s="2" t="inlineStr"/>
      <c r="C1253" s="2" t="inlineStr"/>
      <c r="D1253" s="2" t="inlineStr">
        <is>
          <t>Disponible</t>
        </is>
      </c>
      <c r="E1253" s="2" t="inlineStr"/>
    </row>
    <row r="1254">
      <c r="A1254" s="2" t="inlineStr">
        <is>
          <t>ZAPC-672</t>
        </is>
      </c>
      <c r="B1254" s="2" t="inlineStr"/>
      <c r="C1254" s="2" t="inlineStr"/>
      <c r="D1254" s="2" t="inlineStr">
        <is>
          <t>Disponible</t>
        </is>
      </c>
      <c r="E1254" s="2" t="inlineStr"/>
    </row>
    <row r="1255">
      <c r="A1255" s="2" t="inlineStr">
        <is>
          <t>ZAPC-673</t>
        </is>
      </c>
      <c r="B1255" s="2" t="inlineStr"/>
      <c r="C1255" s="2" t="inlineStr"/>
      <c r="D1255" s="2" t="inlineStr">
        <is>
          <t>Disponible</t>
        </is>
      </c>
      <c r="E1255" s="2" t="inlineStr"/>
    </row>
    <row r="1256">
      <c r="A1256" s="2" t="inlineStr">
        <is>
          <t>ZAPC-674</t>
        </is>
      </c>
      <c r="B1256" s="2" t="inlineStr"/>
      <c r="C1256" s="2" t="inlineStr"/>
      <c r="D1256" s="2" t="inlineStr">
        <is>
          <t>Disponible</t>
        </is>
      </c>
      <c r="E1256" s="2" t="inlineStr"/>
    </row>
    <row r="1257">
      <c r="A1257" s="2" t="inlineStr">
        <is>
          <t>ZAPC-675</t>
        </is>
      </c>
      <c r="B1257" s="2" t="inlineStr"/>
      <c r="C1257" s="2" t="inlineStr"/>
      <c r="D1257" s="2" t="inlineStr">
        <is>
          <t>Disponible</t>
        </is>
      </c>
      <c r="E1257" s="2" t="inlineStr"/>
    </row>
    <row r="1258">
      <c r="A1258" s="2" t="inlineStr">
        <is>
          <t>ZAPC-676</t>
        </is>
      </c>
      <c r="B1258" s="2" t="inlineStr"/>
      <c r="C1258" s="2" t="inlineStr"/>
      <c r="D1258" s="2" t="inlineStr">
        <is>
          <t>Disponible</t>
        </is>
      </c>
      <c r="E1258" s="2" t="inlineStr"/>
    </row>
    <row r="1259">
      <c r="A1259" s="2" t="inlineStr">
        <is>
          <t>ZAPC-677</t>
        </is>
      </c>
      <c r="B1259" s="2" t="inlineStr"/>
      <c r="C1259" s="2" t="inlineStr"/>
      <c r="D1259" s="2" t="inlineStr">
        <is>
          <t>Disponible</t>
        </is>
      </c>
      <c r="E1259" s="2" t="inlineStr"/>
    </row>
    <row r="1260">
      <c r="A1260" s="2" t="inlineStr">
        <is>
          <t>ZAPC-678</t>
        </is>
      </c>
      <c r="B1260" s="2" t="inlineStr"/>
      <c r="C1260" s="2" t="inlineStr"/>
      <c r="D1260" s="2" t="inlineStr">
        <is>
          <t>Disponible</t>
        </is>
      </c>
      <c r="E1260" s="2" t="inlineStr"/>
    </row>
    <row r="1261">
      <c r="A1261" s="2" t="inlineStr">
        <is>
          <t>ZAPC-679</t>
        </is>
      </c>
      <c r="B1261" s="2" t="inlineStr"/>
      <c r="C1261" s="2" t="inlineStr"/>
      <c r="D1261" s="2" t="inlineStr">
        <is>
          <t>Disponible</t>
        </is>
      </c>
      <c r="E1261" s="2" t="inlineStr"/>
    </row>
    <row r="1262">
      <c r="A1262" s="2" t="inlineStr">
        <is>
          <t>ZAPC-680</t>
        </is>
      </c>
      <c r="B1262" s="2" t="inlineStr"/>
      <c r="C1262" s="2" t="inlineStr"/>
      <c r="D1262" s="2" t="inlineStr">
        <is>
          <t>Disponible</t>
        </is>
      </c>
      <c r="E1262" s="2" t="inlineStr"/>
    </row>
    <row r="1263">
      <c r="A1263" s="2" t="inlineStr">
        <is>
          <t>ZAPC-681</t>
        </is>
      </c>
      <c r="B1263" s="2" t="inlineStr"/>
      <c r="C1263" s="2" t="inlineStr"/>
      <c r="D1263" s="2" t="inlineStr">
        <is>
          <t>Disponible</t>
        </is>
      </c>
      <c r="E1263" s="2" t="inlineStr"/>
    </row>
    <row r="1264">
      <c r="A1264" s="2" t="inlineStr">
        <is>
          <t>ZAPC-682</t>
        </is>
      </c>
      <c r="B1264" s="2" t="inlineStr"/>
      <c r="C1264" s="2" t="inlineStr"/>
      <c r="D1264" s="2" t="inlineStr">
        <is>
          <t>Disponible</t>
        </is>
      </c>
      <c r="E1264" s="2" t="inlineStr"/>
    </row>
    <row r="1265">
      <c r="A1265" s="2" t="inlineStr">
        <is>
          <t>ZAPC-683</t>
        </is>
      </c>
      <c r="B1265" s="2" t="inlineStr"/>
      <c r="C1265" s="2" t="inlineStr"/>
      <c r="D1265" s="2" t="inlineStr">
        <is>
          <t>Disponible</t>
        </is>
      </c>
      <c r="E1265" s="2" t="inlineStr"/>
    </row>
    <row r="1266">
      <c r="A1266" s="2" t="inlineStr">
        <is>
          <t>ZAPC-684</t>
        </is>
      </c>
      <c r="B1266" s="2" t="inlineStr"/>
      <c r="C1266" s="2" t="inlineStr"/>
      <c r="D1266" s="2" t="inlineStr">
        <is>
          <t>Disponible</t>
        </is>
      </c>
      <c r="E1266" s="2" t="inlineStr"/>
    </row>
    <row r="1267">
      <c r="A1267" s="2" t="inlineStr">
        <is>
          <t>ZAPC-685</t>
        </is>
      </c>
      <c r="B1267" s="2" t="inlineStr"/>
      <c r="C1267" s="2" t="inlineStr"/>
      <c r="D1267" s="2" t="inlineStr">
        <is>
          <t>Disponible</t>
        </is>
      </c>
      <c r="E1267" s="2" t="inlineStr"/>
    </row>
    <row r="1268">
      <c r="A1268" s="2" t="inlineStr">
        <is>
          <t>ZAPC-686</t>
        </is>
      </c>
      <c r="B1268" s="2" t="inlineStr"/>
      <c r="C1268" s="2" t="inlineStr"/>
      <c r="D1268" s="2" t="inlineStr">
        <is>
          <t>Disponible</t>
        </is>
      </c>
      <c r="E1268" s="2" t="inlineStr"/>
    </row>
    <row r="1269">
      <c r="A1269" s="2" t="inlineStr">
        <is>
          <t>ZAPC-687</t>
        </is>
      </c>
      <c r="B1269" s="2" t="inlineStr"/>
      <c r="C1269" s="2" t="inlineStr"/>
      <c r="D1269" s="2" t="inlineStr">
        <is>
          <t>Disponible</t>
        </is>
      </c>
      <c r="E1269" s="2" t="inlineStr"/>
    </row>
    <row r="1270">
      <c r="A1270" s="2" t="inlineStr">
        <is>
          <t>ZAPC-688</t>
        </is>
      </c>
      <c r="B1270" s="2" t="inlineStr"/>
      <c r="C1270" s="2" t="inlineStr"/>
      <c r="D1270" s="2" t="inlineStr">
        <is>
          <t>Disponible</t>
        </is>
      </c>
      <c r="E1270" s="2" t="inlineStr"/>
    </row>
    <row r="1271">
      <c r="A1271" s="2" t="inlineStr">
        <is>
          <t>ZAPC-689</t>
        </is>
      </c>
      <c r="B1271" s="2" t="inlineStr"/>
      <c r="C1271" s="2" t="inlineStr"/>
      <c r="D1271" s="2" t="inlineStr">
        <is>
          <t>Disponible</t>
        </is>
      </c>
      <c r="E1271" s="2" t="inlineStr"/>
    </row>
    <row r="1272">
      <c r="A1272" s="2" t="inlineStr">
        <is>
          <t>ZAPC-690</t>
        </is>
      </c>
      <c r="B1272" s="2" t="inlineStr"/>
      <c r="C1272" s="2" t="inlineStr"/>
      <c r="D1272" s="2" t="inlineStr">
        <is>
          <t>Disponible</t>
        </is>
      </c>
      <c r="E1272" s="2" t="inlineStr"/>
    </row>
    <row r="1273">
      <c r="A1273" s="2" t="inlineStr">
        <is>
          <t>ZAPC-691</t>
        </is>
      </c>
      <c r="B1273" s="2" t="inlineStr"/>
      <c r="C1273" s="2" t="inlineStr"/>
      <c r="D1273" s="2" t="inlineStr">
        <is>
          <t>Disponible</t>
        </is>
      </c>
      <c r="E1273" s="2" t="inlineStr"/>
    </row>
    <row r="1274">
      <c r="A1274" s="2" t="inlineStr">
        <is>
          <t>ZAPC-692</t>
        </is>
      </c>
      <c r="B1274" s="2" t="inlineStr"/>
      <c r="C1274" s="2" t="inlineStr"/>
      <c r="D1274" s="2" t="inlineStr">
        <is>
          <t>Disponible</t>
        </is>
      </c>
      <c r="E1274" s="2" t="inlineStr"/>
    </row>
    <row r="1275">
      <c r="A1275" s="2" t="inlineStr">
        <is>
          <t>ZAPC-693</t>
        </is>
      </c>
      <c r="B1275" s="2" t="inlineStr"/>
      <c r="C1275" s="2" t="inlineStr"/>
      <c r="D1275" s="2" t="inlineStr">
        <is>
          <t>Disponible</t>
        </is>
      </c>
      <c r="E1275" s="2" t="inlineStr"/>
    </row>
    <row r="1276">
      <c r="A1276" s="2" t="inlineStr">
        <is>
          <t>ZAPC-694</t>
        </is>
      </c>
      <c r="B1276" s="2" t="inlineStr"/>
      <c r="C1276" s="2" t="inlineStr"/>
      <c r="D1276" s="2" t="inlineStr">
        <is>
          <t>Disponible</t>
        </is>
      </c>
      <c r="E1276" s="2" t="inlineStr"/>
    </row>
    <row r="1277">
      <c r="A1277" s="2" t="inlineStr">
        <is>
          <t>ZAPC-695</t>
        </is>
      </c>
      <c r="B1277" s="2" t="inlineStr"/>
      <c r="C1277" s="2" t="inlineStr"/>
      <c r="D1277" s="2" t="inlineStr">
        <is>
          <t>Disponible</t>
        </is>
      </c>
      <c r="E1277" s="2" t="inlineStr"/>
    </row>
    <row r="1278">
      <c r="A1278" s="2" t="inlineStr">
        <is>
          <t>ZAPC-696</t>
        </is>
      </c>
      <c r="B1278" s="2" t="inlineStr"/>
      <c r="C1278" s="2" t="inlineStr"/>
      <c r="D1278" s="2" t="inlineStr">
        <is>
          <t>Disponible</t>
        </is>
      </c>
      <c r="E1278" s="2" t="inlineStr"/>
    </row>
    <row r="1279">
      <c r="A1279" s="2" t="inlineStr">
        <is>
          <t>ZAPC-697</t>
        </is>
      </c>
      <c r="B1279" s="2" t="inlineStr"/>
      <c r="C1279" s="2" t="inlineStr"/>
      <c r="D1279" s="2" t="inlineStr">
        <is>
          <t>Disponible</t>
        </is>
      </c>
      <c r="E1279" s="2" t="inlineStr"/>
    </row>
    <row r="1280">
      <c r="A1280" s="2" t="inlineStr">
        <is>
          <t>ZAPC-698</t>
        </is>
      </c>
      <c r="B1280" s="2" t="inlineStr"/>
      <c r="C1280" s="2" t="inlineStr"/>
      <c r="D1280" s="2" t="inlineStr">
        <is>
          <t>Disponible</t>
        </is>
      </c>
      <c r="E1280" s="2" t="inlineStr"/>
    </row>
    <row r="1281">
      <c r="A1281" s="2" t="inlineStr">
        <is>
          <t>ZAPC-699</t>
        </is>
      </c>
      <c r="B1281" s="2" t="inlineStr"/>
      <c r="C1281" s="2" t="inlineStr"/>
      <c r="D1281" s="2" t="inlineStr">
        <is>
          <t>Disponible</t>
        </is>
      </c>
      <c r="E1281" s="2" t="inlineStr"/>
    </row>
    <row r="1282">
      <c r="A1282" s="2" t="inlineStr">
        <is>
          <t>ZAPC-700</t>
        </is>
      </c>
      <c r="B1282" s="2" t="inlineStr"/>
      <c r="C1282" s="2" t="inlineStr"/>
      <c r="D1282" s="2" t="inlineStr">
        <is>
          <t>Disponible</t>
        </is>
      </c>
      <c r="E1282" s="2" t="inlineStr"/>
    </row>
    <row r="1283">
      <c r="A1283" s="2" t="inlineStr">
        <is>
          <t>CAMBRE-001</t>
        </is>
      </c>
      <c r="B1283" s="2" t="inlineStr"/>
      <c r="C1283" s="2" t="inlineStr"/>
      <c r="D1283" s="2" t="inlineStr">
        <is>
          <t>Disponible</t>
        </is>
      </c>
      <c r="E1283" s="2" t="inlineStr"/>
    </row>
    <row r="1284">
      <c r="A1284" s="2" t="inlineStr">
        <is>
          <t>CAMBRE-002</t>
        </is>
      </c>
      <c r="B1284" s="2" t="inlineStr"/>
      <c r="C1284" s="2" t="inlineStr"/>
      <c r="D1284" s="2" t="inlineStr">
        <is>
          <t>Disponible</t>
        </is>
      </c>
      <c r="E1284" s="2" t="inlineStr"/>
    </row>
    <row r="1285">
      <c r="A1285" s="2" t="inlineStr">
        <is>
          <t>CAMBRE-003</t>
        </is>
      </c>
      <c r="B1285" s="2" t="inlineStr"/>
      <c r="C1285" s="2" t="inlineStr"/>
      <c r="D1285" s="2" t="inlineStr">
        <is>
          <t>Disponible</t>
        </is>
      </c>
      <c r="E1285" s="2" t="inlineStr"/>
    </row>
    <row r="1286">
      <c r="A1286" s="2" t="inlineStr">
        <is>
          <t>CAMBRE-004</t>
        </is>
      </c>
      <c r="B1286" s="2" t="inlineStr"/>
      <c r="C1286" s="2" t="inlineStr"/>
      <c r="D1286" s="2" t="inlineStr">
        <is>
          <t>Disponible</t>
        </is>
      </c>
      <c r="E1286" s="2" t="inlineStr"/>
    </row>
    <row r="1287">
      <c r="A1287" s="2" t="inlineStr">
        <is>
          <t>CAMBRE-005</t>
        </is>
      </c>
      <c r="B1287" s="2" t="inlineStr"/>
      <c r="C1287" s="2" t="inlineStr"/>
      <c r="D1287" s="2" t="inlineStr">
        <is>
          <t>Disponible</t>
        </is>
      </c>
      <c r="E1287" s="2" t="inlineStr"/>
    </row>
    <row r="1288">
      <c r="A1288" s="2" t="inlineStr">
        <is>
          <t>CAMBRE-006</t>
        </is>
      </c>
      <c r="B1288" s="2" t="inlineStr"/>
      <c r="C1288" s="2" t="inlineStr"/>
      <c r="D1288" s="2" t="inlineStr">
        <is>
          <t>Disponible</t>
        </is>
      </c>
      <c r="E1288" s="2" t="inlineStr"/>
    </row>
    <row r="1289">
      <c r="A1289" s="2" t="inlineStr">
        <is>
          <t>CAMBRE-007</t>
        </is>
      </c>
      <c r="B1289" s="2" t="inlineStr"/>
      <c r="C1289" s="2" t="inlineStr"/>
      <c r="D1289" s="2" t="inlineStr">
        <is>
          <t>Disponible</t>
        </is>
      </c>
      <c r="E1289" s="2" t="inlineStr"/>
    </row>
    <row r="1290">
      <c r="A1290" s="2" t="inlineStr">
        <is>
          <t>CAMBRE-008</t>
        </is>
      </c>
      <c r="B1290" s="2" t="inlineStr"/>
      <c r="C1290" s="2" t="inlineStr"/>
      <c r="D1290" s="2" t="inlineStr">
        <is>
          <t>Disponible</t>
        </is>
      </c>
      <c r="E1290" s="2" t="inlineStr"/>
    </row>
    <row r="1291">
      <c r="A1291" s="2" t="inlineStr">
        <is>
          <t>CAMBRE-009</t>
        </is>
      </c>
      <c r="B1291" s="2" t="inlineStr"/>
      <c r="C1291" s="2" t="inlineStr"/>
      <c r="D1291" s="2" t="inlineStr">
        <is>
          <t>Disponible</t>
        </is>
      </c>
      <c r="E1291" s="2" t="inlineStr"/>
    </row>
    <row r="1292">
      <c r="A1292" s="2" t="inlineStr">
        <is>
          <t>CAMBRE-010</t>
        </is>
      </c>
      <c r="B1292" s="2" t="inlineStr"/>
      <c r="C1292" s="2" t="inlineStr"/>
      <c r="D1292" s="2" t="inlineStr">
        <is>
          <t>Disponible</t>
        </is>
      </c>
      <c r="E1292" s="2" t="inlineStr"/>
    </row>
    <row r="1293">
      <c r="A1293" s="2" t="inlineStr">
        <is>
          <t>CAMBRE-011</t>
        </is>
      </c>
      <c r="B1293" s="2" t="inlineStr"/>
      <c r="C1293" s="2" t="inlineStr"/>
      <c r="D1293" s="2" t="inlineStr">
        <is>
          <t>Disponible</t>
        </is>
      </c>
      <c r="E1293" s="2" t="inlineStr"/>
    </row>
    <row r="1294">
      <c r="A1294" s="2" t="inlineStr">
        <is>
          <t>CAMBRE-012</t>
        </is>
      </c>
      <c r="B1294" s="2" t="inlineStr"/>
      <c r="C1294" s="2" t="inlineStr"/>
      <c r="D1294" s="2" t="inlineStr">
        <is>
          <t>Disponible</t>
        </is>
      </c>
      <c r="E1294" s="2" t="inlineStr"/>
    </row>
    <row r="1295">
      <c r="A1295" s="2" t="inlineStr">
        <is>
          <t>CAMBRE-013</t>
        </is>
      </c>
      <c r="B1295" s="2" t="inlineStr"/>
      <c r="C1295" s="2" t="inlineStr"/>
      <c r="D1295" s="2" t="inlineStr">
        <is>
          <t>Disponible</t>
        </is>
      </c>
      <c r="E1295" s="2" t="inlineStr"/>
    </row>
    <row r="1296">
      <c r="A1296" s="2" t="inlineStr">
        <is>
          <t>CAMBRE-014</t>
        </is>
      </c>
      <c r="B1296" s="2" t="inlineStr"/>
      <c r="C1296" s="2" t="inlineStr"/>
      <c r="D1296" s="2" t="inlineStr">
        <is>
          <t>Disponible</t>
        </is>
      </c>
      <c r="E1296" s="2" t="inlineStr"/>
    </row>
    <row r="1297">
      <c r="A1297" s="2" t="inlineStr">
        <is>
          <t>CAMBRE-015</t>
        </is>
      </c>
      <c r="B1297" s="2" t="inlineStr"/>
      <c r="C1297" s="2" t="inlineStr"/>
      <c r="D1297" s="2" t="inlineStr">
        <is>
          <t>Disponible</t>
        </is>
      </c>
      <c r="E1297" s="2" t="inlineStr"/>
    </row>
    <row r="1298">
      <c r="A1298" s="2" t="inlineStr">
        <is>
          <t>CAMBRE-016</t>
        </is>
      </c>
      <c r="B1298" s="2" t="inlineStr"/>
      <c r="C1298" s="2" t="inlineStr"/>
      <c r="D1298" s="2" t="inlineStr">
        <is>
          <t>Disponible</t>
        </is>
      </c>
      <c r="E1298" s="2" t="inlineStr"/>
    </row>
    <row r="1299">
      <c r="A1299" s="2" t="inlineStr">
        <is>
          <t>CAMBRE-017</t>
        </is>
      </c>
      <c r="B1299" s="2" t="inlineStr"/>
      <c r="C1299" s="2" t="inlineStr"/>
      <c r="D1299" s="2" t="inlineStr">
        <is>
          <t>Disponible</t>
        </is>
      </c>
      <c r="E1299" s="2" t="inlineStr"/>
    </row>
    <row r="1300">
      <c r="A1300" s="2" t="inlineStr">
        <is>
          <t>CAMBRE-018</t>
        </is>
      </c>
      <c r="B1300" s="2" t="inlineStr"/>
      <c r="C1300" s="2" t="inlineStr"/>
      <c r="D1300" s="2" t="inlineStr">
        <is>
          <t>Disponible</t>
        </is>
      </c>
      <c r="E1300" s="2" t="inlineStr"/>
    </row>
    <row r="1301">
      <c r="A1301" s="2" t="inlineStr">
        <is>
          <t>CAMBRE-019</t>
        </is>
      </c>
      <c r="B1301" s="2" t="inlineStr"/>
      <c r="C1301" s="2" t="inlineStr"/>
      <c r="D1301" s="2" t="inlineStr">
        <is>
          <t>Disponible</t>
        </is>
      </c>
      <c r="E1301" s="2" t="inlineStr"/>
    </row>
    <row r="1302">
      <c r="A1302" s="2" t="inlineStr">
        <is>
          <t>CAMBRE-020</t>
        </is>
      </c>
      <c r="B1302" s="2" t="inlineStr"/>
      <c r="C1302" s="2" t="inlineStr"/>
      <c r="D1302" s="2" t="inlineStr">
        <is>
          <t>Disponible</t>
        </is>
      </c>
      <c r="E1302" s="2" t="inlineStr"/>
    </row>
    <row r="1303">
      <c r="A1303" s="2" t="inlineStr">
        <is>
          <t>CAMBRE-021</t>
        </is>
      </c>
      <c r="B1303" s="2" t="inlineStr"/>
      <c r="C1303" s="2" t="inlineStr"/>
      <c r="D1303" s="2" t="inlineStr">
        <is>
          <t>Disponible</t>
        </is>
      </c>
      <c r="E1303" s="2" t="inlineStr"/>
    </row>
    <row r="1304">
      <c r="A1304" s="2" t="inlineStr">
        <is>
          <t>CAMBRE-022</t>
        </is>
      </c>
      <c r="B1304" s="2" t="inlineStr"/>
      <c r="C1304" s="2" t="inlineStr"/>
      <c r="D1304" s="2" t="inlineStr">
        <is>
          <t>Disponible</t>
        </is>
      </c>
      <c r="E1304" s="2" t="inlineStr"/>
    </row>
    <row r="1305">
      <c r="A1305" s="2" t="inlineStr">
        <is>
          <t>CAMBRE-023</t>
        </is>
      </c>
      <c r="B1305" s="2" t="inlineStr"/>
      <c r="C1305" s="2" t="inlineStr"/>
      <c r="D1305" s="2" t="inlineStr">
        <is>
          <t>Disponible</t>
        </is>
      </c>
      <c r="E1305" s="2" t="inlineStr"/>
    </row>
    <row r="1306">
      <c r="A1306" s="2" t="inlineStr">
        <is>
          <t>CAMBRE-024</t>
        </is>
      </c>
      <c r="B1306" s="2" t="inlineStr"/>
      <c r="C1306" s="2" t="inlineStr"/>
      <c r="D1306" s="2" t="inlineStr">
        <is>
          <t>Disponible</t>
        </is>
      </c>
      <c r="E1306" s="2" t="inlineStr"/>
    </row>
    <row r="1307">
      <c r="A1307" s="2" t="inlineStr">
        <is>
          <t>CAMBRE-025</t>
        </is>
      </c>
      <c r="B1307" s="2" t="inlineStr"/>
      <c r="C1307" s="2" t="inlineStr"/>
      <c r="D1307" s="2" t="inlineStr">
        <is>
          <t>Disponible</t>
        </is>
      </c>
      <c r="E1307" s="2" t="inlineStr"/>
    </row>
    <row r="1308">
      <c r="A1308" s="2" t="inlineStr">
        <is>
          <t>CAMBRE-026</t>
        </is>
      </c>
      <c r="B1308" s="2" t="inlineStr"/>
      <c r="C1308" s="2" t="inlineStr"/>
      <c r="D1308" s="2" t="inlineStr">
        <is>
          <t>Disponible</t>
        </is>
      </c>
      <c r="E1308" s="2" t="inlineStr"/>
    </row>
    <row r="1309">
      <c r="A1309" s="2" t="inlineStr">
        <is>
          <t>CAMBRE-027</t>
        </is>
      </c>
      <c r="B1309" s="2" t="inlineStr"/>
      <c r="C1309" s="2" t="inlineStr"/>
      <c r="D1309" s="2" t="inlineStr">
        <is>
          <t>Disponible</t>
        </is>
      </c>
      <c r="E1309" s="2" t="inlineStr"/>
    </row>
    <row r="1310">
      <c r="A1310" s="2" t="inlineStr">
        <is>
          <t>CAMBRE-028</t>
        </is>
      </c>
      <c r="B1310" s="2" t="inlineStr"/>
      <c r="C1310" s="2" t="inlineStr"/>
      <c r="D1310" s="2" t="inlineStr">
        <is>
          <t>Disponible</t>
        </is>
      </c>
      <c r="E1310" s="2" t="inlineStr"/>
    </row>
    <row r="1311">
      <c r="A1311" s="2" t="inlineStr">
        <is>
          <t>CAMBRE-029</t>
        </is>
      </c>
      <c r="B1311" s="2" t="inlineStr"/>
      <c r="C1311" s="2" t="inlineStr"/>
      <c r="D1311" s="2" t="inlineStr">
        <is>
          <t>Disponible</t>
        </is>
      </c>
      <c r="E1311" s="2" t="inlineStr"/>
    </row>
    <row r="1312">
      <c r="A1312" s="2" t="inlineStr">
        <is>
          <t>CAMBRE-030</t>
        </is>
      </c>
      <c r="B1312" s="2" t="inlineStr"/>
      <c r="C1312" s="2" t="inlineStr"/>
      <c r="D1312" s="2" t="inlineStr">
        <is>
          <t>Disponible</t>
        </is>
      </c>
      <c r="E1312" s="2" t="inlineStr"/>
    </row>
    <row r="1313">
      <c r="A1313" s="2" t="inlineStr">
        <is>
          <t>CAMBRE-031</t>
        </is>
      </c>
      <c r="B1313" s="2" t="inlineStr"/>
      <c r="C1313" s="2" t="inlineStr"/>
      <c r="D1313" s="2" t="inlineStr">
        <is>
          <t>Disponible</t>
        </is>
      </c>
      <c r="E1313" s="2" t="inlineStr"/>
    </row>
    <row r="1314">
      <c r="A1314" s="2" t="inlineStr">
        <is>
          <t>CAMBRE-032</t>
        </is>
      </c>
      <c r="B1314" s="2" t="inlineStr"/>
      <c r="C1314" s="2" t="inlineStr"/>
      <c r="D1314" s="2" t="inlineStr">
        <is>
          <t>Disponible</t>
        </is>
      </c>
      <c r="E1314" s="2" t="inlineStr"/>
    </row>
    <row r="1315">
      <c r="A1315" s="2" t="inlineStr">
        <is>
          <t>CAMBRE-033</t>
        </is>
      </c>
      <c r="B1315" s="2" t="inlineStr"/>
      <c r="C1315" s="2" t="inlineStr"/>
      <c r="D1315" s="2" t="inlineStr">
        <is>
          <t>Disponible</t>
        </is>
      </c>
      <c r="E1315" s="2" t="inlineStr"/>
    </row>
    <row r="1316">
      <c r="A1316" s="2" t="inlineStr">
        <is>
          <t>CAMBRE-034</t>
        </is>
      </c>
      <c r="B1316" s="2" t="inlineStr"/>
      <c r="C1316" s="2" t="inlineStr"/>
      <c r="D1316" s="2" t="inlineStr">
        <is>
          <t>Disponible</t>
        </is>
      </c>
      <c r="E1316" s="2" t="inlineStr"/>
    </row>
    <row r="1317">
      <c r="A1317" s="2" t="inlineStr">
        <is>
          <t>CAMBRE-035</t>
        </is>
      </c>
      <c r="B1317" s="2" t="inlineStr"/>
      <c r="C1317" s="2" t="inlineStr"/>
      <c r="D1317" s="2" t="inlineStr">
        <is>
          <t>Disponible</t>
        </is>
      </c>
      <c r="E1317" s="2" t="inlineStr"/>
    </row>
    <row r="1318">
      <c r="A1318" s="2" t="inlineStr">
        <is>
          <t>CAMBRE-036</t>
        </is>
      </c>
      <c r="B1318" s="2" t="inlineStr"/>
      <c r="C1318" s="2" t="inlineStr"/>
      <c r="D1318" s="2" t="inlineStr">
        <is>
          <t>Disponible</t>
        </is>
      </c>
      <c r="E1318" s="2" t="inlineStr"/>
    </row>
    <row r="1319">
      <c r="A1319" s="2" t="inlineStr">
        <is>
          <t>CAMBRE-037</t>
        </is>
      </c>
      <c r="B1319" s="2" t="inlineStr"/>
      <c r="C1319" s="2" t="inlineStr"/>
      <c r="D1319" s="2" t="inlineStr">
        <is>
          <t>Disponible</t>
        </is>
      </c>
      <c r="E1319" s="2" t="inlineStr"/>
    </row>
    <row r="1320">
      <c r="A1320" s="2" t="inlineStr">
        <is>
          <t>CAMBRE-038</t>
        </is>
      </c>
      <c r="B1320" s="2" t="inlineStr"/>
      <c r="C1320" s="2" t="inlineStr"/>
      <c r="D1320" s="2" t="inlineStr">
        <is>
          <t>Disponible</t>
        </is>
      </c>
      <c r="E1320" s="2" t="inlineStr"/>
    </row>
    <row r="1321">
      <c r="A1321" s="2" t="inlineStr">
        <is>
          <t>CAMBRE-039</t>
        </is>
      </c>
      <c r="B1321" s="2" t="inlineStr"/>
      <c r="C1321" s="2" t="inlineStr"/>
      <c r="D1321" s="2" t="inlineStr">
        <is>
          <t>Disponible</t>
        </is>
      </c>
      <c r="E1321" s="2" t="inlineStr"/>
    </row>
    <row r="1322">
      <c r="A1322" s="2" t="inlineStr">
        <is>
          <t>CAMBRE-040</t>
        </is>
      </c>
      <c r="B1322" s="2" t="inlineStr"/>
      <c r="C1322" s="2" t="inlineStr"/>
      <c r="D1322" s="2" t="inlineStr">
        <is>
          <t>Disponible</t>
        </is>
      </c>
      <c r="E1322" s="2" t="inlineStr"/>
    </row>
    <row r="1323">
      <c r="A1323" s="2" t="inlineStr">
        <is>
          <t>TERM3524-001</t>
        </is>
      </c>
      <c r="B1323" s="2" t="inlineStr"/>
      <c r="C1323" s="2" t="inlineStr"/>
      <c r="D1323" s="2" t="inlineStr">
        <is>
          <t>Disponible</t>
        </is>
      </c>
      <c r="E1323" s="2" t="inlineStr"/>
    </row>
    <row r="1324">
      <c r="A1324" s="2" t="inlineStr">
        <is>
          <t>TERM3524-002</t>
        </is>
      </c>
      <c r="B1324" s="2" t="inlineStr"/>
      <c r="C1324" s="2" t="inlineStr"/>
      <c r="D1324" s="2" t="inlineStr">
        <is>
          <t>Disponible</t>
        </is>
      </c>
      <c r="E1324" s="2" t="inlineStr"/>
    </row>
    <row r="1325">
      <c r="A1325" s="2" t="inlineStr">
        <is>
          <t>TERM3524-003</t>
        </is>
      </c>
      <c r="B1325" s="2" t="inlineStr"/>
      <c r="C1325" s="2" t="inlineStr"/>
      <c r="D1325" s="2" t="inlineStr">
        <is>
          <t>Disponible</t>
        </is>
      </c>
      <c r="E1325" s="2" t="inlineStr"/>
    </row>
    <row r="1326">
      <c r="A1326" s="2" t="inlineStr">
        <is>
          <t>TERM3524-004</t>
        </is>
      </c>
      <c r="B1326" s="2" t="inlineStr"/>
      <c r="C1326" s="2" t="inlineStr"/>
      <c r="D1326" s="2" t="inlineStr">
        <is>
          <t>Disponible</t>
        </is>
      </c>
      <c r="E1326" s="2" t="inlineStr"/>
    </row>
    <row r="1327">
      <c r="A1327" s="2" t="inlineStr">
        <is>
          <t>TERM355-001</t>
        </is>
      </c>
      <c r="B1327" s="2" t="inlineStr"/>
      <c r="C1327" s="2" t="inlineStr"/>
      <c r="D1327" s="2" t="inlineStr">
        <is>
          <t>Disponible</t>
        </is>
      </c>
      <c r="E1327" s="2" t="inlineStr"/>
    </row>
    <row r="1328">
      <c r="A1328" s="2" t="inlineStr">
        <is>
          <t>TERM355-002</t>
        </is>
      </c>
      <c r="B1328" s="2" t="inlineStr"/>
      <c r="C1328" s="2" t="inlineStr"/>
      <c r="D1328" s="2" t="inlineStr">
        <is>
          <t>Disponible</t>
        </is>
      </c>
      <c r="E1328" s="2" t="inlineStr"/>
    </row>
    <row r="1329">
      <c r="A1329" s="2" t="inlineStr">
        <is>
          <t>TERM355-003</t>
        </is>
      </c>
      <c r="B1329" s="2" t="inlineStr"/>
      <c r="C1329" s="2" t="inlineStr"/>
      <c r="D1329" s="2" t="inlineStr">
        <is>
          <t>Disponible</t>
        </is>
      </c>
      <c r="E1329" s="2" t="inlineStr"/>
    </row>
    <row r="1330">
      <c r="A1330" s="2" t="inlineStr">
        <is>
          <t>TERM355-004</t>
        </is>
      </c>
      <c r="B1330" s="2" t="inlineStr"/>
      <c r="C1330" s="2" t="inlineStr"/>
      <c r="D1330" s="2" t="inlineStr">
        <is>
          <t>Disponible</t>
        </is>
      </c>
      <c r="E1330" s="2" t="inlineStr"/>
    </row>
    <row r="1331">
      <c r="A1331" s="2" t="inlineStr">
        <is>
          <t>TERM35-001</t>
        </is>
      </c>
      <c r="B1331" s="2" t="inlineStr"/>
      <c r="C1331" s="2" t="inlineStr"/>
      <c r="D1331" s="2" t="inlineStr">
        <is>
          <t>Disponible</t>
        </is>
      </c>
      <c r="E1331" s="2" t="inlineStr"/>
    </row>
    <row r="1332">
      <c r="A1332" s="2" t="inlineStr">
        <is>
          <t>TERM35-002</t>
        </is>
      </c>
      <c r="B1332" s="2" t="inlineStr"/>
      <c r="C1332" s="2" t="inlineStr"/>
      <c r="D1332" s="2" t="inlineStr">
        <is>
          <t>Disponible</t>
        </is>
      </c>
      <c r="E1332" s="2" t="inlineStr"/>
    </row>
    <row r="1333">
      <c r="A1333" s="2" t="inlineStr">
        <is>
          <t>TERM35-003</t>
        </is>
      </c>
      <c r="B1333" s="2" t="inlineStr"/>
      <c r="C1333" s="2" t="inlineStr"/>
      <c r="D1333" s="2" t="inlineStr">
        <is>
          <t>Disponible</t>
        </is>
      </c>
      <c r="E1333" s="2" t="inlineStr"/>
    </row>
    <row r="1334">
      <c r="A1334" s="2" t="inlineStr">
        <is>
          <t>TERM35-004</t>
        </is>
      </c>
      <c r="B1334" s="2" t="inlineStr"/>
      <c r="C1334" s="2" t="inlineStr"/>
      <c r="D1334" s="2" t="inlineStr">
        <is>
          <t>Disponible</t>
        </is>
      </c>
      <c r="E1334" s="2" t="inlineStr"/>
    </row>
    <row r="1335">
      <c r="A1335" s="2" t="inlineStr">
        <is>
          <t>TERM7010-001</t>
        </is>
      </c>
      <c r="B1335" s="2" t="inlineStr"/>
      <c r="C1335" s="2" t="inlineStr"/>
      <c r="D1335" s="2" t="inlineStr">
        <is>
          <t>Disponible</t>
        </is>
      </c>
      <c r="E1335" s="2" t="inlineStr"/>
    </row>
    <row r="1336">
      <c r="A1336" s="2" t="inlineStr">
        <is>
          <t>TERM7010-002</t>
        </is>
      </c>
      <c r="B1336" s="2" t="inlineStr"/>
      <c r="C1336" s="2" t="inlineStr"/>
      <c r="D1336" s="2" t="inlineStr">
        <is>
          <t>Disponible</t>
        </is>
      </c>
      <c r="E1336" s="2" t="inlineStr"/>
    </row>
    <row r="1337">
      <c r="A1337" s="2" t="inlineStr">
        <is>
          <t>TERM7010-003</t>
        </is>
      </c>
      <c r="B1337" s="2" t="inlineStr"/>
      <c r="C1337" s="2" t="inlineStr"/>
      <c r="D1337" s="2" t="inlineStr">
        <is>
          <t>Disponible</t>
        </is>
      </c>
      <c r="E1337" s="2" t="inlineStr"/>
    </row>
    <row r="1338">
      <c r="A1338" s="2" t="inlineStr">
        <is>
          <t>TERM7010-004</t>
        </is>
      </c>
      <c r="B1338" s="2" t="inlineStr"/>
      <c r="C1338" s="2" t="inlineStr"/>
      <c r="D1338" s="2" t="inlineStr">
        <is>
          <t>Disponible</t>
        </is>
      </c>
      <c r="E1338" s="2" t="inlineStr"/>
    </row>
    <row r="1339">
      <c r="A1339" s="2" t="inlineStr">
        <is>
          <t>TERM9520-001</t>
        </is>
      </c>
      <c r="B1339" s="2" t="inlineStr"/>
      <c r="C1339" s="2" t="inlineStr"/>
      <c r="D1339" s="2" t="inlineStr">
        <is>
          <t>Disponible</t>
        </is>
      </c>
      <c r="E1339" s="2" t="inlineStr"/>
    </row>
    <row r="1340">
      <c r="A1340" s="2" t="inlineStr">
        <is>
          <t>TERM9520-002</t>
        </is>
      </c>
      <c r="B1340" s="2" t="inlineStr"/>
      <c r="C1340" s="2" t="inlineStr"/>
      <c r="D1340" s="2" t="inlineStr">
        <is>
          <t>Disponible</t>
        </is>
      </c>
      <c r="E1340" s="2" t="inlineStr"/>
    </row>
    <row r="1341">
      <c r="A1341" s="2" t="inlineStr">
        <is>
          <t>TERM9520-003</t>
        </is>
      </c>
      <c r="B1341" s="2" t="inlineStr"/>
      <c r="C1341" s="2" t="inlineStr"/>
      <c r="D1341" s="2" t="inlineStr">
        <is>
          <t>Disponible</t>
        </is>
      </c>
      <c r="E1341" s="2" t="inlineStr"/>
    </row>
    <row r="1342">
      <c r="A1342" s="2" t="inlineStr">
        <is>
          <t>TERM9520-004</t>
        </is>
      </c>
      <c r="B1342" s="2" t="inlineStr"/>
      <c r="C1342" s="2" t="inlineStr"/>
      <c r="D1342" s="2" t="inlineStr">
        <is>
          <t>Disponible</t>
        </is>
      </c>
      <c r="E1342" s="2" t="inlineStr"/>
    </row>
    <row r="1343">
      <c r="A1343" s="2" t="inlineStr">
        <is>
          <t>BOA4X50-001</t>
        </is>
      </c>
      <c r="B1343" s="2" t="inlineStr"/>
      <c r="C1343" s="2" t="inlineStr"/>
      <c r="D1343" s="2" t="inlineStr">
        <is>
          <t>Disponible</t>
        </is>
      </c>
      <c r="E1343" s="2" t="inlineStr"/>
    </row>
    <row r="1344">
      <c r="A1344" s="2" t="inlineStr">
        <is>
          <t>BOA4X50-002</t>
        </is>
      </c>
      <c r="B1344" s="2" t="inlineStr"/>
      <c r="C1344" s="2" t="inlineStr"/>
      <c r="D1344" s="2" t="inlineStr">
        <is>
          <t>Disponible</t>
        </is>
      </c>
      <c r="E1344" s="2" t="inlineStr"/>
    </row>
    <row r="1345">
      <c r="A1345" s="2" t="inlineStr">
        <is>
          <t>BOA4X50-003</t>
        </is>
      </c>
      <c r="B1345" s="2" t="inlineStr"/>
      <c r="C1345" s="2" t="inlineStr"/>
      <c r="D1345" s="2" t="inlineStr">
        <is>
          <t>Disponible</t>
        </is>
      </c>
      <c r="E1345" s="2" t="inlineStr"/>
    </row>
    <row r="1346">
      <c r="A1346" s="2" t="inlineStr">
        <is>
          <t>BOA4X50-004</t>
        </is>
      </c>
      <c r="B1346" s="2" t="inlineStr"/>
      <c r="C1346" s="2" t="inlineStr"/>
      <c r="D1346" s="2" t="inlineStr">
        <is>
          <t>Disponible</t>
        </is>
      </c>
      <c r="E1346" s="2" t="inlineStr"/>
    </row>
    <row r="1347">
      <c r="A1347" s="2" t="inlineStr">
        <is>
          <t>TERMCAM35-001</t>
        </is>
      </c>
      <c r="B1347" s="2" t="inlineStr"/>
      <c r="C1347" s="2" t="inlineStr"/>
      <c r="D1347" s="2" t="inlineStr">
        <is>
          <t>Disponible</t>
        </is>
      </c>
      <c r="E1347" s="2" t="inlineStr"/>
    </row>
    <row r="1348">
      <c r="A1348" s="2" t="inlineStr">
        <is>
          <t>TERMCAM35-002</t>
        </is>
      </c>
      <c r="B1348" s="2" t="inlineStr"/>
      <c r="C1348" s="2" t="inlineStr"/>
      <c r="D1348" s="2" t="inlineStr">
        <is>
          <t>Disponible</t>
        </is>
      </c>
      <c r="E1348" s="2" t="inlineStr"/>
    </row>
    <row r="1349">
      <c r="A1349" s="2" t="inlineStr">
        <is>
          <t>TERMCAM35-003</t>
        </is>
      </c>
      <c r="B1349" s="2" t="inlineStr"/>
      <c r="C1349" s="2" t="inlineStr"/>
      <c r="D1349" s="2" t="inlineStr">
        <is>
          <t>Disponible</t>
        </is>
      </c>
      <c r="E1349" s="2" t="inlineStr"/>
    </row>
    <row r="1350">
      <c r="A1350" s="2" t="inlineStr">
        <is>
          <t>TERMCAM35-004</t>
        </is>
      </c>
      <c r="B1350" s="2" t="inlineStr"/>
      <c r="C1350" s="2" t="inlineStr"/>
      <c r="D1350" s="2" t="inlineStr">
        <is>
          <t>Disponible</t>
        </is>
      </c>
      <c r="E1350" s="2" t="inlineStr"/>
    </row>
    <row r="1351">
      <c r="A1351" s="2" t="inlineStr">
        <is>
          <t>TERMCAM35-005</t>
        </is>
      </c>
      <c r="B1351" s="2" t="inlineStr"/>
      <c r="C1351" s="2" t="inlineStr"/>
      <c r="D1351" s="2" t="inlineStr">
        <is>
          <t>Disponible</t>
        </is>
      </c>
      <c r="E1351" s="2" t="inlineStr"/>
    </row>
    <row r="1352">
      <c r="A1352" s="2" t="inlineStr">
        <is>
          <t>TERMCAM35-006</t>
        </is>
      </c>
      <c r="B1352" s="2" t="inlineStr"/>
      <c r="C1352" s="2" t="inlineStr"/>
      <c r="D1352" s="2" t="inlineStr">
        <is>
          <t>Disponible</t>
        </is>
      </c>
      <c r="E1352" s="2" t="inlineStr"/>
    </row>
    <row r="1353">
      <c r="A1353" s="2" t="inlineStr">
        <is>
          <t>TERMCAM35-007</t>
        </is>
      </c>
      <c r="B1353" s="2" t="inlineStr"/>
      <c r="C1353" s="2" t="inlineStr"/>
      <c r="D1353" s="2" t="inlineStr">
        <is>
          <t>Disponible</t>
        </is>
      </c>
      <c r="E1353" s="2" t="inlineStr"/>
    </row>
    <row r="1354">
      <c r="A1354" s="2" t="inlineStr">
        <is>
          <t>TERMCAM35-008</t>
        </is>
      </c>
      <c r="B1354" s="2" t="inlineStr"/>
      <c r="C1354" s="2" t="inlineStr"/>
      <c r="D1354" s="2" t="inlineStr">
        <is>
          <t>Disponible</t>
        </is>
      </c>
      <c r="E1354" s="2" t="inlineStr"/>
    </row>
    <row r="1355">
      <c r="A1355" s="2" t="inlineStr">
        <is>
          <t>TERMCAM35-009</t>
        </is>
      </c>
      <c r="B1355" s="2" t="inlineStr"/>
      <c r="C1355" s="2" t="inlineStr"/>
      <c r="D1355" s="2" t="inlineStr">
        <is>
          <t>Disponible</t>
        </is>
      </c>
      <c r="E1355" s="2" t="inlineStr"/>
    </row>
    <row r="1356">
      <c r="A1356" s="2" t="inlineStr">
        <is>
          <t>TERMCAM35-010</t>
        </is>
      </c>
      <c r="B1356" s="2" t="inlineStr"/>
      <c r="C1356" s="2" t="inlineStr"/>
      <c r="D1356" s="2" t="inlineStr">
        <is>
          <t>Disponible</t>
        </is>
      </c>
      <c r="E1356" s="2" t="inlineStr"/>
    </row>
    <row r="1357">
      <c r="A1357" s="2" t="inlineStr">
        <is>
          <t>TERMACAM-001</t>
        </is>
      </c>
      <c r="B1357" s="2" t="inlineStr"/>
      <c r="C1357" s="2" t="inlineStr"/>
      <c r="D1357" s="2" t="inlineStr">
        <is>
          <t>Disponible</t>
        </is>
      </c>
      <c r="E1357" s="2" t="inlineStr"/>
    </row>
    <row r="1358">
      <c r="A1358" s="2" t="inlineStr">
        <is>
          <t>TERMACAM-002</t>
        </is>
      </c>
      <c r="B1358" s="2" t="inlineStr"/>
      <c r="C1358" s="2" t="inlineStr"/>
      <c r="D1358" s="2" t="inlineStr">
        <is>
          <t>Disponible</t>
        </is>
      </c>
      <c r="E1358" s="2" t="inlineStr"/>
    </row>
    <row r="1359">
      <c r="A1359" s="2" t="inlineStr">
        <is>
          <t>TERMACAM-003</t>
        </is>
      </c>
      <c r="B1359" s="2" t="inlineStr"/>
      <c r="C1359" s="2" t="inlineStr"/>
      <c r="D1359" s="2" t="inlineStr">
        <is>
          <t>Disponible</t>
        </is>
      </c>
      <c r="E1359" s="2" t="inlineStr"/>
    </row>
    <row r="1360">
      <c r="A1360" s="2" t="inlineStr">
        <is>
          <t>TERMACAM-004</t>
        </is>
      </c>
      <c r="B1360" s="2" t="inlineStr"/>
      <c r="C1360" s="2" t="inlineStr"/>
      <c r="D1360" s="2" t="inlineStr">
        <is>
          <t>Disponible</t>
        </is>
      </c>
      <c r="E1360" s="2" t="inlineStr"/>
    </row>
    <row r="1361">
      <c r="A1361" s="2" t="inlineStr">
        <is>
          <t>TERMACAM-005</t>
        </is>
      </c>
      <c r="B1361" s="2" t="inlineStr"/>
      <c r="C1361" s="2" t="inlineStr"/>
      <c r="D1361" s="2" t="inlineStr">
        <is>
          <t>Disponible</t>
        </is>
      </c>
      <c r="E1361" s="2" t="inlineStr"/>
    </row>
    <row r="1362">
      <c r="A1362" s="2" t="inlineStr">
        <is>
          <t>TERMACAM-006</t>
        </is>
      </c>
      <c r="B1362" s="2" t="inlineStr"/>
      <c r="C1362" s="2" t="inlineStr"/>
      <c r="D1362" s="2" t="inlineStr">
        <is>
          <t>Disponible</t>
        </is>
      </c>
      <c r="E1362" s="2" t="inlineStr"/>
    </row>
    <row r="1363">
      <c r="A1363" s="2" t="inlineStr">
        <is>
          <t>TERMACAM-007</t>
        </is>
      </c>
      <c r="B1363" s="2" t="inlineStr"/>
      <c r="C1363" s="2" t="inlineStr"/>
      <c r="D1363" s="2" t="inlineStr">
        <is>
          <t>Disponible</t>
        </is>
      </c>
      <c r="E1363" s="2" t="inlineStr"/>
    </row>
    <row r="1364">
      <c r="A1364" s="2" t="inlineStr">
        <is>
          <t>TERMACAM-008</t>
        </is>
      </c>
      <c r="B1364" s="2" t="inlineStr"/>
      <c r="C1364" s="2" t="inlineStr"/>
      <c r="D1364" s="2" t="inlineStr">
        <is>
          <t>Disponible</t>
        </is>
      </c>
      <c r="E1364" s="2" t="inlineStr"/>
    </row>
    <row r="1365">
      <c r="A1365" s="2" t="inlineStr">
        <is>
          <t>TERMACAM-009</t>
        </is>
      </c>
      <c r="B1365" s="2" t="inlineStr"/>
      <c r="C1365" s="2" t="inlineStr"/>
      <c r="D1365" s="2" t="inlineStr">
        <is>
          <t>Disponible</t>
        </is>
      </c>
      <c r="E1365" s="2" t="inlineStr"/>
    </row>
    <row r="1366">
      <c r="A1366" s="2" t="inlineStr">
        <is>
          <t>MACHO63ACAM-001</t>
        </is>
      </c>
      <c r="B1366" s="2" t="inlineStr"/>
      <c r="C1366" s="2" t="inlineStr"/>
      <c r="D1366" s="2" t="inlineStr">
        <is>
          <t>Disponible</t>
        </is>
      </c>
      <c r="E1366" s="2" t="inlineStr"/>
    </row>
    <row r="1367">
      <c r="A1367" s="2" t="inlineStr">
        <is>
          <t>MACHO63ACAM-002</t>
        </is>
      </c>
      <c r="B1367" s="2" t="inlineStr"/>
      <c r="C1367" s="2" t="inlineStr"/>
      <c r="D1367" s="2" t="inlineStr">
        <is>
          <t>Disponible</t>
        </is>
      </c>
      <c r="E1367" s="2" t="inlineStr"/>
    </row>
    <row r="1368">
      <c r="A1368" s="2" t="inlineStr">
        <is>
          <t>TERMCAM95-001</t>
        </is>
      </c>
      <c r="B1368" s="2" t="inlineStr"/>
      <c r="C1368" s="2" t="inlineStr"/>
      <c r="D1368" s="2" t="inlineStr">
        <is>
          <t>Disponible</t>
        </is>
      </c>
      <c r="E1368" s="2" t="inlineStr"/>
    </row>
    <row r="1369">
      <c r="A1369" s="2" t="inlineStr">
        <is>
          <t>TERMCAM95-002</t>
        </is>
      </c>
      <c r="B1369" s="2" t="inlineStr"/>
      <c r="C1369" s="2" t="inlineStr"/>
      <c r="D1369" s="2" t="inlineStr">
        <is>
          <t>Disponible</t>
        </is>
      </c>
      <c r="E1369" s="2" t="inlineStr"/>
    </row>
    <row r="1370">
      <c r="A1370" s="2" t="inlineStr">
        <is>
          <t>TERMCAM95-003</t>
        </is>
      </c>
      <c r="B1370" s="2" t="inlineStr"/>
      <c r="C1370" s="2" t="inlineStr"/>
      <c r="D1370" s="2" t="inlineStr">
        <is>
          <t>Disponible</t>
        </is>
      </c>
      <c r="E1370" s="2" t="inlineStr"/>
    </row>
    <row r="1371">
      <c r="A1371" s="2" t="inlineStr">
        <is>
          <t>TERMCAM95-004</t>
        </is>
      </c>
      <c r="B1371" s="2" t="inlineStr"/>
      <c r="C1371" s="2" t="inlineStr"/>
      <c r="D1371" s="2" t="inlineStr">
        <is>
          <t>Disponible</t>
        </is>
      </c>
      <c r="E1371" s="2" t="inlineStr"/>
    </row>
    <row r="1372">
      <c r="A1372" s="2" t="inlineStr">
        <is>
          <t>TERMCAM95.1-001</t>
        </is>
      </c>
      <c r="B1372" s="2" t="inlineStr"/>
      <c r="C1372" s="2" t="inlineStr"/>
      <c r="D1372" s="2" t="inlineStr">
        <is>
          <t>Disponible</t>
        </is>
      </c>
      <c r="E1372" s="2" t="inlineStr"/>
    </row>
    <row r="1373">
      <c r="A1373" s="2" t="inlineStr">
        <is>
          <t>TERMCAM95.1-002</t>
        </is>
      </c>
      <c r="B1373" s="2" t="inlineStr"/>
      <c r="C1373" s="2" t="inlineStr"/>
      <c r="D1373" s="2" t="inlineStr">
        <is>
          <t>Disponible</t>
        </is>
      </c>
      <c r="E1373" s="2" t="inlineStr"/>
    </row>
    <row r="1374">
      <c r="A1374" s="2" t="inlineStr">
        <is>
          <t>TERMCAM95.1-003</t>
        </is>
      </c>
      <c r="B1374" s="2" t="inlineStr"/>
      <c r="C1374" s="2" t="inlineStr"/>
      <c r="D1374" s="2" t="inlineStr">
        <is>
          <t>Disponible</t>
        </is>
      </c>
      <c r="E1374" s="2" t="inlineStr"/>
    </row>
    <row r="1375">
      <c r="A1375" s="2" t="inlineStr">
        <is>
          <t>TERMCAM95.2-001</t>
        </is>
      </c>
      <c r="B1375" s="2" t="inlineStr"/>
      <c r="C1375" s="2" t="inlineStr"/>
      <c r="D1375" s="2" t="inlineStr">
        <is>
          <t>Disponible</t>
        </is>
      </c>
      <c r="E1375" s="2" t="inlineStr"/>
    </row>
    <row r="1376">
      <c r="A1376" s="2" t="inlineStr">
        <is>
          <t>TERMCAM95.2-002</t>
        </is>
      </c>
      <c r="B1376" s="2" t="inlineStr"/>
      <c r="C1376" s="2" t="inlineStr"/>
      <c r="D1376" s="2" t="inlineStr">
        <is>
          <t>Disponible</t>
        </is>
      </c>
      <c r="E1376" s="2" t="inlineStr"/>
    </row>
    <row r="1377">
      <c r="A1377" s="2" t="inlineStr">
        <is>
          <t>TERMCAM95.2-003</t>
        </is>
      </c>
      <c r="B1377" s="2" t="inlineStr"/>
      <c r="C1377" s="2" t="inlineStr"/>
      <c r="D1377" s="2" t="inlineStr">
        <is>
          <t>Disponible</t>
        </is>
      </c>
      <c r="E1377" s="2" t="inlineStr"/>
    </row>
    <row r="1378">
      <c r="A1378" s="2" t="inlineStr">
        <is>
          <t>TERMCAM95.3-001</t>
        </is>
      </c>
      <c r="B1378" s="2" t="inlineStr"/>
      <c r="C1378" s="2" t="inlineStr"/>
      <c r="D1378" s="2" t="inlineStr">
        <is>
          <t>Disponible</t>
        </is>
      </c>
      <c r="E1378" s="2" t="inlineStr"/>
    </row>
    <row r="1379">
      <c r="A1379" s="2" t="inlineStr">
        <is>
          <t>TERMCAM95.3-002</t>
        </is>
      </c>
      <c r="B1379" s="2" t="inlineStr"/>
      <c r="C1379" s="2" t="inlineStr"/>
      <c r="D1379" s="2" t="inlineStr">
        <is>
          <t>Disponible</t>
        </is>
      </c>
      <c r="E1379" s="2" t="inlineStr"/>
    </row>
    <row r="1380">
      <c r="A1380" s="2" t="inlineStr">
        <is>
          <t>TERMCAM95.3-003</t>
        </is>
      </c>
      <c r="B1380" s="2" t="inlineStr"/>
      <c r="C1380" s="2" t="inlineStr"/>
      <c r="D1380" s="2" t="inlineStr">
        <is>
          <t>Disponible</t>
        </is>
      </c>
      <c r="E1380" s="2" t="inlineStr"/>
    </row>
    <row r="1381">
      <c r="A1381" s="2" t="inlineStr">
        <is>
          <t>TERMCAM95.4-001</t>
        </is>
      </c>
      <c r="B1381" s="2" t="inlineStr"/>
      <c r="C1381" s="2" t="inlineStr"/>
      <c r="D1381" s="2" t="inlineStr">
        <is>
          <t>Disponible</t>
        </is>
      </c>
      <c r="E1381" s="2" t="inlineStr"/>
    </row>
    <row r="1382">
      <c r="A1382" s="2" t="inlineStr">
        <is>
          <t>TERMCAM95.4-002</t>
        </is>
      </c>
      <c r="B1382" s="2" t="inlineStr"/>
      <c r="C1382" s="2" t="inlineStr"/>
      <c r="D1382" s="2" t="inlineStr">
        <is>
          <t>Disponible</t>
        </is>
      </c>
      <c r="E1382" s="2" t="inlineStr"/>
    </row>
    <row r="1383">
      <c r="A1383" s="2" t="inlineStr">
        <is>
          <t>TERMCAM95.4-003</t>
        </is>
      </c>
      <c r="B1383" s="2" t="inlineStr"/>
      <c r="C1383" s="2" t="inlineStr"/>
      <c r="D1383" s="2" t="inlineStr">
        <is>
          <t>Disponible</t>
        </is>
      </c>
      <c r="E1383" s="2" t="inlineStr"/>
    </row>
    <row r="1384">
      <c r="A1384" s="2" t="inlineStr">
        <is>
          <t>CAMTERMVERDE-001</t>
        </is>
      </c>
      <c r="B1384" s="2" t="inlineStr"/>
      <c r="C1384" s="2" t="inlineStr"/>
      <c r="D1384" s="2" t="inlineStr">
        <is>
          <t>Disponible</t>
        </is>
      </c>
      <c r="E1384" s="2" t="inlineStr"/>
    </row>
    <row r="1385">
      <c r="A1385" s="2" t="inlineStr">
        <is>
          <t>TERM5014-001</t>
        </is>
      </c>
      <c r="B1385" s="2" t="inlineStr"/>
      <c r="C1385" s="2" t="inlineStr"/>
      <c r="D1385" s="2" t="inlineStr">
        <is>
          <t>Disponible</t>
        </is>
      </c>
      <c r="E1385" s="2" t="inlineStr"/>
    </row>
    <row r="1386">
      <c r="A1386" s="2" t="inlineStr">
        <is>
          <t>TERM5014-002</t>
        </is>
      </c>
      <c r="B1386" s="2" t="inlineStr"/>
      <c r="C1386" s="2" t="inlineStr"/>
      <c r="D1386" s="2" t="inlineStr">
        <is>
          <t>Disponible</t>
        </is>
      </c>
      <c r="E1386" s="2" t="inlineStr"/>
    </row>
    <row r="1387">
      <c r="A1387" s="2" t="inlineStr">
        <is>
          <t>MANGA1</t>
        </is>
      </c>
      <c r="B1387" s="2" t="inlineStr"/>
      <c r="C1387" s="2" t="inlineStr"/>
      <c r="D1387" s="2" t="inlineStr">
        <is>
          <t>Disponible</t>
        </is>
      </c>
      <c r="E1387" s="2" t="inlineStr"/>
    </row>
    <row r="1388">
      <c r="A1388" s="2" t="inlineStr">
        <is>
          <t>MANGA2</t>
        </is>
      </c>
      <c r="B1388" s="2" t="inlineStr"/>
      <c r="C1388" s="2" t="inlineStr"/>
      <c r="D1388" s="2" t="inlineStr">
        <is>
          <t>Disponible</t>
        </is>
      </c>
      <c r="E1388" s="2" t="inlineStr"/>
    </row>
    <row r="1389">
      <c r="A1389" s="2" t="inlineStr">
        <is>
          <t>MANGA3</t>
        </is>
      </c>
      <c r="B1389" s="2" t="inlineStr"/>
      <c r="C1389" s="2" t="inlineStr"/>
      <c r="D1389" s="2" t="inlineStr">
        <is>
          <t>Disponible</t>
        </is>
      </c>
      <c r="E1389" s="2" t="inlineStr"/>
    </row>
    <row r="1390">
      <c r="A1390" s="2" t="inlineStr">
        <is>
          <t>MANGA4</t>
        </is>
      </c>
      <c r="B1390" s="2" t="inlineStr"/>
      <c r="C1390" s="2" t="inlineStr"/>
      <c r="D1390" s="2" t="inlineStr">
        <is>
          <t>Disponible</t>
        </is>
      </c>
      <c r="E1390" s="2" t="inlineStr"/>
    </row>
    <row r="1391">
      <c r="A1391" s="2" t="inlineStr">
        <is>
          <t>MANGA5</t>
        </is>
      </c>
      <c r="B1391" s="2" t="inlineStr"/>
      <c r="C1391" s="2" t="inlineStr"/>
      <c r="D1391" s="2" t="inlineStr">
        <is>
          <t>Disponible</t>
        </is>
      </c>
      <c r="E1391" s="2" t="inlineStr"/>
    </row>
    <row r="1392">
      <c r="A1392" s="2" t="inlineStr">
        <is>
          <t>TAB-001</t>
        </is>
      </c>
      <c r="B1392" s="2" t="inlineStr"/>
      <c r="C1392" s="2" t="inlineStr"/>
      <c r="D1392" s="2" t="inlineStr">
        <is>
          <t>Disponible</t>
        </is>
      </c>
      <c r="E1392" s="2" t="inlineStr"/>
    </row>
    <row r="1393">
      <c r="A1393" s="2" t="inlineStr">
        <is>
          <t>TAB-002</t>
        </is>
      </c>
      <c r="B1393" s="2" t="inlineStr"/>
      <c r="C1393" s="2" t="inlineStr"/>
      <c r="D1393" s="2" t="inlineStr">
        <is>
          <t>Disponible</t>
        </is>
      </c>
      <c r="E1393" s="2" t="inlineStr"/>
    </row>
    <row r="1394">
      <c r="A1394" s="2" t="inlineStr">
        <is>
          <t>TAB-003</t>
        </is>
      </c>
      <c r="B1394" s="2" t="inlineStr"/>
      <c r="C1394" s="2" t="inlineStr"/>
      <c r="D1394" s="2" t="inlineStr">
        <is>
          <t>Disponible</t>
        </is>
      </c>
      <c r="E1394" s="2" t="inlineStr"/>
    </row>
    <row r="1395">
      <c r="A1395" s="2" t="inlineStr">
        <is>
          <t>TAB-004</t>
        </is>
      </c>
      <c r="B1395" s="2" t="inlineStr"/>
      <c r="C1395" s="2" t="inlineStr"/>
      <c r="D1395" s="2" t="inlineStr">
        <is>
          <t>Disponible</t>
        </is>
      </c>
      <c r="E1395" s="2" t="inlineStr"/>
    </row>
    <row r="1396">
      <c r="A1396" s="2" t="inlineStr">
        <is>
          <t>TAB-005</t>
        </is>
      </c>
      <c r="B1396" s="2" t="inlineStr"/>
      <c r="C1396" s="2" t="inlineStr"/>
      <c r="D1396" s="2" t="inlineStr">
        <is>
          <t>Disponible</t>
        </is>
      </c>
      <c r="E1396" s="2" t="inlineStr"/>
    </row>
    <row r="1397">
      <c r="A1397" s="2" t="inlineStr">
        <is>
          <t>TAB-006</t>
        </is>
      </c>
      <c r="B1397" s="2" t="inlineStr"/>
      <c r="C1397" s="2" t="inlineStr"/>
      <c r="D1397" s="2" t="inlineStr">
        <is>
          <t>Disponible</t>
        </is>
      </c>
      <c r="E1397" s="2" t="inlineStr"/>
    </row>
    <row r="1398">
      <c r="A1398" s="2" t="inlineStr">
        <is>
          <t>TAB-007</t>
        </is>
      </c>
      <c r="B1398" s="2" t="inlineStr"/>
      <c r="C1398" s="2" t="inlineStr"/>
      <c r="D1398" s="2" t="inlineStr">
        <is>
          <t>Disponible</t>
        </is>
      </c>
      <c r="E1398" s="2" t="inlineStr"/>
    </row>
    <row r="1399">
      <c r="A1399" s="2" t="inlineStr">
        <is>
          <t>TAB-008</t>
        </is>
      </c>
      <c r="B1399" s="2" t="inlineStr"/>
      <c r="C1399" s="2" t="inlineStr"/>
      <c r="D1399" s="2" t="inlineStr">
        <is>
          <t>Disponible</t>
        </is>
      </c>
      <c r="E1399" s="2" t="inlineStr"/>
    </row>
    <row r="1400">
      <c r="A1400" s="2" t="inlineStr">
        <is>
          <t>TAB-009</t>
        </is>
      </c>
      <c r="B1400" s="2" t="inlineStr"/>
      <c r="C1400" s="2" t="inlineStr"/>
      <c r="D1400" s="2" t="inlineStr">
        <is>
          <t>Disponible</t>
        </is>
      </c>
      <c r="E1400" s="2" t="inlineStr"/>
    </row>
    <row r="1401">
      <c r="A1401" s="2" t="inlineStr">
        <is>
          <t>TAB-010</t>
        </is>
      </c>
      <c r="B1401" s="2" t="inlineStr"/>
      <c r="C1401" s="2" t="inlineStr"/>
      <c r="D1401" s="2" t="inlineStr">
        <is>
          <t>Disponible</t>
        </is>
      </c>
      <c r="E1401" s="2" t="inlineStr"/>
    </row>
    <row r="1402">
      <c r="A1402" s="2" t="inlineStr">
        <is>
          <t>TAB-011</t>
        </is>
      </c>
      <c r="B1402" s="2" t="inlineStr"/>
      <c r="C1402" s="2" t="inlineStr"/>
      <c r="D1402" s="2" t="inlineStr">
        <is>
          <t>Disponible</t>
        </is>
      </c>
      <c r="E1402" s="2" t="inlineStr"/>
    </row>
    <row r="1403">
      <c r="A1403" s="2" t="inlineStr">
        <is>
          <t>TAB-012</t>
        </is>
      </c>
      <c r="B1403" s="2" t="inlineStr"/>
      <c r="C1403" s="2" t="inlineStr"/>
      <c r="D1403" s="2" t="inlineStr">
        <is>
          <t>Disponible</t>
        </is>
      </c>
      <c r="E1403" s="2" t="inlineStr"/>
    </row>
    <row r="1404">
      <c r="A1404" s="2" t="inlineStr">
        <is>
          <t>TAB-013</t>
        </is>
      </c>
      <c r="B1404" s="2" t="inlineStr"/>
      <c r="C1404" s="2" t="inlineStr"/>
      <c r="D1404" s="2" t="inlineStr">
        <is>
          <t>Disponible</t>
        </is>
      </c>
      <c r="E1404" s="2" t="inlineStr"/>
    </row>
    <row r="1405">
      <c r="A1405" s="2" t="inlineStr">
        <is>
          <t>TAB-014</t>
        </is>
      </c>
      <c r="B1405" s="2" t="inlineStr"/>
      <c r="C1405" s="2" t="inlineStr"/>
      <c r="D1405" s="2" t="inlineStr">
        <is>
          <t>Disponible</t>
        </is>
      </c>
      <c r="E1405" s="2" t="inlineStr"/>
    </row>
    <row r="1406">
      <c r="A1406" s="2" t="inlineStr">
        <is>
          <t>TAB-015</t>
        </is>
      </c>
      <c r="B1406" s="2" t="inlineStr"/>
      <c r="C1406" s="2" t="inlineStr"/>
      <c r="D1406" s="2" t="inlineStr">
        <is>
          <t>Disponible</t>
        </is>
      </c>
      <c r="E1406" s="2" t="inlineStr"/>
    </row>
    <row r="1407">
      <c r="A1407" s="2" t="inlineStr">
        <is>
          <t>TAB-016</t>
        </is>
      </c>
      <c r="B1407" s="2" t="inlineStr"/>
      <c r="C1407" s="2" t="inlineStr"/>
      <c r="D1407" s="2" t="inlineStr">
        <is>
          <t>Disponible</t>
        </is>
      </c>
      <c r="E1407" s="2" t="inlineStr"/>
    </row>
    <row r="1408">
      <c r="A1408" s="2" t="inlineStr">
        <is>
          <t>TAB-017</t>
        </is>
      </c>
      <c r="B1408" s="2" t="inlineStr"/>
      <c r="C1408" s="2" t="inlineStr"/>
      <c r="D1408" s="2" t="inlineStr">
        <is>
          <t>Disponible</t>
        </is>
      </c>
      <c r="E1408" s="2" t="inlineStr"/>
    </row>
    <row r="1409">
      <c r="A1409" s="2" t="inlineStr">
        <is>
          <t>TAB-018</t>
        </is>
      </c>
      <c r="B1409" s="2" t="inlineStr"/>
      <c r="C1409" s="2" t="inlineStr"/>
      <c r="D1409" s="2" t="inlineStr">
        <is>
          <t>Disponible</t>
        </is>
      </c>
      <c r="E1409" s="2" t="inlineStr"/>
    </row>
    <row r="1410">
      <c r="A1410" s="2" t="inlineStr">
        <is>
          <t>TAB-019</t>
        </is>
      </c>
      <c r="B1410" s="2" t="inlineStr"/>
      <c r="C1410" s="2" t="inlineStr"/>
      <c r="D1410" s="2" t="inlineStr">
        <is>
          <t>Disponible</t>
        </is>
      </c>
      <c r="E1410" s="2" t="inlineStr"/>
    </row>
    <row r="1411">
      <c r="A1411" s="2" t="inlineStr">
        <is>
          <t>TAB-020</t>
        </is>
      </c>
      <c r="B1411" s="2" t="inlineStr"/>
      <c r="C1411" s="2" t="inlineStr"/>
      <c r="D1411" s="2" t="inlineStr">
        <is>
          <t>Disponible</t>
        </is>
      </c>
      <c r="E1411" s="2" t="inlineStr"/>
    </row>
  </sheetData>
  <autoFilter ref="A1:E1411"/>
  <dataValidations count="1">
    <dataValidation sqref="D2:D1411" showDropDown="0" showInputMessage="0" showErrorMessage="0" allowBlank="1" type="list">
      <formula1>"Disponible,Reservado,Afuera,Mantenimiento,Perdido"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2" customWidth="1" min="4" max="4"/>
    <col width="18" customWidth="1" min="5" max="5"/>
    <col width="36" customWidth="1" min="6" max="6"/>
    <col width="18" customWidth="1" min="7" max="7"/>
  </cols>
  <sheetData>
    <row r="1" ht="24" customHeight="1">
      <c r="A1" s="5" t="inlineStr">
        <is>
          <t>Pedido</t>
        </is>
      </c>
      <c r="B1" s="6" t="inlineStr">
        <is>
          <t>Fecha</t>
        </is>
      </c>
      <c r="C1" s="5" t="inlineStr">
        <is>
          <t>Evento</t>
        </is>
      </c>
      <c r="D1" s="5" t="inlineStr">
        <is>
          <t>Solicitante</t>
        </is>
      </c>
      <c r="E1" s="5" t="inlineStr">
        <is>
          <t>Estado</t>
        </is>
      </c>
      <c r="F1" s="5" t="inlineStr">
        <is>
          <t>Notas</t>
        </is>
      </c>
      <c r="G1" s="5" t="inlineStr">
        <is>
          <t>Validacion</t>
        </is>
      </c>
    </row>
    <row r="2">
      <c r="A2" s="2" t="inlineStr">
        <is>
          <t>PED-0001</t>
        </is>
      </c>
      <c r="B2" s="7" t="n">
        <v>46166.57286904846</v>
      </c>
      <c r="C2" s="2" t="inlineStr">
        <is>
          <t>&lt;openpyxl.worksheet.formula.ArrayFormula object at 0x0000021AD9ABCE00&gt;</t>
        </is>
      </c>
      <c r="D2" s="2" t="inlineStr"/>
      <c r="E2" s="2" t="inlineStr">
        <is>
          <t>Confirmado</t>
        </is>
      </c>
      <c r="F2" s="2" t="inlineStr"/>
      <c r="G2" s="2" t="inlineStr"/>
    </row>
    <row r="3">
      <c r="A3" s="2" t="inlineStr">
        <is>
          <t>PED-0002</t>
        </is>
      </c>
      <c r="B3" s="7" t="n">
        <v>46166.57286904846</v>
      </c>
      <c r="C3" s="2" t="inlineStr">
        <is>
          <t>Tecnopolis</t>
        </is>
      </c>
      <c r="D3" s="2" t="inlineStr"/>
      <c r="E3" s="2" t="inlineStr">
        <is>
          <t>Borrador</t>
        </is>
      </c>
      <c r="F3" s="2" t="inlineStr"/>
      <c r="G3" s="2" t="inlineStr"/>
    </row>
    <row r="4">
      <c r="A4" s="2" t="inlineStr"/>
      <c r="B4" s="7" t="inlineStr"/>
      <c r="C4" s="2" t="inlineStr"/>
      <c r="D4" s="2" t="inlineStr"/>
      <c r="E4" s="2" t="inlineStr"/>
      <c r="F4" s="2" t="inlineStr"/>
      <c r="G4" s="2" t="inlineStr"/>
    </row>
    <row r="5">
      <c r="A5" s="2" t="inlineStr"/>
      <c r="B5" s="7" t="inlineStr"/>
      <c r="C5" s="2" t="inlineStr"/>
      <c r="D5" s="2" t="inlineStr"/>
      <c r="E5" s="2" t="inlineStr"/>
      <c r="F5" s="2" t="inlineStr"/>
      <c r="G5" s="2" t="inlineStr"/>
    </row>
    <row r="6">
      <c r="A6" s="2" t="inlineStr"/>
      <c r="B6" s="7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7" t="inlineStr"/>
      <c r="C7" s="2" t="inlineStr"/>
      <c r="D7" s="2" t="inlineStr"/>
      <c r="E7" s="2" t="inlineStr"/>
      <c r="F7" s="2" t="inlineStr"/>
      <c r="G7" s="2" t="inlineStr"/>
    </row>
    <row r="8">
      <c r="A8" s="2" t="inlineStr"/>
      <c r="B8" s="7" t="inlineStr"/>
      <c r="C8" s="2" t="inlineStr"/>
      <c r="D8" s="2" t="inlineStr"/>
      <c r="E8" s="2" t="inlineStr"/>
      <c r="F8" s="2" t="inlineStr"/>
      <c r="G8" s="2" t="inlineStr"/>
    </row>
    <row r="9">
      <c r="A9" s="2" t="inlineStr"/>
      <c r="B9" s="7" t="inlineStr"/>
      <c r="C9" s="2" t="inlineStr"/>
      <c r="D9" s="2" t="inlineStr"/>
      <c r="E9" s="2" t="inlineStr"/>
      <c r="F9" s="2" t="inlineStr"/>
      <c r="G9" s="2" t="inlineStr"/>
    </row>
    <row r="10">
      <c r="A10" s="2" t="inlineStr"/>
      <c r="B10" s="7" t="inlineStr"/>
      <c r="C10" s="2" t="inlineStr"/>
      <c r="D10" s="2" t="inlineStr"/>
      <c r="E10" s="2" t="inlineStr"/>
      <c r="F10" s="2" t="inlineStr"/>
      <c r="G10" s="2" t="inlineStr"/>
    </row>
    <row r="11">
      <c r="A11" s="2" t="inlineStr"/>
      <c r="B11" s="7" t="inlineStr"/>
      <c r="C11" s="2" t="inlineStr"/>
      <c r="D11" s="2" t="inlineStr"/>
      <c r="E11" s="2" t="inlineStr"/>
      <c r="F11" s="2" t="inlineStr"/>
      <c r="G11" s="2" t="inlineStr"/>
    </row>
    <row r="12">
      <c r="A12" s="2" t="inlineStr"/>
      <c r="B12" s="7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7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7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7" t="inlineStr"/>
      <c r="C15" s="2" t="inlineStr"/>
      <c r="D15" s="2" t="inlineStr"/>
      <c r="E15" s="2" t="inlineStr"/>
      <c r="F15" s="2" t="inlineStr"/>
      <c r="G15" s="2" t="inlineStr"/>
    </row>
    <row r="16">
      <c r="A16" s="2" t="inlineStr"/>
      <c r="B16" s="7" t="inlineStr"/>
      <c r="C16" s="2" t="inlineStr"/>
      <c r="D16" s="2" t="inlineStr"/>
      <c r="E16" s="2" t="inlineStr"/>
      <c r="F16" s="2" t="inlineStr"/>
      <c r="G16" s="2" t="inlineStr"/>
    </row>
    <row r="17">
      <c r="A17" s="2" t="inlineStr"/>
      <c r="B17" s="7" t="inlineStr"/>
      <c r="C17" s="2" t="inlineStr"/>
      <c r="D17" s="2" t="inlineStr"/>
      <c r="E17" s="2" t="inlineStr"/>
      <c r="F17" s="2" t="inlineStr"/>
      <c r="G17" s="2" t="inlineStr"/>
    </row>
    <row r="18">
      <c r="A18" s="2" t="inlineStr"/>
      <c r="B18" s="7" t="inlineStr"/>
      <c r="C18" s="2" t="inlineStr"/>
      <c r="D18" s="2" t="inlineStr"/>
      <c r="E18" s="2" t="inlineStr"/>
      <c r="F18" s="2" t="inlineStr"/>
      <c r="G18" s="2" t="inlineStr"/>
    </row>
    <row r="19">
      <c r="A19" s="2" t="inlineStr"/>
      <c r="B19" s="7" t="inlineStr"/>
      <c r="C19" s="2" t="inlineStr"/>
      <c r="D19" s="2" t="inlineStr"/>
      <c r="E19" s="2" t="inlineStr"/>
      <c r="F19" s="2" t="inlineStr"/>
      <c r="G19" s="2" t="inlineStr"/>
    </row>
    <row r="20">
      <c r="A20" s="2" t="inlineStr"/>
      <c r="B20" s="7" t="inlineStr"/>
      <c r="C20" s="2" t="inlineStr"/>
      <c r="D20" s="2" t="inlineStr"/>
      <c r="E20" s="2" t="inlineStr"/>
      <c r="F20" s="2" t="inlineStr"/>
      <c r="G20" s="2" t="inlineStr"/>
    </row>
    <row r="21">
      <c r="A21" s="2" t="inlineStr"/>
      <c r="B21" s="7" t="inlineStr"/>
      <c r="C21" s="2" t="inlineStr"/>
      <c r="D21" s="2" t="inlineStr"/>
      <c r="E21" s="2" t="inlineStr"/>
      <c r="F21" s="2" t="inlineStr"/>
      <c r="G21" s="2" t="inlineStr"/>
    </row>
    <row r="22">
      <c r="A22" s="2" t="inlineStr"/>
      <c r="B22" s="7" t="inlineStr"/>
      <c r="C22" s="2" t="inlineStr"/>
      <c r="D22" s="2" t="inlineStr"/>
      <c r="E22" s="2" t="inlineStr"/>
      <c r="F22" s="2" t="inlineStr"/>
      <c r="G22" s="2" t="inlineStr"/>
    </row>
    <row r="23">
      <c r="A23" s="2" t="inlineStr"/>
      <c r="B23" s="7" t="inlineStr"/>
      <c r="C23" s="2" t="inlineStr"/>
      <c r="D23" s="2" t="inlineStr"/>
      <c r="E23" s="2" t="inlineStr"/>
      <c r="F23" s="2" t="inlineStr"/>
      <c r="G23" s="2" t="inlineStr"/>
    </row>
    <row r="24">
      <c r="A24" s="2" t="inlineStr"/>
      <c r="B24" s="7" t="inlineStr"/>
      <c r="C24" s="2" t="inlineStr"/>
      <c r="D24" s="2" t="inlineStr"/>
      <c r="E24" s="2" t="inlineStr"/>
      <c r="F24" s="2" t="inlineStr"/>
      <c r="G24" s="2" t="inlineStr"/>
    </row>
    <row r="25">
      <c r="A25" s="2" t="inlineStr"/>
      <c r="B25" s="7" t="inlineStr"/>
      <c r="C25" s="2" t="inlineStr"/>
      <c r="D25" s="2" t="inlineStr"/>
      <c r="E25" s="2" t="inlineStr"/>
      <c r="F25" s="2" t="inlineStr"/>
      <c r="G25" s="2" t="inlineStr"/>
    </row>
    <row r="26">
      <c r="A26" s="2" t="inlineStr"/>
      <c r="B26" s="7" t="inlineStr"/>
      <c r="C26" s="2" t="inlineStr"/>
      <c r="D26" s="2" t="inlineStr"/>
      <c r="E26" s="2" t="inlineStr"/>
      <c r="F26" s="2" t="inlineStr"/>
      <c r="G26" s="2" t="inlineStr"/>
    </row>
    <row r="27">
      <c r="A27" s="2" t="inlineStr"/>
      <c r="B27" s="7" t="inlineStr"/>
      <c r="C27" s="2" t="inlineStr"/>
      <c r="D27" s="2" t="inlineStr"/>
      <c r="E27" s="2" t="inlineStr"/>
      <c r="F27" s="2" t="inlineStr"/>
      <c r="G27" s="2" t="inlineStr"/>
    </row>
    <row r="28">
      <c r="A28" s="2" t="inlineStr"/>
      <c r="B28" s="7" t="inlineStr"/>
      <c r="C28" s="2" t="inlineStr"/>
      <c r="D28" s="2" t="inlineStr"/>
      <c r="E28" s="2" t="inlineStr"/>
      <c r="F28" s="2" t="inlineStr"/>
      <c r="G28" s="2" t="inlineStr"/>
    </row>
    <row r="29">
      <c r="A29" s="2" t="inlineStr"/>
      <c r="B29" s="7" t="inlineStr"/>
      <c r="C29" s="2" t="inlineStr"/>
      <c r="D29" s="2" t="inlineStr"/>
      <c r="E29" s="2" t="inlineStr"/>
      <c r="F29" s="2" t="inlineStr"/>
      <c r="G29" s="2" t="inlineStr"/>
    </row>
    <row r="30">
      <c r="A30" s="2" t="inlineStr"/>
      <c r="B30" s="7" t="inlineStr"/>
      <c r="C30" s="2" t="inlineStr"/>
      <c r="D30" s="2" t="inlineStr"/>
      <c r="E30" s="2" t="inlineStr"/>
      <c r="F30" s="2" t="inlineStr"/>
      <c r="G30" s="2" t="inlineStr"/>
    </row>
    <row r="31">
      <c r="A31" s="2" t="inlineStr"/>
      <c r="B31" s="7" t="inlineStr"/>
      <c r="C31" s="2" t="inlineStr"/>
      <c r="D31" s="2" t="inlineStr"/>
      <c r="E31" s="2" t="inlineStr"/>
      <c r="F31" s="2" t="inlineStr"/>
      <c r="G31" s="2" t="inlineStr"/>
    </row>
    <row r="32">
      <c r="A32" s="2" t="inlineStr"/>
      <c r="B32" s="7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7" t="inlineStr"/>
      <c r="C33" s="2" t="inlineStr"/>
      <c r="D33" s="2" t="inlineStr"/>
      <c r="E33" s="2" t="inlineStr"/>
      <c r="F33" s="2" t="inlineStr"/>
      <c r="G33" s="2" t="inlineStr"/>
    </row>
    <row r="34">
      <c r="A34" s="2" t="inlineStr"/>
      <c r="B34" s="7" t="inlineStr"/>
      <c r="C34" s="2" t="inlineStr"/>
      <c r="D34" s="2" t="inlineStr"/>
      <c r="E34" s="2" t="inlineStr"/>
      <c r="F34" s="2" t="inlineStr"/>
      <c r="G34" s="2" t="inlineStr"/>
    </row>
    <row r="35">
      <c r="A35" s="2" t="inlineStr"/>
      <c r="B35" s="7" t="inlineStr"/>
      <c r="C35" s="2" t="inlineStr"/>
      <c r="D35" s="2" t="inlineStr"/>
      <c r="E35" s="2" t="inlineStr"/>
      <c r="F35" s="2" t="inlineStr"/>
      <c r="G35" s="2" t="inlineStr"/>
    </row>
    <row r="36">
      <c r="A36" s="2" t="inlineStr"/>
      <c r="B36" s="7" t="inlineStr"/>
      <c r="C36" s="2" t="inlineStr"/>
      <c r="D36" s="2" t="inlineStr"/>
      <c r="E36" s="2" t="inlineStr"/>
      <c r="F36" s="2" t="inlineStr"/>
      <c r="G36" s="2" t="inlineStr"/>
    </row>
    <row r="37">
      <c r="A37" s="2" t="inlineStr"/>
      <c r="B37" s="7" t="inlineStr"/>
      <c r="C37" s="2" t="inlineStr"/>
      <c r="D37" s="2" t="inlineStr"/>
      <c r="E37" s="2" t="inlineStr"/>
      <c r="F37" s="2" t="inlineStr"/>
      <c r="G37" s="2" t="inlineStr"/>
    </row>
    <row r="38">
      <c r="A38" s="2" t="inlineStr"/>
      <c r="B38" s="7" t="inlineStr"/>
      <c r="C38" s="2" t="inlineStr"/>
      <c r="D38" s="2" t="inlineStr"/>
      <c r="E38" s="2" t="inlineStr"/>
      <c r="F38" s="2" t="inlineStr"/>
      <c r="G38" s="2" t="inlineStr"/>
    </row>
    <row r="39">
      <c r="A39" s="2" t="inlineStr"/>
      <c r="B39" s="7" t="inlineStr"/>
      <c r="C39" s="2" t="inlineStr"/>
      <c r="D39" s="2" t="inlineStr"/>
      <c r="E39" s="2" t="inlineStr"/>
      <c r="F39" s="2" t="inlineStr"/>
      <c r="G39" s="2" t="inlineStr"/>
    </row>
    <row r="40">
      <c r="A40" s="2" t="inlineStr"/>
      <c r="B40" s="7" t="inlineStr"/>
      <c r="C40" s="2" t="inlineStr"/>
      <c r="D40" s="2" t="inlineStr"/>
      <c r="E40" s="2" t="inlineStr"/>
      <c r="F40" s="2" t="inlineStr"/>
      <c r="G40" s="2" t="inlineStr"/>
    </row>
    <row r="41">
      <c r="A41" s="2" t="inlineStr"/>
      <c r="B41" s="7" t="inlineStr"/>
      <c r="C41" s="2" t="inlineStr"/>
      <c r="D41" s="2" t="inlineStr"/>
      <c r="E41" s="2" t="inlineStr"/>
      <c r="F41" s="2" t="inlineStr"/>
      <c r="G41" s="2" t="inlineStr"/>
    </row>
    <row r="42">
      <c r="A42" s="2" t="inlineStr"/>
      <c r="B42" s="7" t="inlineStr"/>
      <c r="C42" s="2" t="inlineStr"/>
      <c r="D42" s="2" t="inlineStr"/>
      <c r="E42" s="2" t="inlineStr"/>
      <c r="F42" s="2" t="inlineStr"/>
      <c r="G42" s="2" t="inlineStr"/>
    </row>
    <row r="43">
      <c r="A43" s="2" t="inlineStr"/>
      <c r="B43" s="7" t="inlineStr"/>
      <c r="C43" s="2" t="inlineStr"/>
      <c r="D43" s="2" t="inlineStr"/>
      <c r="E43" s="2" t="inlineStr"/>
      <c r="F43" s="2" t="inlineStr"/>
      <c r="G43" s="2" t="inlineStr"/>
    </row>
    <row r="44">
      <c r="A44" s="2" t="inlineStr"/>
      <c r="B44" s="7" t="inlineStr"/>
      <c r="C44" s="2" t="inlineStr"/>
      <c r="D44" s="2" t="inlineStr"/>
      <c r="E44" s="2" t="inlineStr"/>
      <c r="F44" s="2" t="inlineStr"/>
      <c r="G44" s="2" t="inlineStr"/>
    </row>
    <row r="45">
      <c r="A45" s="2" t="inlineStr"/>
      <c r="B45" s="7" t="inlineStr"/>
      <c r="C45" s="2" t="inlineStr"/>
      <c r="D45" s="2" t="inlineStr"/>
      <c r="E45" s="2" t="inlineStr"/>
      <c r="F45" s="2" t="inlineStr"/>
      <c r="G45" s="2" t="inlineStr"/>
    </row>
    <row r="46">
      <c r="A46" s="2" t="inlineStr"/>
      <c r="B46" s="7" t="inlineStr"/>
      <c r="C46" s="2" t="inlineStr"/>
      <c r="D46" s="2" t="inlineStr"/>
      <c r="E46" s="2" t="inlineStr"/>
      <c r="F46" s="2" t="inlineStr"/>
      <c r="G46" s="2" t="inlineStr"/>
    </row>
    <row r="47">
      <c r="A47" s="2" t="inlineStr"/>
      <c r="B47" s="7" t="inlineStr"/>
      <c r="C47" s="2" t="inlineStr"/>
      <c r="D47" s="2" t="inlineStr"/>
      <c r="E47" s="2" t="inlineStr"/>
      <c r="F47" s="2" t="inlineStr"/>
      <c r="G47" s="2" t="inlineStr"/>
    </row>
    <row r="48">
      <c r="A48" s="2" t="inlineStr"/>
      <c r="B48" s="7" t="inlineStr"/>
      <c r="C48" s="2" t="inlineStr"/>
      <c r="D48" s="2" t="inlineStr"/>
      <c r="E48" s="2" t="inlineStr"/>
      <c r="F48" s="2" t="inlineStr"/>
      <c r="G48" s="2" t="inlineStr"/>
    </row>
    <row r="49">
      <c r="A49" s="2" t="inlineStr"/>
      <c r="B49" s="7" t="inlineStr"/>
      <c r="C49" s="2" t="inlineStr"/>
      <c r="D49" s="2" t="inlineStr"/>
      <c r="E49" s="2" t="inlineStr"/>
      <c r="F49" s="2" t="inlineStr"/>
      <c r="G49" s="2" t="inlineStr"/>
    </row>
    <row r="50">
      <c r="A50" s="2" t="inlineStr"/>
      <c r="B50" s="7" t="inlineStr"/>
      <c r="C50" s="2" t="inlineStr"/>
      <c r="D50" s="2" t="inlineStr"/>
      <c r="E50" s="2" t="inlineStr"/>
      <c r="F50" s="2" t="inlineStr"/>
      <c r="G50" s="2" t="inlineStr"/>
    </row>
    <row r="51">
      <c r="A51" s="2" t="inlineStr"/>
      <c r="B51" s="7" t="inlineStr"/>
      <c r="C51" s="2" t="inlineStr"/>
      <c r="D51" s="2" t="inlineStr"/>
      <c r="E51" s="2" t="inlineStr"/>
      <c r="F51" s="2" t="inlineStr"/>
      <c r="G51" s="2" t="inlineStr"/>
    </row>
    <row r="52">
      <c r="A52" s="2" t="inlineStr"/>
      <c r="B52" s="7" t="inlineStr"/>
      <c r="C52" s="2" t="inlineStr"/>
      <c r="D52" s="2" t="inlineStr"/>
      <c r="E52" s="2" t="inlineStr"/>
      <c r="F52" s="2" t="inlineStr"/>
      <c r="G52" s="2" t="inlineStr"/>
    </row>
    <row r="53">
      <c r="A53" s="2" t="inlineStr"/>
      <c r="B53" s="7" t="inlineStr"/>
      <c r="C53" s="2" t="inlineStr"/>
      <c r="D53" s="2" t="inlineStr"/>
      <c r="E53" s="2" t="inlineStr"/>
      <c r="F53" s="2" t="inlineStr"/>
      <c r="G53" s="2" t="inlineStr"/>
    </row>
    <row r="54">
      <c r="A54" s="2" t="inlineStr"/>
      <c r="B54" s="7" t="inlineStr"/>
      <c r="C54" s="2" t="inlineStr"/>
      <c r="D54" s="2" t="inlineStr"/>
      <c r="E54" s="2" t="inlineStr"/>
      <c r="F54" s="2" t="inlineStr"/>
      <c r="G54" s="2" t="inlineStr"/>
    </row>
    <row r="55">
      <c r="A55" s="2" t="inlineStr"/>
      <c r="B55" s="7" t="inlineStr"/>
      <c r="C55" s="2" t="inlineStr"/>
      <c r="D55" s="2" t="inlineStr"/>
      <c r="E55" s="2" t="inlineStr"/>
      <c r="F55" s="2" t="inlineStr"/>
      <c r="G55" s="2" t="inlineStr"/>
    </row>
    <row r="56">
      <c r="A56" s="2" t="inlineStr"/>
      <c r="B56" s="7" t="inlineStr"/>
      <c r="C56" s="2" t="inlineStr"/>
      <c r="D56" s="2" t="inlineStr"/>
      <c r="E56" s="2" t="inlineStr"/>
      <c r="F56" s="2" t="inlineStr"/>
      <c r="G56" s="2" t="inlineStr"/>
    </row>
    <row r="57">
      <c r="A57" s="2" t="inlineStr"/>
      <c r="B57" s="7" t="inlineStr"/>
      <c r="C57" s="2" t="inlineStr"/>
      <c r="D57" s="2" t="inlineStr"/>
      <c r="E57" s="2" t="inlineStr"/>
      <c r="F57" s="2" t="inlineStr"/>
      <c r="G57" s="2" t="inlineStr"/>
    </row>
    <row r="58">
      <c r="A58" s="2" t="inlineStr"/>
      <c r="B58" s="7" t="inlineStr"/>
      <c r="C58" s="2" t="inlineStr"/>
      <c r="D58" s="2" t="inlineStr"/>
      <c r="E58" s="2" t="inlineStr"/>
      <c r="F58" s="2" t="inlineStr"/>
      <c r="G58" s="2" t="inlineStr"/>
    </row>
    <row r="59">
      <c r="A59" s="2" t="inlineStr"/>
      <c r="B59" s="7" t="inlineStr"/>
      <c r="C59" s="2" t="inlineStr"/>
      <c r="D59" s="2" t="inlineStr"/>
      <c r="E59" s="2" t="inlineStr"/>
      <c r="F59" s="2" t="inlineStr"/>
      <c r="G59" s="2" t="inlineStr"/>
    </row>
    <row r="60">
      <c r="A60" s="2" t="inlineStr"/>
      <c r="B60" s="7" t="inlineStr"/>
      <c r="C60" s="2" t="inlineStr"/>
      <c r="D60" s="2" t="inlineStr"/>
      <c r="E60" s="2" t="inlineStr"/>
      <c r="F60" s="2" t="inlineStr"/>
      <c r="G60" s="2" t="inlineStr"/>
    </row>
    <row r="61">
      <c r="A61" s="2" t="inlineStr"/>
      <c r="B61" s="7" t="inlineStr"/>
      <c r="C61" s="2" t="inlineStr"/>
      <c r="D61" s="2" t="inlineStr"/>
      <c r="E61" s="2" t="inlineStr"/>
      <c r="F61" s="2" t="inlineStr"/>
      <c r="G61" s="2" t="inlineStr"/>
    </row>
    <row r="62">
      <c r="A62" s="2" t="inlineStr"/>
      <c r="B62" s="7" t="inlineStr"/>
      <c r="C62" s="2" t="inlineStr"/>
      <c r="D62" s="2" t="inlineStr"/>
      <c r="E62" s="2" t="inlineStr"/>
      <c r="F62" s="2" t="inlineStr"/>
      <c r="G62" s="2" t="inlineStr"/>
    </row>
    <row r="63">
      <c r="A63" s="2" t="inlineStr"/>
      <c r="B63" s="7" t="inlineStr"/>
      <c r="C63" s="2" t="inlineStr"/>
      <c r="D63" s="2" t="inlineStr"/>
      <c r="E63" s="2" t="inlineStr"/>
      <c r="F63" s="2" t="inlineStr"/>
      <c r="G63" s="2" t="inlineStr"/>
    </row>
    <row r="64">
      <c r="A64" s="2" t="inlineStr"/>
      <c r="B64" s="7" t="inlineStr"/>
      <c r="C64" s="2" t="inlineStr"/>
      <c r="D64" s="2" t="inlineStr"/>
      <c r="E64" s="2" t="inlineStr"/>
      <c r="F64" s="2" t="inlineStr"/>
      <c r="G64" s="2" t="inlineStr"/>
    </row>
    <row r="65">
      <c r="A65" s="2" t="inlineStr"/>
      <c r="B65" s="7" t="inlineStr"/>
      <c r="C65" s="2" t="inlineStr"/>
      <c r="D65" s="2" t="inlineStr"/>
      <c r="E65" s="2" t="inlineStr"/>
      <c r="F65" s="2" t="inlineStr"/>
      <c r="G65" s="2" t="inlineStr"/>
    </row>
    <row r="66">
      <c r="A66" s="2" t="inlineStr"/>
      <c r="B66" s="7" t="inlineStr"/>
      <c r="C66" s="2" t="inlineStr"/>
      <c r="D66" s="2" t="inlineStr"/>
      <c r="E66" s="2" t="inlineStr"/>
      <c r="F66" s="2" t="inlineStr"/>
      <c r="G66" s="2" t="inlineStr"/>
    </row>
    <row r="67">
      <c r="A67" s="2" t="inlineStr"/>
      <c r="B67" s="7" t="inlineStr"/>
      <c r="C67" s="2" t="inlineStr"/>
      <c r="D67" s="2" t="inlineStr"/>
      <c r="E67" s="2" t="inlineStr"/>
      <c r="F67" s="2" t="inlineStr"/>
      <c r="G67" s="2" t="inlineStr"/>
    </row>
    <row r="68">
      <c r="A68" s="2" t="inlineStr"/>
      <c r="B68" s="7" t="inlineStr"/>
      <c r="C68" s="2" t="inlineStr"/>
      <c r="D68" s="2" t="inlineStr"/>
      <c r="E68" s="2" t="inlineStr"/>
      <c r="F68" s="2" t="inlineStr"/>
      <c r="G68" s="2" t="inlineStr"/>
    </row>
    <row r="69">
      <c r="A69" s="2" t="inlineStr"/>
      <c r="B69" s="7" t="inlineStr"/>
      <c r="C69" s="2" t="inlineStr"/>
      <c r="D69" s="2" t="inlineStr"/>
      <c r="E69" s="2" t="inlineStr"/>
      <c r="F69" s="2" t="inlineStr"/>
      <c r="G69" s="2" t="inlineStr"/>
    </row>
    <row r="70">
      <c r="A70" s="2" t="inlineStr"/>
      <c r="B70" s="7" t="inlineStr"/>
      <c r="C70" s="2" t="inlineStr"/>
      <c r="D70" s="2" t="inlineStr"/>
      <c r="E70" s="2" t="inlineStr"/>
      <c r="F70" s="2" t="inlineStr"/>
      <c r="G70" s="2" t="inlineStr"/>
    </row>
    <row r="71">
      <c r="A71" s="2" t="inlineStr"/>
      <c r="B71" s="7" t="inlineStr"/>
      <c r="C71" s="2" t="inlineStr"/>
      <c r="D71" s="2" t="inlineStr"/>
      <c r="E71" s="2" t="inlineStr"/>
      <c r="F71" s="2" t="inlineStr"/>
      <c r="G71" s="2" t="inlineStr"/>
    </row>
    <row r="72">
      <c r="A72" s="2" t="inlineStr"/>
      <c r="B72" s="7" t="inlineStr"/>
      <c r="C72" s="2" t="inlineStr"/>
      <c r="D72" s="2" t="inlineStr"/>
      <c r="E72" s="2" t="inlineStr"/>
      <c r="F72" s="2" t="inlineStr"/>
      <c r="G72" s="2" t="inlineStr"/>
    </row>
    <row r="73">
      <c r="A73" s="2" t="inlineStr"/>
      <c r="B73" s="7" t="inlineStr"/>
      <c r="C73" s="2" t="inlineStr"/>
      <c r="D73" s="2" t="inlineStr"/>
      <c r="E73" s="2" t="inlineStr"/>
      <c r="F73" s="2" t="inlineStr"/>
      <c r="G73" s="2" t="inlineStr"/>
    </row>
    <row r="74">
      <c r="A74" s="2" t="inlineStr"/>
      <c r="B74" s="7" t="inlineStr"/>
      <c r="C74" s="2" t="inlineStr"/>
      <c r="D74" s="2" t="inlineStr"/>
      <c r="E74" s="2" t="inlineStr"/>
      <c r="F74" s="2" t="inlineStr"/>
      <c r="G74" s="2" t="inlineStr"/>
    </row>
    <row r="75">
      <c r="A75" s="2" t="inlineStr"/>
      <c r="B75" s="7" t="inlineStr"/>
      <c r="C75" s="2" t="inlineStr"/>
      <c r="D75" s="2" t="inlineStr"/>
      <c r="E75" s="2" t="inlineStr"/>
      <c r="F75" s="2" t="inlineStr"/>
      <c r="G75" s="2" t="inlineStr"/>
    </row>
    <row r="76">
      <c r="A76" s="2" t="inlineStr"/>
      <c r="B76" s="7" t="inlineStr"/>
      <c r="C76" s="2" t="inlineStr"/>
      <c r="D76" s="2" t="inlineStr"/>
      <c r="E76" s="2" t="inlineStr"/>
      <c r="F76" s="2" t="inlineStr"/>
      <c r="G76" s="2" t="inlineStr"/>
    </row>
    <row r="77">
      <c r="A77" s="2" t="inlineStr"/>
      <c r="B77" s="7" t="inlineStr"/>
      <c r="C77" s="2" t="inlineStr"/>
      <c r="D77" s="2" t="inlineStr"/>
      <c r="E77" s="2" t="inlineStr"/>
      <c r="F77" s="2" t="inlineStr"/>
      <c r="G77" s="2" t="inlineStr"/>
    </row>
    <row r="78">
      <c r="A78" s="2" t="inlineStr"/>
      <c r="B78" s="7" t="inlineStr"/>
      <c r="C78" s="2" t="inlineStr"/>
      <c r="D78" s="2" t="inlineStr"/>
      <c r="E78" s="2" t="inlineStr"/>
      <c r="F78" s="2" t="inlineStr"/>
      <c r="G78" s="2" t="inlineStr"/>
    </row>
    <row r="79">
      <c r="A79" s="2" t="inlineStr"/>
      <c r="B79" s="7" t="inlineStr"/>
      <c r="C79" s="2" t="inlineStr"/>
      <c r="D79" s="2" t="inlineStr"/>
      <c r="E79" s="2" t="inlineStr"/>
      <c r="F79" s="2" t="inlineStr"/>
      <c r="G79" s="2" t="inlineStr"/>
    </row>
    <row r="80">
      <c r="A80" s="2" t="inlineStr"/>
      <c r="B80" s="7" t="inlineStr"/>
      <c r="C80" s="2" t="inlineStr"/>
      <c r="D80" s="2" t="inlineStr"/>
      <c r="E80" s="2" t="inlineStr"/>
      <c r="F80" s="2" t="inlineStr"/>
      <c r="G80" s="2" t="inlineStr"/>
    </row>
    <row r="81">
      <c r="A81" s="2" t="inlineStr"/>
      <c r="B81" s="7" t="inlineStr"/>
      <c r="C81" s="2" t="inlineStr"/>
      <c r="D81" s="2" t="inlineStr"/>
      <c r="E81" s="2" t="inlineStr"/>
      <c r="F81" s="2" t="inlineStr"/>
      <c r="G81" s="2" t="inlineStr"/>
    </row>
    <row r="82">
      <c r="A82" s="2" t="inlineStr"/>
      <c r="B82" s="7" t="inlineStr"/>
      <c r="C82" s="2" t="inlineStr"/>
      <c r="D82" s="2" t="inlineStr"/>
      <c r="E82" s="2" t="inlineStr"/>
      <c r="F82" s="2" t="inlineStr"/>
      <c r="G82" s="2" t="inlineStr"/>
    </row>
    <row r="83">
      <c r="A83" s="2" t="inlineStr"/>
      <c r="B83" s="7" t="inlineStr"/>
      <c r="C83" s="2" t="inlineStr"/>
      <c r="D83" s="2" t="inlineStr"/>
      <c r="E83" s="2" t="inlineStr"/>
      <c r="F83" s="2" t="inlineStr"/>
      <c r="G83" s="2" t="inlineStr"/>
    </row>
    <row r="84">
      <c r="A84" s="2" t="inlineStr"/>
      <c r="B84" s="7" t="inlineStr"/>
      <c r="C84" s="2" t="inlineStr"/>
      <c r="D84" s="2" t="inlineStr"/>
      <c r="E84" s="2" t="inlineStr"/>
      <c r="F84" s="2" t="inlineStr"/>
      <c r="G84" s="2" t="inlineStr"/>
    </row>
    <row r="85">
      <c r="A85" s="2" t="inlineStr"/>
      <c r="B85" s="7" t="inlineStr"/>
      <c r="C85" s="2" t="inlineStr"/>
      <c r="D85" s="2" t="inlineStr"/>
      <c r="E85" s="2" t="inlineStr"/>
      <c r="F85" s="2" t="inlineStr"/>
      <c r="G85" s="2" t="inlineStr"/>
    </row>
    <row r="86">
      <c r="A86" s="2" t="inlineStr"/>
      <c r="B86" s="7" t="inlineStr"/>
      <c r="C86" s="2" t="inlineStr"/>
      <c r="D86" s="2" t="inlineStr"/>
      <c r="E86" s="2" t="inlineStr"/>
      <c r="F86" s="2" t="inlineStr"/>
      <c r="G86" s="2" t="inlineStr"/>
    </row>
    <row r="87">
      <c r="A87" s="2" t="inlineStr"/>
      <c r="B87" s="7" t="inlineStr"/>
      <c r="C87" s="2" t="inlineStr"/>
      <c r="D87" s="2" t="inlineStr"/>
      <c r="E87" s="2" t="inlineStr"/>
      <c r="F87" s="2" t="inlineStr"/>
      <c r="G87" s="2" t="inlineStr"/>
    </row>
    <row r="88">
      <c r="A88" s="2" t="inlineStr"/>
      <c r="B88" s="7" t="inlineStr"/>
      <c r="C88" s="2" t="inlineStr"/>
      <c r="D88" s="2" t="inlineStr"/>
      <c r="E88" s="2" t="inlineStr"/>
      <c r="F88" s="2" t="inlineStr"/>
      <c r="G88" s="2" t="inlineStr"/>
    </row>
    <row r="89">
      <c r="A89" s="2" t="inlineStr"/>
      <c r="B89" s="7" t="inlineStr"/>
      <c r="C89" s="2" t="inlineStr"/>
      <c r="D89" s="2" t="inlineStr"/>
      <c r="E89" s="2" t="inlineStr"/>
      <c r="F89" s="2" t="inlineStr"/>
      <c r="G89" s="2" t="inlineStr"/>
    </row>
    <row r="90">
      <c r="A90" s="2" t="inlineStr"/>
      <c r="B90" s="7" t="inlineStr"/>
      <c r="C90" s="2" t="inlineStr"/>
      <c r="D90" s="2" t="inlineStr"/>
      <c r="E90" s="2" t="inlineStr"/>
      <c r="F90" s="2" t="inlineStr"/>
      <c r="G90" s="2" t="inlineStr"/>
    </row>
    <row r="91">
      <c r="A91" s="2" t="inlineStr"/>
      <c r="B91" s="7" t="inlineStr"/>
      <c r="C91" s="2" t="inlineStr"/>
      <c r="D91" s="2" t="inlineStr"/>
      <c r="E91" s="2" t="inlineStr"/>
      <c r="F91" s="2" t="inlineStr"/>
      <c r="G91" s="2" t="inlineStr"/>
    </row>
    <row r="92">
      <c r="A92" s="2" t="inlineStr"/>
      <c r="B92" s="7" t="inlineStr"/>
      <c r="C92" s="2" t="inlineStr"/>
      <c r="D92" s="2" t="inlineStr"/>
      <c r="E92" s="2" t="inlineStr"/>
      <c r="F92" s="2" t="inlineStr"/>
      <c r="G92" s="2" t="inlineStr"/>
    </row>
    <row r="93">
      <c r="A93" s="2" t="inlineStr"/>
      <c r="B93" s="7" t="inlineStr"/>
      <c r="C93" s="2" t="inlineStr"/>
      <c r="D93" s="2" t="inlineStr"/>
      <c r="E93" s="2" t="inlineStr"/>
      <c r="F93" s="2" t="inlineStr"/>
      <c r="G93" s="2" t="inlineStr"/>
    </row>
    <row r="94">
      <c r="A94" s="2" t="inlineStr"/>
      <c r="B94" s="7" t="inlineStr"/>
      <c r="C94" s="2" t="inlineStr"/>
      <c r="D94" s="2" t="inlineStr"/>
      <c r="E94" s="2" t="inlineStr"/>
      <c r="F94" s="2" t="inlineStr"/>
      <c r="G94" s="2" t="inlineStr"/>
    </row>
    <row r="95">
      <c r="A95" s="2" t="inlineStr"/>
      <c r="B95" s="7" t="inlineStr"/>
      <c r="C95" s="2" t="inlineStr"/>
      <c r="D95" s="2" t="inlineStr"/>
      <c r="E95" s="2" t="inlineStr"/>
      <c r="F95" s="2" t="inlineStr"/>
      <c r="G95" s="2" t="inlineStr"/>
    </row>
    <row r="96">
      <c r="A96" s="2" t="inlineStr"/>
      <c r="B96" s="7" t="inlineStr"/>
      <c r="C96" s="2" t="inlineStr"/>
      <c r="D96" s="2" t="inlineStr"/>
      <c r="E96" s="2" t="inlineStr"/>
      <c r="F96" s="2" t="inlineStr"/>
      <c r="G96" s="2" t="inlineStr"/>
    </row>
    <row r="97">
      <c r="A97" s="2" t="inlineStr"/>
      <c r="B97" s="7" t="inlineStr"/>
      <c r="C97" s="2" t="inlineStr"/>
      <c r="D97" s="2" t="inlineStr"/>
      <c r="E97" s="2" t="inlineStr"/>
      <c r="F97" s="2" t="inlineStr"/>
      <c r="G97" s="2" t="inlineStr"/>
    </row>
    <row r="98">
      <c r="A98" s="2" t="inlineStr"/>
      <c r="B98" s="7" t="inlineStr"/>
      <c r="C98" s="2" t="inlineStr"/>
      <c r="D98" s="2" t="inlineStr"/>
      <c r="E98" s="2" t="inlineStr"/>
      <c r="F98" s="2" t="inlineStr"/>
      <c r="G98" s="2" t="inlineStr"/>
    </row>
    <row r="99">
      <c r="A99" s="2" t="inlineStr"/>
      <c r="B99" s="7" t="inlineStr"/>
      <c r="C99" s="2" t="inlineStr"/>
      <c r="D99" s="2" t="inlineStr"/>
      <c r="E99" s="2" t="inlineStr"/>
      <c r="F99" s="2" t="inlineStr"/>
      <c r="G99" s="2" t="inlineStr"/>
    </row>
    <row r="100">
      <c r="A100" s="2" t="inlineStr"/>
      <c r="B100" s="7" t="inlineStr"/>
      <c r="C100" s="2" t="inlineStr"/>
      <c r="D100" s="2" t="inlineStr"/>
      <c r="E100" s="2" t="inlineStr"/>
      <c r="F100" s="2" t="inlineStr"/>
      <c r="G100" s="2" t="inlineStr"/>
    </row>
    <row r="101">
      <c r="A101" s="2" t="inlineStr"/>
      <c r="B101" s="7" t="inlineStr"/>
      <c r="C101" s="2" t="inlineStr"/>
      <c r="D101" s="2" t="inlineStr"/>
      <c r="E101" s="2" t="inlineStr"/>
      <c r="F101" s="2" t="inlineStr"/>
      <c r="G101" s="2" t="inlineStr"/>
    </row>
    <row r="102">
      <c r="A102" s="2" t="inlineStr"/>
      <c r="B102" s="7" t="inlineStr"/>
      <c r="C102" s="2" t="inlineStr"/>
      <c r="D102" s="2" t="inlineStr"/>
      <c r="E102" s="2" t="inlineStr"/>
      <c r="F102" s="2" t="inlineStr"/>
      <c r="G102" s="2" t="inlineStr"/>
    </row>
    <row r="103">
      <c r="A103" s="2" t="inlineStr"/>
      <c r="B103" s="7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/>
      <c r="B104" s="7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/>
      <c r="B105" s="7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/>
      <c r="B106" s="7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/>
      <c r="B107" s="7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/>
      <c r="B108" s="7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/>
      <c r="B109" s="7" t="inlineStr"/>
      <c r="C109" s="2" t="inlineStr"/>
      <c r="D109" s="2" t="inlineStr"/>
      <c r="E109" s="2" t="inlineStr"/>
      <c r="F109" s="2" t="inlineStr"/>
      <c r="G109" s="2" t="inlineStr"/>
    </row>
    <row r="110">
      <c r="A110" s="2" t="inlineStr"/>
      <c r="B110" s="7" t="inlineStr"/>
      <c r="C110" s="2" t="inlineStr"/>
      <c r="D110" s="2" t="inlineStr"/>
      <c r="E110" s="2" t="inlineStr"/>
      <c r="F110" s="2" t="inlineStr"/>
      <c r="G110" s="2" t="inlineStr"/>
    </row>
    <row r="111">
      <c r="A111" s="2" t="inlineStr"/>
      <c r="B111" s="7" t="inlineStr"/>
      <c r="C111" s="2" t="inlineStr"/>
      <c r="D111" s="2" t="inlineStr"/>
      <c r="E111" s="2" t="inlineStr"/>
      <c r="F111" s="2" t="inlineStr"/>
      <c r="G111" s="2" t="inlineStr"/>
    </row>
    <row r="112">
      <c r="A112" s="2" t="inlineStr"/>
      <c r="B112" s="7" t="inlineStr"/>
      <c r="C112" s="2" t="inlineStr"/>
      <c r="D112" s="2" t="inlineStr"/>
      <c r="E112" s="2" t="inlineStr"/>
      <c r="F112" s="2" t="inlineStr"/>
      <c r="G112" s="2" t="inlineStr"/>
    </row>
    <row r="113">
      <c r="A113" s="2" t="inlineStr"/>
      <c r="B113" s="7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/>
      <c r="B114" s="7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/>
      <c r="B115" s="7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/>
      <c r="B116" s="7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/>
      <c r="B117" s="7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/>
      <c r="B118" s="7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/>
      <c r="B119" s="7" t="inlineStr"/>
      <c r="C119" s="2" t="inlineStr"/>
      <c r="D119" s="2" t="inlineStr"/>
      <c r="E119" s="2" t="inlineStr"/>
      <c r="F119" s="2" t="inlineStr"/>
      <c r="G119" s="2" t="inlineStr"/>
    </row>
    <row r="120">
      <c r="A120" s="2" t="inlineStr"/>
      <c r="B120" s="7" t="inlineStr"/>
      <c r="C120" s="2" t="inlineStr"/>
      <c r="D120" s="2" t="inlineStr"/>
      <c r="E120" s="2" t="inlineStr"/>
      <c r="F120" s="2" t="inlineStr"/>
      <c r="G120" s="2" t="inlineStr"/>
    </row>
    <row r="121">
      <c r="A121" s="2" t="inlineStr"/>
      <c r="B121" s="7" t="inlineStr"/>
      <c r="C121" s="2" t="inlineStr"/>
      <c r="D121" s="2" t="inlineStr"/>
      <c r="E121" s="2" t="inlineStr"/>
      <c r="F121" s="2" t="inlineStr"/>
      <c r="G121" s="2" t="inlineStr"/>
    </row>
    <row r="122">
      <c r="A122" s="2" t="inlineStr"/>
      <c r="B122" s="7" t="inlineStr"/>
      <c r="C122" s="2" t="inlineStr"/>
      <c r="D122" s="2" t="inlineStr"/>
      <c r="E122" s="2" t="inlineStr"/>
      <c r="F122" s="2" t="inlineStr"/>
      <c r="G122" s="2" t="inlineStr"/>
    </row>
    <row r="123">
      <c r="A123" s="2" t="inlineStr"/>
      <c r="B123" s="7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/>
      <c r="B124" s="7" t="inlineStr"/>
      <c r="C124" s="2" t="inlineStr"/>
      <c r="D124" s="2" t="inlineStr"/>
      <c r="E124" s="2" t="inlineStr"/>
      <c r="F124" s="2" t="inlineStr"/>
      <c r="G124" s="2" t="inlineStr"/>
    </row>
    <row r="125">
      <c r="A125" s="2" t="inlineStr"/>
      <c r="B125" s="7" t="inlineStr"/>
      <c r="C125" s="2" t="inlineStr"/>
      <c r="D125" s="2" t="inlineStr"/>
      <c r="E125" s="2" t="inlineStr"/>
      <c r="F125" s="2" t="inlineStr"/>
      <c r="G125" s="2" t="inlineStr"/>
    </row>
    <row r="126">
      <c r="A126" s="2" t="inlineStr"/>
      <c r="B126" s="7" t="inlineStr"/>
      <c r="C126" s="2" t="inlineStr"/>
      <c r="D126" s="2" t="inlineStr"/>
      <c r="E126" s="2" t="inlineStr"/>
      <c r="F126" s="2" t="inlineStr"/>
      <c r="G126" s="2" t="inlineStr"/>
    </row>
    <row r="127">
      <c r="A127" s="2" t="inlineStr"/>
      <c r="B127" s="7" t="inlineStr"/>
      <c r="C127" s="2" t="inlineStr"/>
      <c r="D127" s="2" t="inlineStr"/>
      <c r="E127" s="2" t="inlineStr"/>
      <c r="F127" s="2" t="inlineStr"/>
      <c r="G127" s="2" t="inlineStr"/>
    </row>
    <row r="128">
      <c r="A128" s="2" t="inlineStr"/>
      <c r="B128" s="7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/>
      <c r="B129" s="7" t="inlineStr"/>
      <c r="C129" s="2" t="inlineStr"/>
      <c r="D129" s="2" t="inlineStr"/>
      <c r="E129" s="2" t="inlineStr"/>
      <c r="F129" s="2" t="inlineStr"/>
      <c r="G129" s="2" t="inlineStr"/>
    </row>
    <row r="130">
      <c r="A130" s="2" t="inlineStr"/>
      <c r="B130" s="7" t="inlineStr"/>
      <c r="C130" s="2" t="inlineStr"/>
      <c r="D130" s="2" t="inlineStr"/>
      <c r="E130" s="2" t="inlineStr"/>
      <c r="F130" s="2" t="inlineStr"/>
      <c r="G130" s="2" t="inlineStr"/>
    </row>
    <row r="131">
      <c r="A131" s="2" t="inlineStr"/>
      <c r="B131" s="7" t="inlineStr"/>
      <c r="C131" s="2" t="inlineStr"/>
      <c r="D131" s="2" t="inlineStr"/>
      <c r="E131" s="2" t="inlineStr"/>
      <c r="F131" s="2" t="inlineStr"/>
      <c r="G131" s="2" t="inlineStr"/>
    </row>
    <row r="132">
      <c r="A132" s="2" t="inlineStr"/>
      <c r="B132" s="7" t="inlineStr"/>
      <c r="C132" s="2" t="inlineStr"/>
      <c r="D132" s="2" t="inlineStr"/>
      <c r="E132" s="2" t="inlineStr"/>
      <c r="F132" s="2" t="inlineStr"/>
      <c r="G132" s="2" t="inlineStr"/>
    </row>
    <row r="133">
      <c r="A133" s="2" t="inlineStr"/>
      <c r="B133" s="7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/>
      <c r="B134" s="7" t="inlineStr"/>
      <c r="C134" s="2" t="inlineStr"/>
      <c r="D134" s="2" t="inlineStr"/>
      <c r="E134" s="2" t="inlineStr"/>
      <c r="F134" s="2" t="inlineStr"/>
      <c r="G134" s="2" t="inlineStr"/>
    </row>
    <row r="135">
      <c r="A135" s="2" t="inlineStr"/>
      <c r="B135" s="7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/>
      <c r="B136" s="7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/>
      <c r="B137" s="7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/>
      <c r="B138" s="7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/>
      <c r="B139" s="7" t="inlineStr"/>
      <c r="C139" s="2" t="inlineStr"/>
      <c r="D139" s="2" t="inlineStr"/>
      <c r="E139" s="2" t="inlineStr"/>
      <c r="F139" s="2" t="inlineStr"/>
      <c r="G139" s="2" t="inlineStr"/>
    </row>
    <row r="140">
      <c r="A140" s="2" t="inlineStr"/>
      <c r="B140" s="7" t="inlineStr"/>
      <c r="C140" s="2" t="inlineStr"/>
      <c r="D140" s="2" t="inlineStr"/>
      <c r="E140" s="2" t="inlineStr"/>
      <c r="F140" s="2" t="inlineStr"/>
      <c r="G140" s="2" t="inlineStr"/>
    </row>
    <row r="141">
      <c r="A141" s="2" t="inlineStr"/>
      <c r="B141" s="7" t="inlineStr"/>
      <c r="C141" s="2" t="inlineStr"/>
      <c r="D141" s="2" t="inlineStr"/>
      <c r="E141" s="2" t="inlineStr"/>
      <c r="F141" s="2" t="inlineStr"/>
      <c r="G141" s="2" t="inlineStr"/>
    </row>
    <row r="142">
      <c r="A142" s="2" t="inlineStr"/>
      <c r="B142" s="7" t="inlineStr"/>
      <c r="C142" s="2" t="inlineStr"/>
      <c r="D142" s="2" t="inlineStr"/>
      <c r="E142" s="2" t="inlineStr"/>
      <c r="F142" s="2" t="inlineStr"/>
      <c r="G142" s="2" t="inlineStr"/>
    </row>
    <row r="143">
      <c r="A143" s="2" t="inlineStr"/>
      <c r="B143" s="7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/>
      <c r="B144" s="7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/>
      <c r="B145" s="7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/>
      <c r="B146" s="7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/>
      <c r="B147" s="7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/>
      <c r="B148" s="7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/>
      <c r="B149" s="7" t="inlineStr"/>
      <c r="C149" s="2" t="inlineStr"/>
      <c r="D149" s="2" t="inlineStr"/>
      <c r="E149" s="2" t="inlineStr"/>
      <c r="F149" s="2" t="inlineStr"/>
      <c r="G149" s="2" t="inlineStr"/>
    </row>
    <row r="150">
      <c r="A150" s="2" t="inlineStr"/>
      <c r="B150" s="7" t="inlineStr"/>
      <c r="C150" s="2" t="inlineStr"/>
      <c r="D150" s="2" t="inlineStr"/>
      <c r="E150" s="2" t="inlineStr"/>
      <c r="F150" s="2" t="inlineStr"/>
      <c r="G150" s="2" t="inlineStr"/>
    </row>
    <row r="151">
      <c r="A151" s="2" t="inlineStr"/>
      <c r="B151" s="7" t="inlineStr"/>
      <c r="C151" s="2" t="inlineStr"/>
      <c r="D151" s="2" t="inlineStr"/>
      <c r="E151" s="2" t="inlineStr"/>
      <c r="F151" s="2" t="inlineStr"/>
      <c r="G151" s="2" t="inlineStr"/>
    </row>
    <row r="152">
      <c r="A152" s="2" t="inlineStr"/>
      <c r="B152" s="7" t="inlineStr"/>
      <c r="C152" s="2" t="inlineStr"/>
      <c r="D152" s="2" t="inlineStr"/>
      <c r="E152" s="2" t="inlineStr"/>
      <c r="F152" s="2" t="inlineStr"/>
      <c r="G152" s="2" t="inlineStr"/>
    </row>
    <row r="153">
      <c r="A153" s="2" t="inlineStr"/>
      <c r="B153" s="7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/>
      <c r="B154" s="7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/>
      <c r="B155" s="7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/>
      <c r="B156" s="7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/>
      <c r="B157" s="7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/>
      <c r="B158" s="7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/>
      <c r="B159" s="7" t="inlineStr"/>
      <c r="C159" s="2" t="inlineStr"/>
      <c r="D159" s="2" t="inlineStr"/>
      <c r="E159" s="2" t="inlineStr"/>
      <c r="F159" s="2" t="inlineStr"/>
      <c r="G159" s="2" t="inlineStr"/>
    </row>
    <row r="160">
      <c r="A160" s="2" t="inlineStr"/>
      <c r="B160" s="7" t="inlineStr"/>
      <c r="C160" s="2" t="inlineStr"/>
      <c r="D160" s="2" t="inlineStr"/>
      <c r="E160" s="2" t="inlineStr"/>
      <c r="F160" s="2" t="inlineStr"/>
      <c r="G160" s="2" t="inlineStr"/>
    </row>
    <row r="161">
      <c r="A161" s="2" t="inlineStr"/>
      <c r="B161" s="7" t="inlineStr"/>
      <c r="C161" s="2" t="inlineStr"/>
      <c r="D161" s="2" t="inlineStr"/>
      <c r="E161" s="2" t="inlineStr"/>
      <c r="F161" s="2" t="inlineStr"/>
      <c r="G161" s="2" t="inlineStr"/>
    </row>
    <row r="162">
      <c r="A162" s="2" t="inlineStr"/>
      <c r="B162" s="7" t="inlineStr"/>
      <c r="C162" s="2" t="inlineStr"/>
      <c r="D162" s="2" t="inlineStr"/>
      <c r="E162" s="2" t="inlineStr"/>
      <c r="F162" s="2" t="inlineStr"/>
      <c r="G162" s="2" t="inlineStr"/>
    </row>
    <row r="163">
      <c r="A163" s="2" t="inlineStr"/>
      <c r="B163" s="7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/>
      <c r="B164" s="7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/>
      <c r="B165" s="7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/>
      <c r="B166" s="7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/>
      <c r="B167" s="7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/>
      <c r="B168" s="7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/>
      <c r="B169" s="7" t="inlineStr"/>
      <c r="C169" s="2" t="inlineStr"/>
      <c r="D169" s="2" t="inlineStr"/>
      <c r="E169" s="2" t="inlineStr"/>
      <c r="F169" s="2" t="inlineStr"/>
      <c r="G169" s="2" t="inlineStr"/>
    </row>
    <row r="170">
      <c r="A170" s="2" t="inlineStr"/>
      <c r="B170" s="7" t="inlineStr"/>
      <c r="C170" s="2" t="inlineStr"/>
      <c r="D170" s="2" t="inlineStr"/>
      <c r="E170" s="2" t="inlineStr"/>
      <c r="F170" s="2" t="inlineStr"/>
      <c r="G170" s="2" t="inlineStr"/>
    </row>
    <row r="171">
      <c r="A171" s="2" t="inlineStr"/>
      <c r="B171" s="7" t="inlineStr"/>
      <c r="C171" s="2" t="inlineStr"/>
      <c r="D171" s="2" t="inlineStr"/>
      <c r="E171" s="2" t="inlineStr"/>
      <c r="F171" s="2" t="inlineStr"/>
      <c r="G171" s="2" t="inlineStr"/>
    </row>
    <row r="172">
      <c r="A172" s="2" t="inlineStr"/>
      <c r="B172" s="7" t="inlineStr"/>
      <c r="C172" s="2" t="inlineStr"/>
      <c r="D172" s="2" t="inlineStr"/>
      <c r="E172" s="2" t="inlineStr"/>
      <c r="F172" s="2" t="inlineStr"/>
      <c r="G172" s="2" t="inlineStr"/>
    </row>
    <row r="173">
      <c r="A173" s="2" t="inlineStr"/>
      <c r="B173" s="7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/>
      <c r="B174" s="7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/>
      <c r="B175" s="7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/>
      <c r="B176" s="7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/>
      <c r="B177" s="7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/>
      <c r="B178" s="7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/>
      <c r="B179" s="7" t="inlineStr"/>
      <c r="C179" s="2" t="inlineStr"/>
      <c r="D179" s="2" t="inlineStr"/>
      <c r="E179" s="2" t="inlineStr"/>
      <c r="F179" s="2" t="inlineStr"/>
      <c r="G179" s="2" t="inlineStr"/>
    </row>
    <row r="180">
      <c r="A180" s="2" t="inlineStr"/>
      <c r="B180" s="7" t="inlineStr"/>
      <c r="C180" s="2" t="inlineStr"/>
      <c r="D180" s="2" t="inlineStr"/>
      <c r="E180" s="2" t="inlineStr"/>
      <c r="F180" s="2" t="inlineStr"/>
      <c r="G180" s="2" t="inlineStr"/>
    </row>
    <row r="181">
      <c r="A181" s="2" t="inlineStr"/>
      <c r="B181" s="7" t="inlineStr"/>
      <c r="C181" s="2" t="inlineStr"/>
      <c r="D181" s="2" t="inlineStr"/>
      <c r="E181" s="2" t="inlineStr"/>
      <c r="F181" s="2" t="inlineStr"/>
      <c r="G181" s="2" t="inlineStr"/>
    </row>
    <row r="182">
      <c r="A182" s="2" t="inlineStr"/>
      <c r="B182" s="7" t="inlineStr"/>
      <c r="C182" s="2" t="inlineStr"/>
      <c r="D182" s="2" t="inlineStr"/>
      <c r="E182" s="2" t="inlineStr"/>
      <c r="F182" s="2" t="inlineStr"/>
      <c r="G182" s="2" t="inlineStr"/>
    </row>
    <row r="183">
      <c r="A183" s="2" t="inlineStr"/>
      <c r="B183" s="7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/>
      <c r="B184" s="7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/>
      <c r="B185" s="7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/>
      <c r="B186" s="7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/>
      <c r="B187" s="7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/>
      <c r="B188" s="7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/>
      <c r="B189" s="7" t="inlineStr"/>
      <c r="C189" s="2" t="inlineStr"/>
      <c r="D189" s="2" t="inlineStr"/>
      <c r="E189" s="2" t="inlineStr"/>
      <c r="F189" s="2" t="inlineStr"/>
      <c r="G189" s="2" t="inlineStr"/>
    </row>
    <row r="190">
      <c r="A190" s="2" t="inlineStr"/>
      <c r="B190" s="7" t="inlineStr"/>
      <c r="C190" s="2" t="inlineStr"/>
      <c r="D190" s="2" t="inlineStr"/>
      <c r="E190" s="2" t="inlineStr"/>
      <c r="F190" s="2" t="inlineStr"/>
      <c r="G190" s="2" t="inlineStr"/>
    </row>
    <row r="191">
      <c r="A191" s="2" t="inlineStr"/>
      <c r="B191" s="7" t="inlineStr"/>
      <c r="C191" s="2" t="inlineStr"/>
      <c r="D191" s="2" t="inlineStr"/>
      <c r="E191" s="2" t="inlineStr"/>
      <c r="F191" s="2" t="inlineStr"/>
      <c r="G191" s="2" t="inlineStr"/>
    </row>
    <row r="192">
      <c r="A192" s="2" t="inlineStr"/>
      <c r="B192" s="7" t="inlineStr"/>
      <c r="C192" s="2" t="inlineStr"/>
      <c r="D192" s="2" t="inlineStr"/>
      <c r="E192" s="2" t="inlineStr"/>
      <c r="F192" s="2" t="inlineStr"/>
      <c r="G192" s="2" t="inlineStr"/>
    </row>
    <row r="193">
      <c r="A193" s="2" t="inlineStr"/>
      <c r="B193" s="7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/>
      <c r="B194" s="7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/>
      <c r="B195" s="7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/>
      <c r="B196" s="7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/>
      <c r="B197" s="7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/>
      <c r="B198" s="7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/>
      <c r="B199" s="7" t="inlineStr"/>
      <c r="C199" s="2" t="inlineStr"/>
      <c r="D199" s="2" t="inlineStr"/>
      <c r="E199" s="2" t="inlineStr"/>
      <c r="F199" s="2" t="inlineStr"/>
      <c r="G199" s="2" t="inlineStr"/>
    </row>
    <row r="200">
      <c r="A200" s="2" t="inlineStr"/>
      <c r="B200" s="7" t="inlineStr"/>
      <c r="C200" s="2" t="inlineStr"/>
      <c r="D200" s="2" t="inlineStr"/>
      <c r="E200" s="2" t="inlineStr"/>
      <c r="F200" s="2" t="inlineStr"/>
      <c r="G200" s="2" t="inlineStr"/>
    </row>
    <row r="201">
      <c r="A201" s="2" t="inlineStr"/>
      <c r="B201" s="7" t="inlineStr"/>
      <c r="C201" s="2" t="inlineStr"/>
      <c r="D201" s="2" t="inlineStr"/>
      <c r="E201" s="2" t="inlineStr"/>
      <c r="F201" s="2" t="inlineStr"/>
      <c r="G201" s="2" t="inlineStr"/>
    </row>
    <row r="202">
      <c r="A202" s="2" t="inlineStr"/>
      <c r="B202" s="7" t="inlineStr"/>
      <c r="C202" s="2" t="inlineStr"/>
      <c r="D202" s="2" t="inlineStr"/>
      <c r="E202" s="2" t="inlineStr"/>
      <c r="F202" s="2" t="inlineStr"/>
      <c r="G202" s="2" t="inlineStr"/>
    </row>
    <row r="203">
      <c r="A203" s="2" t="inlineStr"/>
      <c r="B203" s="7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/>
      <c r="B204" s="7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/>
      <c r="B205" s="7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/>
      <c r="B206" s="7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/>
      <c r="B207" s="7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/>
      <c r="B208" s="7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/>
      <c r="B209" s="7" t="inlineStr"/>
      <c r="C209" s="2" t="inlineStr"/>
      <c r="D209" s="2" t="inlineStr"/>
      <c r="E209" s="2" t="inlineStr"/>
      <c r="F209" s="2" t="inlineStr"/>
      <c r="G209" s="2" t="inlineStr"/>
    </row>
    <row r="210">
      <c r="A210" s="2" t="inlineStr"/>
      <c r="B210" s="7" t="inlineStr"/>
      <c r="C210" s="2" t="inlineStr"/>
      <c r="D210" s="2" t="inlineStr"/>
      <c r="E210" s="2" t="inlineStr"/>
      <c r="F210" s="2" t="inlineStr"/>
      <c r="G210" s="2" t="inlineStr"/>
    </row>
    <row r="211">
      <c r="A211" s="2" t="inlineStr"/>
      <c r="B211" s="7" t="inlineStr"/>
      <c r="C211" s="2" t="inlineStr"/>
      <c r="D211" s="2" t="inlineStr"/>
      <c r="E211" s="2" t="inlineStr"/>
      <c r="F211" s="2" t="inlineStr"/>
      <c r="G211" s="2" t="inlineStr"/>
    </row>
    <row r="212">
      <c r="A212" s="2" t="inlineStr"/>
      <c r="B212" s="7" t="inlineStr"/>
      <c r="C212" s="2" t="inlineStr"/>
      <c r="D212" s="2" t="inlineStr"/>
      <c r="E212" s="2" t="inlineStr"/>
      <c r="F212" s="2" t="inlineStr"/>
      <c r="G212" s="2" t="inlineStr"/>
    </row>
    <row r="213">
      <c r="A213" s="2" t="inlineStr"/>
      <c r="B213" s="7" t="inlineStr"/>
      <c r="C213" s="2" t="inlineStr"/>
      <c r="D213" s="2" t="inlineStr"/>
      <c r="E213" s="2" t="inlineStr"/>
      <c r="F213" s="2" t="inlineStr"/>
      <c r="G213" s="2" t="inlineStr"/>
    </row>
    <row r="214">
      <c r="A214" s="2" t="inlineStr"/>
      <c r="B214" s="7" t="inlineStr"/>
      <c r="C214" s="2" t="inlineStr"/>
      <c r="D214" s="2" t="inlineStr"/>
      <c r="E214" s="2" t="inlineStr"/>
      <c r="F214" s="2" t="inlineStr"/>
      <c r="G214" s="2" t="inlineStr"/>
    </row>
    <row r="215">
      <c r="A215" s="2" t="inlineStr"/>
      <c r="B215" s="7" t="inlineStr"/>
      <c r="C215" s="2" t="inlineStr"/>
      <c r="D215" s="2" t="inlineStr"/>
      <c r="E215" s="2" t="inlineStr"/>
      <c r="F215" s="2" t="inlineStr"/>
      <c r="G215" s="2" t="inlineStr"/>
    </row>
    <row r="216">
      <c r="A216" s="2" t="inlineStr"/>
      <c r="B216" s="7" t="inlineStr"/>
      <c r="C216" s="2" t="inlineStr"/>
      <c r="D216" s="2" t="inlineStr"/>
      <c r="E216" s="2" t="inlineStr"/>
      <c r="F216" s="2" t="inlineStr"/>
      <c r="G216" s="2" t="inlineStr"/>
    </row>
    <row r="217">
      <c r="A217" s="2" t="inlineStr"/>
      <c r="B217" s="7" t="inlineStr"/>
      <c r="C217" s="2" t="inlineStr"/>
      <c r="D217" s="2" t="inlineStr"/>
      <c r="E217" s="2" t="inlineStr"/>
      <c r="F217" s="2" t="inlineStr"/>
      <c r="G217" s="2" t="inlineStr"/>
    </row>
    <row r="218">
      <c r="A218" s="2" t="inlineStr"/>
      <c r="B218" s="7" t="inlineStr"/>
      <c r="C218" s="2" t="inlineStr"/>
      <c r="D218" s="2" t="inlineStr"/>
      <c r="E218" s="2" t="inlineStr"/>
      <c r="F218" s="2" t="inlineStr"/>
      <c r="G218" s="2" t="inlineStr"/>
    </row>
    <row r="219">
      <c r="A219" s="2" t="inlineStr"/>
      <c r="B219" s="7" t="inlineStr"/>
      <c r="C219" s="2" t="inlineStr"/>
      <c r="D219" s="2" t="inlineStr"/>
      <c r="E219" s="2" t="inlineStr"/>
      <c r="F219" s="2" t="inlineStr"/>
      <c r="G219" s="2" t="inlineStr"/>
    </row>
    <row r="220">
      <c r="A220" s="2" t="inlineStr"/>
      <c r="B220" s="7" t="inlineStr"/>
      <c r="C220" s="2" t="inlineStr"/>
      <c r="D220" s="2" t="inlineStr"/>
      <c r="E220" s="2" t="inlineStr"/>
      <c r="F220" s="2" t="inlineStr"/>
      <c r="G220" s="2" t="inlineStr"/>
    </row>
    <row r="221">
      <c r="A221" s="2" t="inlineStr"/>
      <c r="B221" s="7" t="inlineStr"/>
      <c r="C221" s="2" t="inlineStr"/>
      <c r="D221" s="2" t="inlineStr"/>
      <c r="E221" s="2" t="inlineStr"/>
      <c r="F221" s="2" t="inlineStr"/>
      <c r="G221" s="2" t="inlineStr"/>
    </row>
    <row r="222">
      <c r="A222" s="2" t="inlineStr"/>
      <c r="B222" s="7" t="inlineStr"/>
      <c r="C222" s="2" t="inlineStr"/>
      <c r="D222" s="2" t="inlineStr"/>
      <c r="E222" s="2" t="inlineStr"/>
      <c r="F222" s="2" t="inlineStr"/>
      <c r="G222" s="2" t="inlineStr"/>
    </row>
    <row r="223">
      <c r="A223" s="2" t="inlineStr"/>
      <c r="B223" s="7" t="inlineStr"/>
      <c r="C223" s="2" t="inlineStr"/>
      <c r="D223" s="2" t="inlineStr"/>
      <c r="E223" s="2" t="inlineStr"/>
      <c r="F223" s="2" t="inlineStr"/>
      <c r="G223" s="2" t="inlineStr"/>
    </row>
    <row r="224">
      <c r="A224" s="2" t="inlineStr"/>
      <c r="B224" s="7" t="inlineStr"/>
      <c r="C224" s="2" t="inlineStr"/>
      <c r="D224" s="2" t="inlineStr"/>
      <c r="E224" s="2" t="inlineStr"/>
      <c r="F224" s="2" t="inlineStr"/>
      <c r="G224" s="2" t="inlineStr"/>
    </row>
    <row r="225">
      <c r="A225" s="2" t="inlineStr"/>
      <c r="B225" s="7" t="inlineStr"/>
      <c r="C225" s="2" t="inlineStr"/>
      <c r="D225" s="2" t="inlineStr"/>
      <c r="E225" s="2" t="inlineStr"/>
      <c r="F225" s="2" t="inlineStr"/>
      <c r="G225" s="2" t="inlineStr"/>
    </row>
    <row r="226">
      <c r="A226" s="2" t="inlineStr"/>
      <c r="B226" s="7" t="inlineStr"/>
      <c r="C226" s="2" t="inlineStr"/>
      <c r="D226" s="2" t="inlineStr"/>
      <c r="E226" s="2" t="inlineStr"/>
      <c r="F226" s="2" t="inlineStr"/>
      <c r="G226" s="2" t="inlineStr"/>
    </row>
    <row r="227">
      <c r="A227" s="2" t="inlineStr"/>
      <c r="B227" s="7" t="inlineStr"/>
      <c r="C227" s="2" t="inlineStr"/>
      <c r="D227" s="2" t="inlineStr"/>
      <c r="E227" s="2" t="inlineStr"/>
      <c r="F227" s="2" t="inlineStr"/>
      <c r="G227" s="2" t="inlineStr"/>
    </row>
    <row r="228">
      <c r="A228" s="2" t="inlineStr"/>
      <c r="B228" s="7" t="inlineStr"/>
      <c r="C228" s="2" t="inlineStr"/>
      <c r="D228" s="2" t="inlineStr"/>
      <c r="E228" s="2" t="inlineStr"/>
      <c r="F228" s="2" t="inlineStr"/>
      <c r="G228" s="2" t="inlineStr"/>
    </row>
    <row r="229">
      <c r="A229" s="2" t="inlineStr"/>
      <c r="B229" s="7" t="inlineStr"/>
      <c r="C229" s="2" t="inlineStr"/>
      <c r="D229" s="2" t="inlineStr"/>
      <c r="E229" s="2" t="inlineStr"/>
      <c r="F229" s="2" t="inlineStr"/>
      <c r="G229" s="2" t="inlineStr"/>
    </row>
    <row r="230">
      <c r="A230" s="2" t="inlineStr"/>
      <c r="B230" s="7" t="inlineStr"/>
      <c r="C230" s="2" t="inlineStr"/>
      <c r="D230" s="2" t="inlineStr"/>
      <c r="E230" s="2" t="inlineStr"/>
      <c r="F230" s="2" t="inlineStr"/>
      <c r="G230" s="2" t="inlineStr"/>
    </row>
    <row r="231">
      <c r="A231" s="2" t="inlineStr"/>
      <c r="B231" s="7" t="inlineStr"/>
      <c r="C231" s="2" t="inlineStr"/>
      <c r="D231" s="2" t="inlineStr"/>
      <c r="E231" s="2" t="inlineStr"/>
      <c r="F231" s="2" t="inlineStr"/>
      <c r="G231" s="2" t="inlineStr"/>
    </row>
    <row r="232">
      <c r="A232" s="2" t="inlineStr"/>
      <c r="B232" s="7" t="inlineStr"/>
      <c r="C232" s="2" t="inlineStr"/>
      <c r="D232" s="2" t="inlineStr"/>
      <c r="E232" s="2" t="inlineStr"/>
      <c r="F232" s="2" t="inlineStr"/>
      <c r="G232" s="2" t="inlineStr"/>
    </row>
    <row r="233">
      <c r="A233" s="2" t="inlineStr"/>
      <c r="B233" s="7" t="inlineStr"/>
      <c r="C233" s="2" t="inlineStr"/>
      <c r="D233" s="2" t="inlineStr"/>
      <c r="E233" s="2" t="inlineStr"/>
      <c r="F233" s="2" t="inlineStr"/>
      <c r="G233" s="2" t="inlineStr"/>
    </row>
    <row r="234">
      <c r="A234" s="2" t="inlineStr"/>
      <c r="B234" s="7" t="inlineStr"/>
      <c r="C234" s="2" t="inlineStr"/>
      <c r="D234" s="2" t="inlineStr"/>
      <c r="E234" s="2" t="inlineStr"/>
      <c r="F234" s="2" t="inlineStr"/>
      <c r="G234" s="2" t="inlineStr"/>
    </row>
    <row r="235">
      <c r="A235" s="2" t="inlineStr"/>
      <c r="B235" s="7" t="inlineStr"/>
      <c r="C235" s="2" t="inlineStr"/>
      <c r="D235" s="2" t="inlineStr"/>
      <c r="E235" s="2" t="inlineStr"/>
      <c r="F235" s="2" t="inlineStr"/>
      <c r="G235" s="2" t="inlineStr"/>
    </row>
    <row r="236">
      <c r="A236" s="2" t="inlineStr"/>
      <c r="B236" s="7" t="inlineStr"/>
      <c r="C236" s="2" t="inlineStr"/>
      <c r="D236" s="2" t="inlineStr"/>
      <c r="E236" s="2" t="inlineStr"/>
      <c r="F236" s="2" t="inlineStr"/>
      <c r="G236" s="2" t="inlineStr"/>
    </row>
    <row r="237">
      <c r="A237" s="2" t="inlineStr"/>
      <c r="B237" s="7" t="inlineStr"/>
      <c r="C237" s="2" t="inlineStr"/>
      <c r="D237" s="2" t="inlineStr"/>
      <c r="E237" s="2" t="inlineStr"/>
      <c r="F237" s="2" t="inlineStr"/>
      <c r="G237" s="2" t="inlineStr"/>
    </row>
    <row r="238">
      <c r="A238" s="2" t="inlineStr"/>
      <c r="B238" s="7" t="inlineStr"/>
      <c r="C238" s="2" t="inlineStr"/>
      <c r="D238" s="2" t="inlineStr"/>
      <c r="E238" s="2" t="inlineStr"/>
      <c r="F238" s="2" t="inlineStr"/>
      <c r="G238" s="2" t="inlineStr"/>
    </row>
    <row r="239">
      <c r="A239" s="2" t="inlineStr"/>
      <c r="B239" s="7" t="inlineStr"/>
      <c r="C239" s="2" t="inlineStr"/>
      <c r="D239" s="2" t="inlineStr"/>
      <c r="E239" s="2" t="inlineStr"/>
      <c r="F239" s="2" t="inlineStr"/>
      <c r="G239" s="2" t="inlineStr"/>
    </row>
    <row r="240">
      <c r="A240" s="2" t="inlineStr"/>
      <c r="B240" s="7" t="inlineStr"/>
      <c r="C240" s="2" t="inlineStr"/>
      <c r="D240" s="2" t="inlineStr"/>
      <c r="E240" s="2" t="inlineStr"/>
      <c r="F240" s="2" t="inlineStr"/>
      <c r="G240" s="2" t="inlineStr"/>
    </row>
    <row r="241">
      <c r="A241" s="2" t="inlineStr"/>
      <c r="B241" s="7" t="inlineStr"/>
      <c r="C241" s="2" t="inlineStr"/>
      <c r="D241" s="2" t="inlineStr"/>
      <c r="E241" s="2" t="inlineStr"/>
      <c r="F241" s="2" t="inlineStr"/>
      <c r="G241" s="2" t="inlineStr"/>
    </row>
    <row r="242">
      <c r="A242" s="2" t="inlineStr"/>
      <c r="B242" s="7" t="inlineStr"/>
      <c r="C242" s="2" t="inlineStr"/>
      <c r="D242" s="2" t="inlineStr"/>
      <c r="E242" s="2" t="inlineStr"/>
      <c r="F242" s="2" t="inlineStr"/>
      <c r="G242" s="2" t="inlineStr"/>
    </row>
    <row r="243">
      <c r="A243" s="2" t="inlineStr"/>
      <c r="B243" s="7" t="inlineStr"/>
      <c r="C243" s="2" t="inlineStr"/>
      <c r="D243" s="2" t="inlineStr"/>
      <c r="E243" s="2" t="inlineStr"/>
      <c r="F243" s="2" t="inlineStr"/>
      <c r="G243" s="2" t="inlineStr"/>
    </row>
    <row r="244">
      <c r="A244" s="2" t="inlineStr"/>
      <c r="B244" s="7" t="inlineStr"/>
      <c r="C244" s="2" t="inlineStr"/>
      <c r="D244" s="2" t="inlineStr"/>
      <c r="E244" s="2" t="inlineStr"/>
      <c r="F244" s="2" t="inlineStr"/>
      <c r="G244" s="2" t="inlineStr"/>
    </row>
    <row r="245">
      <c r="A245" s="2" t="inlineStr"/>
      <c r="B245" s="7" t="inlineStr"/>
      <c r="C245" s="2" t="inlineStr"/>
      <c r="D245" s="2" t="inlineStr"/>
      <c r="E245" s="2" t="inlineStr"/>
      <c r="F245" s="2" t="inlineStr"/>
      <c r="G245" s="2" t="inlineStr"/>
    </row>
    <row r="246">
      <c r="A246" s="2" t="inlineStr"/>
      <c r="B246" s="7" t="inlineStr"/>
      <c r="C246" s="2" t="inlineStr"/>
      <c r="D246" s="2" t="inlineStr"/>
      <c r="E246" s="2" t="inlineStr"/>
      <c r="F246" s="2" t="inlineStr"/>
      <c r="G246" s="2" t="inlineStr"/>
    </row>
    <row r="247">
      <c r="A247" s="2" t="inlineStr"/>
      <c r="B247" s="7" t="inlineStr"/>
      <c r="C247" s="2" t="inlineStr"/>
      <c r="D247" s="2" t="inlineStr"/>
      <c r="E247" s="2" t="inlineStr"/>
      <c r="F247" s="2" t="inlineStr"/>
      <c r="G247" s="2" t="inlineStr"/>
    </row>
    <row r="248">
      <c r="A248" s="2" t="inlineStr"/>
      <c r="B248" s="7" t="inlineStr"/>
      <c r="C248" s="2" t="inlineStr"/>
      <c r="D248" s="2" t="inlineStr"/>
      <c r="E248" s="2" t="inlineStr"/>
      <c r="F248" s="2" t="inlineStr"/>
      <c r="G248" s="2" t="inlineStr"/>
    </row>
    <row r="249">
      <c r="A249" s="2" t="inlineStr"/>
      <c r="B249" s="7" t="inlineStr"/>
      <c r="C249" s="2" t="inlineStr"/>
      <c r="D249" s="2" t="inlineStr"/>
      <c r="E249" s="2" t="inlineStr"/>
      <c r="F249" s="2" t="inlineStr"/>
      <c r="G249" s="2" t="inlineStr"/>
    </row>
    <row r="250">
      <c r="A250" s="2" t="inlineStr"/>
      <c r="B250" s="7" t="inlineStr"/>
      <c r="C250" s="2" t="inlineStr"/>
      <c r="D250" s="2" t="inlineStr"/>
      <c r="E250" s="2" t="inlineStr"/>
      <c r="F250" s="2" t="inlineStr"/>
      <c r="G250" s="2" t="inlineStr"/>
    </row>
    <row r="251">
      <c r="A251" s="2" t="inlineStr"/>
      <c r="B251" s="7" t="inlineStr"/>
      <c r="C251" s="2" t="inlineStr"/>
      <c r="D251" s="2" t="inlineStr"/>
      <c r="E251" s="2" t="inlineStr"/>
      <c r="F251" s="2" t="inlineStr"/>
      <c r="G251" s="2" t="inlineStr"/>
    </row>
    <row r="252">
      <c r="A252" s="2" t="inlineStr"/>
      <c r="B252" s="7" t="inlineStr"/>
      <c r="C252" s="2" t="inlineStr"/>
      <c r="D252" s="2" t="inlineStr"/>
      <c r="E252" s="2" t="inlineStr"/>
      <c r="F252" s="2" t="inlineStr"/>
      <c r="G252" s="2" t="inlineStr"/>
    </row>
    <row r="253">
      <c r="A253" s="2" t="inlineStr"/>
      <c r="B253" s="7" t="inlineStr"/>
      <c r="C253" s="2" t="inlineStr"/>
      <c r="D253" s="2" t="inlineStr"/>
      <c r="E253" s="2" t="inlineStr"/>
      <c r="F253" s="2" t="inlineStr"/>
      <c r="G253" s="2" t="inlineStr"/>
    </row>
    <row r="254">
      <c r="A254" s="2" t="inlineStr"/>
      <c r="B254" s="7" t="inlineStr"/>
      <c r="C254" s="2" t="inlineStr"/>
      <c r="D254" s="2" t="inlineStr"/>
      <c r="E254" s="2" t="inlineStr"/>
      <c r="F254" s="2" t="inlineStr"/>
      <c r="G254" s="2" t="inlineStr"/>
    </row>
    <row r="255">
      <c r="A255" s="2" t="inlineStr"/>
      <c r="B255" s="7" t="inlineStr"/>
      <c r="C255" s="2" t="inlineStr"/>
      <c r="D255" s="2" t="inlineStr"/>
      <c r="E255" s="2" t="inlineStr"/>
      <c r="F255" s="2" t="inlineStr"/>
      <c r="G255" s="2" t="inlineStr"/>
    </row>
    <row r="256">
      <c r="A256" s="2" t="inlineStr"/>
      <c r="B256" s="7" t="inlineStr"/>
      <c r="C256" s="2" t="inlineStr"/>
      <c r="D256" s="2" t="inlineStr"/>
      <c r="E256" s="2" t="inlineStr"/>
      <c r="F256" s="2" t="inlineStr"/>
      <c r="G256" s="2" t="inlineStr"/>
    </row>
    <row r="257">
      <c r="A257" s="2" t="inlineStr"/>
      <c r="B257" s="7" t="inlineStr"/>
      <c r="C257" s="2" t="inlineStr"/>
      <c r="D257" s="2" t="inlineStr"/>
      <c r="E257" s="2" t="inlineStr"/>
      <c r="F257" s="2" t="inlineStr"/>
      <c r="G257" s="2" t="inlineStr"/>
    </row>
    <row r="258">
      <c r="A258" s="2" t="inlineStr"/>
      <c r="B258" s="7" t="inlineStr"/>
      <c r="C258" s="2" t="inlineStr"/>
      <c r="D258" s="2" t="inlineStr"/>
      <c r="E258" s="2" t="inlineStr"/>
      <c r="F258" s="2" t="inlineStr"/>
      <c r="G258" s="2" t="inlineStr"/>
    </row>
    <row r="259">
      <c r="A259" s="2" t="inlineStr"/>
      <c r="B259" s="7" t="inlineStr"/>
      <c r="C259" s="2" t="inlineStr"/>
      <c r="D259" s="2" t="inlineStr"/>
      <c r="E259" s="2" t="inlineStr"/>
      <c r="F259" s="2" t="inlineStr"/>
      <c r="G259" s="2" t="inlineStr"/>
    </row>
    <row r="260">
      <c r="A260" s="2" t="inlineStr"/>
      <c r="B260" s="7" t="inlineStr"/>
      <c r="C260" s="2" t="inlineStr"/>
      <c r="D260" s="2" t="inlineStr"/>
      <c r="E260" s="2" t="inlineStr"/>
      <c r="F260" s="2" t="inlineStr"/>
      <c r="G260" s="2" t="inlineStr"/>
    </row>
    <row r="261">
      <c r="A261" s="2" t="inlineStr"/>
      <c r="B261" s="7" t="inlineStr"/>
      <c r="C261" s="2" t="inlineStr"/>
      <c r="D261" s="2" t="inlineStr"/>
      <c r="E261" s="2" t="inlineStr"/>
      <c r="F261" s="2" t="inlineStr"/>
      <c r="G261" s="2" t="inlineStr"/>
    </row>
    <row r="262">
      <c r="A262" s="2" t="inlineStr"/>
      <c r="B262" s="7" t="inlineStr"/>
      <c r="C262" s="2" t="inlineStr"/>
      <c r="D262" s="2" t="inlineStr"/>
      <c r="E262" s="2" t="inlineStr"/>
      <c r="F262" s="2" t="inlineStr"/>
      <c r="G262" s="2" t="inlineStr"/>
    </row>
    <row r="263">
      <c r="A263" s="2" t="inlineStr"/>
      <c r="B263" s="7" t="inlineStr"/>
      <c r="C263" s="2" t="inlineStr"/>
      <c r="D263" s="2" t="inlineStr"/>
      <c r="E263" s="2" t="inlineStr"/>
      <c r="F263" s="2" t="inlineStr"/>
      <c r="G263" s="2" t="inlineStr"/>
    </row>
    <row r="264">
      <c r="A264" s="2" t="inlineStr"/>
      <c r="B264" s="7" t="inlineStr"/>
      <c r="C264" s="2" t="inlineStr"/>
      <c r="D264" s="2" t="inlineStr"/>
      <c r="E264" s="2" t="inlineStr"/>
      <c r="F264" s="2" t="inlineStr"/>
      <c r="G264" s="2" t="inlineStr"/>
    </row>
    <row r="265">
      <c r="A265" s="2" t="inlineStr"/>
      <c r="B265" s="7" t="inlineStr"/>
      <c r="C265" s="2" t="inlineStr"/>
      <c r="D265" s="2" t="inlineStr"/>
      <c r="E265" s="2" t="inlineStr"/>
      <c r="F265" s="2" t="inlineStr"/>
      <c r="G265" s="2" t="inlineStr"/>
    </row>
    <row r="266">
      <c r="A266" s="2" t="inlineStr"/>
      <c r="B266" s="7" t="inlineStr"/>
      <c r="C266" s="2" t="inlineStr"/>
      <c r="D266" s="2" t="inlineStr"/>
      <c r="E266" s="2" t="inlineStr"/>
      <c r="F266" s="2" t="inlineStr"/>
      <c r="G266" s="2" t="inlineStr"/>
    </row>
    <row r="267">
      <c r="A267" s="2" t="inlineStr"/>
      <c r="B267" s="7" t="inlineStr"/>
      <c r="C267" s="2" t="inlineStr"/>
      <c r="D267" s="2" t="inlineStr"/>
      <c r="E267" s="2" t="inlineStr"/>
      <c r="F267" s="2" t="inlineStr"/>
      <c r="G267" s="2" t="inlineStr"/>
    </row>
    <row r="268">
      <c r="A268" s="2" t="inlineStr"/>
      <c r="B268" s="7" t="inlineStr"/>
      <c r="C268" s="2" t="inlineStr"/>
      <c r="D268" s="2" t="inlineStr"/>
      <c r="E268" s="2" t="inlineStr"/>
      <c r="F268" s="2" t="inlineStr"/>
      <c r="G268" s="2" t="inlineStr"/>
    </row>
    <row r="269">
      <c r="A269" s="2" t="inlineStr"/>
      <c r="B269" s="7" t="inlineStr"/>
      <c r="C269" s="2" t="inlineStr"/>
      <c r="D269" s="2" t="inlineStr"/>
      <c r="E269" s="2" t="inlineStr"/>
      <c r="F269" s="2" t="inlineStr"/>
      <c r="G269" s="2" t="inlineStr"/>
    </row>
    <row r="270">
      <c r="A270" s="2" t="inlineStr"/>
      <c r="B270" s="7" t="inlineStr"/>
      <c r="C270" s="2" t="inlineStr"/>
      <c r="D270" s="2" t="inlineStr"/>
      <c r="E270" s="2" t="inlineStr"/>
      <c r="F270" s="2" t="inlineStr"/>
      <c r="G270" s="2" t="inlineStr"/>
    </row>
    <row r="271">
      <c r="A271" s="2" t="inlineStr"/>
      <c r="B271" s="7" t="inlineStr"/>
      <c r="C271" s="2" t="inlineStr"/>
      <c r="D271" s="2" t="inlineStr"/>
      <c r="E271" s="2" t="inlineStr"/>
      <c r="F271" s="2" t="inlineStr"/>
      <c r="G271" s="2" t="inlineStr"/>
    </row>
    <row r="272">
      <c r="A272" s="2" t="inlineStr"/>
      <c r="B272" s="7" t="inlineStr"/>
      <c r="C272" s="2" t="inlineStr"/>
      <c r="D272" s="2" t="inlineStr"/>
      <c r="E272" s="2" t="inlineStr"/>
      <c r="F272" s="2" t="inlineStr"/>
      <c r="G272" s="2" t="inlineStr"/>
    </row>
    <row r="273">
      <c r="A273" s="2" t="inlineStr"/>
      <c r="B273" s="7" t="inlineStr"/>
      <c r="C273" s="2" t="inlineStr"/>
      <c r="D273" s="2" t="inlineStr"/>
      <c r="E273" s="2" t="inlineStr"/>
      <c r="F273" s="2" t="inlineStr"/>
      <c r="G273" s="2" t="inlineStr"/>
    </row>
    <row r="274">
      <c r="A274" s="2" t="inlineStr"/>
      <c r="B274" s="7" t="inlineStr"/>
      <c r="C274" s="2" t="inlineStr"/>
      <c r="D274" s="2" t="inlineStr"/>
      <c r="E274" s="2" t="inlineStr"/>
      <c r="F274" s="2" t="inlineStr"/>
      <c r="G274" s="2" t="inlineStr"/>
    </row>
    <row r="275">
      <c r="A275" s="2" t="inlineStr"/>
      <c r="B275" s="7" t="inlineStr"/>
      <c r="C275" s="2" t="inlineStr"/>
      <c r="D275" s="2" t="inlineStr"/>
      <c r="E275" s="2" t="inlineStr"/>
      <c r="F275" s="2" t="inlineStr"/>
      <c r="G275" s="2" t="inlineStr"/>
    </row>
    <row r="276">
      <c r="A276" s="2" t="inlineStr"/>
      <c r="B276" s="7" t="inlineStr"/>
      <c r="C276" s="2" t="inlineStr"/>
      <c r="D276" s="2" t="inlineStr"/>
      <c r="E276" s="2" t="inlineStr"/>
      <c r="F276" s="2" t="inlineStr"/>
      <c r="G276" s="2" t="inlineStr"/>
    </row>
    <row r="277">
      <c r="A277" s="2" t="inlineStr"/>
      <c r="B277" s="7" t="inlineStr"/>
      <c r="C277" s="2" t="inlineStr"/>
      <c r="D277" s="2" t="inlineStr"/>
      <c r="E277" s="2" t="inlineStr"/>
      <c r="F277" s="2" t="inlineStr"/>
      <c r="G277" s="2" t="inlineStr"/>
    </row>
    <row r="278">
      <c r="A278" s="2" t="inlineStr"/>
      <c r="B278" s="7" t="inlineStr"/>
      <c r="C278" s="2" t="inlineStr"/>
      <c r="D278" s="2" t="inlineStr"/>
      <c r="E278" s="2" t="inlineStr"/>
      <c r="F278" s="2" t="inlineStr"/>
      <c r="G278" s="2" t="inlineStr"/>
    </row>
    <row r="279">
      <c r="A279" s="2" t="inlineStr"/>
      <c r="B279" s="7" t="inlineStr"/>
      <c r="C279" s="2" t="inlineStr"/>
      <c r="D279" s="2" t="inlineStr"/>
      <c r="E279" s="2" t="inlineStr"/>
      <c r="F279" s="2" t="inlineStr"/>
      <c r="G279" s="2" t="inlineStr"/>
    </row>
    <row r="280">
      <c r="A280" s="2" t="inlineStr"/>
      <c r="B280" s="7" t="inlineStr"/>
      <c r="C280" s="2" t="inlineStr"/>
      <c r="D280" s="2" t="inlineStr"/>
      <c r="E280" s="2" t="inlineStr"/>
      <c r="F280" s="2" t="inlineStr"/>
      <c r="G280" s="2" t="inlineStr"/>
    </row>
    <row r="281">
      <c r="A281" s="2" t="inlineStr"/>
      <c r="B281" s="7" t="inlineStr"/>
      <c r="C281" s="2" t="inlineStr"/>
      <c r="D281" s="2" t="inlineStr"/>
      <c r="E281" s="2" t="inlineStr"/>
      <c r="F281" s="2" t="inlineStr"/>
      <c r="G281" s="2" t="inlineStr"/>
    </row>
    <row r="282">
      <c r="A282" s="2" t="inlineStr"/>
      <c r="B282" s="7" t="inlineStr"/>
      <c r="C282" s="2" t="inlineStr"/>
      <c r="D282" s="2" t="inlineStr"/>
      <c r="E282" s="2" t="inlineStr"/>
      <c r="F282" s="2" t="inlineStr"/>
      <c r="G282" s="2" t="inlineStr"/>
    </row>
    <row r="283">
      <c r="A283" s="2" t="inlineStr"/>
      <c r="B283" s="7" t="inlineStr"/>
      <c r="C283" s="2" t="inlineStr"/>
      <c r="D283" s="2" t="inlineStr"/>
      <c r="E283" s="2" t="inlineStr"/>
      <c r="F283" s="2" t="inlineStr"/>
      <c r="G283" s="2" t="inlineStr"/>
    </row>
    <row r="284">
      <c r="A284" s="2" t="inlineStr"/>
      <c r="B284" s="7" t="inlineStr"/>
      <c r="C284" s="2" t="inlineStr"/>
      <c r="D284" s="2" t="inlineStr"/>
      <c r="E284" s="2" t="inlineStr"/>
      <c r="F284" s="2" t="inlineStr"/>
      <c r="G284" s="2" t="inlineStr"/>
    </row>
    <row r="285">
      <c r="A285" s="2" t="inlineStr"/>
      <c r="B285" s="7" t="inlineStr"/>
      <c r="C285" s="2" t="inlineStr"/>
      <c r="D285" s="2" t="inlineStr"/>
      <c r="E285" s="2" t="inlineStr"/>
      <c r="F285" s="2" t="inlineStr"/>
      <c r="G285" s="2" t="inlineStr"/>
    </row>
    <row r="286">
      <c r="A286" s="2" t="inlineStr"/>
      <c r="B286" s="7" t="inlineStr"/>
      <c r="C286" s="2" t="inlineStr"/>
      <c r="D286" s="2" t="inlineStr"/>
      <c r="E286" s="2" t="inlineStr"/>
      <c r="F286" s="2" t="inlineStr"/>
      <c r="G286" s="2" t="inlineStr"/>
    </row>
    <row r="287">
      <c r="A287" s="2" t="inlineStr"/>
      <c r="B287" s="7" t="inlineStr"/>
      <c r="C287" s="2" t="inlineStr"/>
      <c r="D287" s="2" t="inlineStr"/>
      <c r="E287" s="2" t="inlineStr"/>
      <c r="F287" s="2" t="inlineStr"/>
      <c r="G287" s="2" t="inlineStr"/>
    </row>
    <row r="288">
      <c r="A288" s="2" t="inlineStr"/>
      <c r="B288" s="7" t="inlineStr"/>
      <c r="C288" s="2" t="inlineStr"/>
      <c r="D288" s="2" t="inlineStr"/>
      <c r="E288" s="2" t="inlineStr"/>
      <c r="F288" s="2" t="inlineStr"/>
      <c r="G288" s="2" t="inlineStr"/>
    </row>
    <row r="289">
      <c r="A289" s="2" t="inlineStr"/>
      <c r="B289" s="7" t="inlineStr"/>
      <c r="C289" s="2" t="inlineStr"/>
      <c r="D289" s="2" t="inlineStr"/>
      <c r="E289" s="2" t="inlineStr"/>
      <c r="F289" s="2" t="inlineStr"/>
      <c r="G289" s="2" t="inlineStr"/>
    </row>
    <row r="290">
      <c r="A290" s="2" t="inlineStr"/>
      <c r="B290" s="7" t="inlineStr"/>
      <c r="C290" s="2" t="inlineStr"/>
      <c r="D290" s="2" t="inlineStr"/>
      <c r="E290" s="2" t="inlineStr"/>
      <c r="F290" s="2" t="inlineStr"/>
      <c r="G290" s="2" t="inlineStr"/>
    </row>
    <row r="291">
      <c r="A291" s="2" t="inlineStr"/>
      <c r="B291" s="7" t="inlineStr"/>
      <c r="C291" s="2" t="inlineStr"/>
      <c r="D291" s="2" t="inlineStr"/>
      <c r="E291" s="2" t="inlineStr"/>
      <c r="F291" s="2" t="inlineStr"/>
      <c r="G291" s="2" t="inlineStr"/>
    </row>
    <row r="292">
      <c r="A292" s="2" t="inlineStr"/>
      <c r="B292" s="7" t="inlineStr"/>
      <c r="C292" s="2" t="inlineStr"/>
      <c r="D292" s="2" t="inlineStr"/>
      <c r="E292" s="2" t="inlineStr"/>
      <c r="F292" s="2" t="inlineStr"/>
      <c r="G292" s="2" t="inlineStr"/>
    </row>
    <row r="293">
      <c r="A293" s="2" t="inlineStr"/>
      <c r="B293" s="7" t="inlineStr"/>
      <c r="C293" s="2" t="inlineStr"/>
      <c r="D293" s="2" t="inlineStr"/>
      <c r="E293" s="2" t="inlineStr"/>
      <c r="F293" s="2" t="inlineStr"/>
      <c r="G293" s="2" t="inlineStr"/>
    </row>
    <row r="294">
      <c r="A294" s="2" t="inlineStr"/>
      <c r="B294" s="7" t="inlineStr"/>
      <c r="C294" s="2" t="inlineStr"/>
      <c r="D294" s="2" t="inlineStr"/>
      <c r="E294" s="2" t="inlineStr"/>
      <c r="F294" s="2" t="inlineStr"/>
      <c r="G294" s="2" t="inlineStr"/>
    </row>
    <row r="295">
      <c r="A295" s="2" t="inlineStr"/>
      <c r="B295" s="7" t="inlineStr"/>
      <c r="C295" s="2" t="inlineStr"/>
      <c r="D295" s="2" t="inlineStr"/>
      <c r="E295" s="2" t="inlineStr"/>
      <c r="F295" s="2" t="inlineStr"/>
      <c r="G295" s="2" t="inlineStr"/>
    </row>
    <row r="296">
      <c r="A296" s="2" t="inlineStr"/>
      <c r="B296" s="7" t="inlineStr"/>
      <c r="C296" s="2" t="inlineStr"/>
      <c r="D296" s="2" t="inlineStr"/>
      <c r="E296" s="2" t="inlineStr"/>
      <c r="F296" s="2" t="inlineStr"/>
      <c r="G296" s="2" t="inlineStr"/>
    </row>
    <row r="297">
      <c r="A297" s="2" t="inlineStr"/>
      <c r="B297" s="7" t="inlineStr"/>
      <c r="C297" s="2" t="inlineStr"/>
      <c r="D297" s="2" t="inlineStr"/>
      <c r="E297" s="2" t="inlineStr"/>
      <c r="F297" s="2" t="inlineStr"/>
      <c r="G297" s="2" t="inlineStr"/>
    </row>
    <row r="298">
      <c r="A298" s="2" t="inlineStr"/>
      <c r="B298" s="7" t="inlineStr"/>
      <c r="C298" s="2" t="inlineStr"/>
      <c r="D298" s="2" t="inlineStr"/>
      <c r="E298" s="2" t="inlineStr"/>
      <c r="F298" s="2" t="inlineStr"/>
      <c r="G298" s="2" t="inlineStr"/>
    </row>
    <row r="299">
      <c r="A299" s="2" t="inlineStr"/>
      <c r="B299" s="7" t="inlineStr"/>
      <c r="C299" s="2" t="inlineStr"/>
      <c r="D299" s="2" t="inlineStr"/>
      <c r="E299" s="2" t="inlineStr"/>
      <c r="F299" s="2" t="inlineStr"/>
      <c r="G299" s="2" t="inlineStr"/>
    </row>
    <row r="300">
      <c r="A300" s="2" t="inlineStr"/>
      <c r="B300" s="7" t="inlineStr"/>
      <c r="C300" s="2" t="inlineStr"/>
      <c r="D300" s="2" t="inlineStr"/>
      <c r="E300" s="2" t="inlineStr"/>
      <c r="F300" s="2" t="inlineStr"/>
      <c r="G300" s="2" t="inlineStr"/>
    </row>
    <row r="301">
      <c r="A301" s="2" t="inlineStr"/>
      <c r="B301" s="7" t="inlineStr"/>
      <c r="C301" s="2" t="inlineStr"/>
      <c r="D301" s="2" t="inlineStr"/>
      <c r="E301" s="2" t="inlineStr"/>
      <c r="F301" s="2" t="inlineStr"/>
      <c r="G301" s="2" t="inlineStr"/>
    </row>
    <row r="302">
      <c r="A302" s="2" t="inlineStr"/>
      <c r="B302" s="7" t="inlineStr"/>
      <c r="C302" s="2" t="inlineStr"/>
      <c r="D302" s="2" t="inlineStr"/>
      <c r="E302" s="2" t="inlineStr"/>
      <c r="F302" s="2" t="inlineStr"/>
      <c r="G302" s="2" t="inlineStr"/>
    </row>
    <row r="303">
      <c r="A303" s="2" t="inlineStr"/>
      <c r="B303" s="7" t="inlineStr"/>
      <c r="C303" s="2" t="inlineStr"/>
      <c r="D303" s="2" t="inlineStr"/>
      <c r="E303" s="2" t="inlineStr"/>
      <c r="F303" s="2" t="inlineStr"/>
      <c r="G303" s="2" t="inlineStr"/>
    </row>
    <row r="304">
      <c r="A304" s="2" t="inlineStr"/>
      <c r="B304" s="7" t="inlineStr"/>
      <c r="C304" s="2" t="inlineStr"/>
      <c r="D304" s="2" t="inlineStr"/>
      <c r="E304" s="2" t="inlineStr"/>
      <c r="F304" s="2" t="inlineStr"/>
      <c r="G304" s="2" t="inlineStr"/>
    </row>
    <row r="305">
      <c r="A305" s="2" t="inlineStr"/>
      <c r="B305" s="7" t="inlineStr"/>
      <c r="C305" s="2" t="inlineStr"/>
      <c r="D305" s="2" t="inlineStr"/>
      <c r="E305" s="2" t="inlineStr"/>
      <c r="F305" s="2" t="inlineStr"/>
      <c r="G305" s="2" t="inlineStr"/>
    </row>
    <row r="306">
      <c r="A306" s="2" t="inlineStr"/>
      <c r="B306" s="7" t="inlineStr"/>
      <c r="C306" s="2" t="inlineStr"/>
      <c r="D306" s="2" t="inlineStr"/>
      <c r="E306" s="2" t="inlineStr"/>
      <c r="F306" s="2" t="inlineStr"/>
      <c r="G306" s="2" t="inlineStr"/>
    </row>
    <row r="307">
      <c r="A307" s="2" t="inlineStr"/>
      <c r="B307" s="7" t="inlineStr"/>
      <c r="C307" s="2" t="inlineStr"/>
      <c r="D307" s="2" t="inlineStr"/>
      <c r="E307" s="2" t="inlineStr"/>
      <c r="F307" s="2" t="inlineStr"/>
      <c r="G307" s="2" t="inlineStr"/>
    </row>
    <row r="308">
      <c r="A308" s="2" t="inlineStr"/>
      <c r="B308" s="7" t="inlineStr"/>
      <c r="C308" s="2" t="inlineStr"/>
      <c r="D308" s="2" t="inlineStr"/>
      <c r="E308" s="2" t="inlineStr"/>
      <c r="F308" s="2" t="inlineStr"/>
      <c r="G308" s="2" t="inlineStr"/>
    </row>
    <row r="309">
      <c r="A309" s="2" t="inlineStr"/>
      <c r="B309" s="7" t="inlineStr"/>
      <c r="C309" s="2" t="inlineStr"/>
      <c r="D309" s="2" t="inlineStr"/>
      <c r="E309" s="2" t="inlineStr"/>
      <c r="F309" s="2" t="inlineStr"/>
      <c r="G309" s="2" t="inlineStr"/>
    </row>
    <row r="310">
      <c r="A310" s="2" t="inlineStr"/>
      <c r="B310" s="7" t="inlineStr"/>
      <c r="C310" s="2" t="inlineStr"/>
      <c r="D310" s="2" t="inlineStr"/>
      <c r="E310" s="2" t="inlineStr"/>
      <c r="F310" s="2" t="inlineStr"/>
      <c r="G310" s="2" t="inlineStr"/>
    </row>
    <row r="311">
      <c r="A311" s="2" t="inlineStr"/>
      <c r="B311" s="7" t="inlineStr"/>
      <c r="C311" s="2" t="inlineStr"/>
      <c r="D311" s="2" t="inlineStr"/>
      <c r="E311" s="2" t="inlineStr"/>
      <c r="F311" s="2" t="inlineStr"/>
      <c r="G311" s="2" t="inlineStr"/>
    </row>
    <row r="312">
      <c r="A312" s="2" t="inlineStr"/>
      <c r="B312" s="7" t="inlineStr"/>
      <c r="C312" s="2" t="inlineStr"/>
      <c r="D312" s="2" t="inlineStr"/>
      <c r="E312" s="2" t="inlineStr"/>
      <c r="F312" s="2" t="inlineStr"/>
      <c r="G312" s="2" t="inlineStr"/>
    </row>
    <row r="313">
      <c r="A313" s="2" t="inlineStr"/>
      <c r="B313" s="7" t="inlineStr"/>
      <c r="C313" s="2" t="inlineStr"/>
      <c r="D313" s="2" t="inlineStr"/>
      <c r="E313" s="2" t="inlineStr"/>
      <c r="F313" s="2" t="inlineStr"/>
      <c r="G313" s="2" t="inlineStr"/>
    </row>
    <row r="314">
      <c r="A314" s="2" t="inlineStr"/>
      <c r="B314" s="7" t="inlineStr"/>
      <c r="C314" s="2" t="inlineStr"/>
      <c r="D314" s="2" t="inlineStr"/>
      <c r="E314" s="2" t="inlineStr"/>
      <c r="F314" s="2" t="inlineStr"/>
      <c r="G314" s="2" t="inlineStr"/>
    </row>
    <row r="315">
      <c r="A315" s="2" t="inlineStr"/>
      <c r="B315" s="7" t="inlineStr"/>
      <c r="C315" s="2" t="inlineStr"/>
      <c r="D315" s="2" t="inlineStr"/>
      <c r="E315" s="2" t="inlineStr"/>
      <c r="F315" s="2" t="inlineStr"/>
      <c r="G315" s="2" t="inlineStr"/>
    </row>
    <row r="316">
      <c r="A316" s="2" t="inlineStr"/>
      <c r="B316" s="7" t="inlineStr"/>
      <c r="C316" s="2" t="inlineStr"/>
      <c r="D316" s="2" t="inlineStr"/>
      <c r="E316" s="2" t="inlineStr"/>
      <c r="F316" s="2" t="inlineStr"/>
      <c r="G316" s="2" t="inlineStr"/>
    </row>
    <row r="317">
      <c r="A317" s="2" t="inlineStr"/>
      <c r="B317" s="7" t="inlineStr"/>
      <c r="C317" s="2" t="inlineStr"/>
      <c r="D317" s="2" t="inlineStr"/>
      <c r="E317" s="2" t="inlineStr"/>
      <c r="F317" s="2" t="inlineStr"/>
      <c r="G317" s="2" t="inlineStr"/>
    </row>
    <row r="318">
      <c r="A318" s="2" t="inlineStr"/>
      <c r="B318" s="7" t="inlineStr"/>
      <c r="C318" s="2" t="inlineStr"/>
      <c r="D318" s="2" t="inlineStr"/>
      <c r="E318" s="2" t="inlineStr"/>
      <c r="F318" s="2" t="inlineStr"/>
      <c r="G318" s="2" t="inlineStr"/>
    </row>
    <row r="319">
      <c r="A319" s="2" t="inlineStr"/>
      <c r="B319" s="7" t="inlineStr"/>
      <c r="C319" s="2" t="inlineStr"/>
      <c r="D319" s="2" t="inlineStr"/>
      <c r="E319" s="2" t="inlineStr"/>
      <c r="F319" s="2" t="inlineStr"/>
      <c r="G319" s="2" t="inlineStr"/>
    </row>
    <row r="320">
      <c r="A320" s="2" t="inlineStr"/>
      <c r="B320" s="7" t="inlineStr"/>
      <c r="C320" s="2" t="inlineStr"/>
      <c r="D320" s="2" t="inlineStr"/>
      <c r="E320" s="2" t="inlineStr"/>
      <c r="F320" s="2" t="inlineStr"/>
      <c r="G320" s="2" t="inlineStr"/>
    </row>
    <row r="321">
      <c r="A321" s="2" t="inlineStr"/>
      <c r="B321" s="7" t="inlineStr"/>
      <c r="C321" s="2" t="inlineStr"/>
      <c r="D321" s="2" t="inlineStr"/>
      <c r="E321" s="2" t="inlineStr"/>
      <c r="F321" s="2" t="inlineStr"/>
      <c r="G321" s="2" t="inlineStr"/>
    </row>
    <row r="322">
      <c r="A322" s="2" t="inlineStr"/>
      <c r="B322" s="7" t="inlineStr"/>
      <c r="C322" s="2" t="inlineStr"/>
      <c r="D322" s="2" t="inlineStr"/>
      <c r="E322" s="2" t="inlineStr"/>
      <c r="F322" s="2" t="inlineStr"/>
      <c r="G322" s="2" t="inlineStr"/>
    </row>
    <row r="323">
      <c r="A323" s="2" t="inlineStr"/>
      <c r="B323" s="7" t="inlineStr"/>
      <c r="C323" s="2" t="inlineStr"/>
      <c r="D323" s="2" t="inlineStr"/>
      <c r="E323" s="2" t="inlineStr"/>
      <c r="F323" s="2" t="inlineStr"/>
      <c r="G323" s="2" t="inlineStr"/>
    </row>
    <row r="324">
      <c r="A324" s="2" t="inlineStr"/>
      <c r="B324" s="7" t="inlineStr"/>
      <c r="C324" s="2" t="inlineStr"/>
      <c r="D324" s="2" t="inlineStr"/>
      <c r="E324" s="2" t="inlineStr"/>
      <c r="F324" s="2" t="inlineStr"/>
      <c r="G324" s="2" t="inlineStr"/>
    </row>
    <row r="325">
      <c r="A325" s="2" t="inlineStr"/>
      <c r="B325" s="7" t="inlineStr"/>
      <c r="C325" s="2" t="inlineStr"/>
      <c r="D325" s="2" t="inlineStr"/>
      <c r="E325" s="2" t="inlineStr"/>
      <c r="F325" s="2" t="inlineStr"/>
      <c r="G325" s="2" t="inlineStr"/>
    </row>
    <row r="326">
      <c r="A326" s="2" t="inlineStr"/>
      <c r="B326" s="7" t="inlineStr"/>
      <c r="C326" s="2" t="inlineStr"/>
      <c r="D326" s="2" t="inlineStr"/>
      <c r="E326" s="2" t="inlineStr"/>
      <c r="F326" s="2" t="inlineStr"/>
      <c r="G326" s="2" t="inlineStr"/>
    </row>
    <row r="327">
      <c r="A327" s="2" t="inlineStr"/>
      <c r="B327" s="7" t="inlineStr"/>
      <c r="C327" s="2" t="inlineStr"/>
      <c r="D327" s="2" t="inlineStr"/>
      <c r="E327" s="2" t="inlineStr"/>
      <c r="F327" s="2" t="inlineStr"/>
      <c r="G327" s="2" t="inlineStr"/>
    </row>
    <row r="328">
      <c r="A328" s="2" t="inlineStr"/>
      <c r="B328" s="7" t="inlineStr"/>
      <c r="C328" s="2" t="inlineStr"/>
      <c r="D328" s="2" t="inlineStr"/>
      <c r="E328" s="2" t="inlineStr"/>
      <c r="F328" s="2" t="inlineStr"/>
      <c r="G328" s="2" t="inlineStr"/>
    </row>
    <row r="329">
      <c r="A329" s="2" t="inlineStr"/>
      <c r="B329" s="7" t="inlineStr"/>
      <c r="C329" s="2" t="inlineStr"/>
      <c r="D329" s="2" t="inlineStr"/>
      <c r="E329" s="2" t="inlineStr"/>
      <c r="F329" s="2" t="inlineStr"/>
      <c r="G329" s="2" t="inlineStr"/>
    </row>
    <row r="330">
      <c r="A330" s="2" t="inlineStr"/>
      <c r="B330" s="7" t="inlineStr"/>
      <c r="C330" s="2" t="inlineStr"/>
      <c r="D330" s="2" t="inlineStr"/>
      <c r="E330" s="2" t="inlineStr"/>
      <c r="F330" s="2" t="inlineStr"/>
      <c r="G330" s="2" t="inlineStr"/>
    </row>
    <row r="331">
      <c r="A331" s="2" t="inlineStr"/>
      <c r="B331" s="7" t="inlineStr"/>
      <c r="C331" s="2" t="inlineStr"/>
      <c r="D331" s="2" t="inlineStr"/>
      <c r="E331" s="2" t="inlineStr"/>
      <c r="F331" s="2" t="inlineStr"/>
      <c r="G331" s="2" t="inlineStr"/>
    </row>
    <row r="332">
      <c r="A332" s="2" t="inlineStr"/>
      <c r="B332" s="7" t="inlineStr"/>
      <c r="C332" s="2" t="inlineStr"/>
      <c r="D332" s="2" t="inlineStr"/>
      <c r="E332" s="2" t="inlineStr"/>
      <c r="F332" s="2" t="inlineStr"/>
      <c r="G332" s="2" t="inlineStr"/>
    </row>
    <row r="333">
      <c r="A333" s="2" t="inlineStr"/>
      <c r="B333" s="7" t="inlineStr"/>
      <c r="C333" s="2" t="inlineStr"/>
      <c r="D333" s="2" t="inlineStr"/>
      <c r="E333" s="2" t="inlineStr"/>
      <c r="F333" s="2" t="inlineStr"/>
      <c r="G333" s="2" t="inlineStr"/>
    </row>
    <row r="334">
      <c r="A334" s="2" t="inlineStr"/>
      <c r="B334" s="7" t="inlineStr"/>
      <c r="C334" s="2" t="inlineStr"/>
      <c r="D334" s="2" t="inlineStr"/>
      <c r="E334" s="2" t="inlineStr"/>
      <c r="F334" s="2" t="inlineStr"/>
      <c r="G334" s="2" t="inlineStr"/>
    </row>
    <row r="335">
      <c r="A335" s="2" t="inlineStr"/>
      <c r="B335" s="7" t="inlineStr"/>
      <c r="C335" s="2" t="inlineStr"/>
      <c r="D335" s="2" t="inlineStr"/>
      <c r="E335" s="2" t="inlineStr"/>
      <c r="F335" s="2" t="inlineStr"/>
      <c r="G335" s="2" t="inlineStr"/>
    </row>
    <row r="336">
      <c r="A336" s="2" t="inlineStr"/>
      <c r="B336" s="7" t="inlineStr"/>
      <c r="C336" s="2" t="inlineStr"/>
      <c r="D336" s="2" t="inlineStr"/>
      <c r="E336" s="2" t="inlineStr"/>
      <c r="F336" s="2" t="inlineStr"/>
      <c r="G336" s="2" t="inlineStr"/>
    </row>
    <row r="337">
      <c r="A337" s="2" t="inlineStr"/>
      <c r="B337" s="7" t="inlineStr"/>
      <c r="C337" s="2" t="inlineStr"/>
      <c r="D337" s="2" t="inlineStr"/>
      <c r="E337" s="2" t="inlineStr"/>
      <c r="F337" s="2" t="inlineStr"/>
      <c r="G337" s="2" t="inlineStr"/>
    </row>
    <row r="338">
      <c r="A338" s="2" t="inlineStr"/>
      <c r="B338" s="7" t="inlineStr"/>
      <c r="C338" s="2" t="inlineStr"/>
      <c r="D338" s="2" t="inlineStr"/>
      <c r="E338" s="2" t="inlineStr"/>
      <c r="F338" s="2" t="inlineStr"/>
      <c r="G338" s="2" t="inlineStr"/>
    </row>
    <row r="339">
      <c r="A339" s="2" t="inlineStr"/>
      <c r="B339" s="7" t="inlineStr"/>
      <c r="C339" s="2" t="inlineStr"/>
      <c r="D339" s="2" t="inlineStr"/>
      <c r="E339" s="2" t="inlineStr"/>
      <c r="F339" s="2" t="inlineStr"/>
      <c r="G339" s="2" t="inlineStr"/>
    </row>
    <row r="340">
      <c r="A340" s="2" t="inlineStr"/>
      <c r="B340" s="7" t="inlineStr"/>
      <c r="C340" s="2" t="inlineStr"/>
      <c r="D340" s="2" t="inlineStr"/>
      <c r="E340" s="2" t="inlineStr"/>
      <c r="F340" s="2" t="inlineStr"/>
      <c r="G340" s="2" t="inlineStr"/>
    </row>
    <row r="341">
      <c r="A341" s="2" t="inlineStr"/>
      <c r="B341" s="7" t="inlineStr"/>
      <c r="C341" s="2" t="inlineStr"/>
      <c r="D341" s="2" t="inlineStr"/>
      <c r="E341" s="2" t="inlineStr"/>
      <c r="F341" s="2" t="inlineStr"/>
      <c r="G341" s="2" t="inlineStr"/>
    </row>
    <row r="342">
      <c r="A342" s="2" t="inlineStr"/>
      <c r="B342" s="7" t="inlineStr"/>
      <c r="C342" s="2" t="inlineStr"/>
      <c r="D342" s="2" t="inlineStr"/>
      <c r="E342" s="2" t="inlineStr"/>
      <c r="F342" s="2" t="inlineStr"/>
      <c r="G342" s="2" t="inlineStr"/>
    </row>
    <row r="343">
      <c r="A343" s="2" t="inlineStr"/>
      <c r="B343" s="7" t="inlineStr"/>
      <c r="C343" s="2" t="inlineStr"/>
      <c r="D343" s="2" t="inlineStr"/>
      <c r="E343" s="2" t="inlineStr"/>
      <c r="F343" s="2" t="inlineStr"/>
      <c r="G343" s="2" t="inlineStr"/>
    </row>
    <row r="344">
      <c r="A344" s="2" t="inlineStr"/>
      <c r="B344" s="7" t="inlineStr"/>
      <c r="C344" s="2" t="inlineStr"/>
      <c r="D344" s="2" t="inlineStr"/>
      <c r="E344" s="2" t="inlineStr"/>
      <c r="F344" s="2" t="inlineStr"/>
      <c r="G344" s="2" t="inlineStr"/>
    </row>
    <row r="345">
      <c r="A345" s="2" t="inlineStr"/>
      <c r="B345" s="7" t="inlineStr"/>
      <c r="C345" s="2" t="inlineStr"/>
      <c r="D345" s="2" t="inlineStr"/>
      <c r="E345" s="2" t="inlineStr"/>
      <c r="F345" s="2" t="inlineStr"/>
      <c r="G345" s="2" t="inlineStr"/>
    </row>
    <row r="346">
      <c r="A346" s="2" t="inlineStr"/>
      <c r="B346" s="7" t="inlineStr"/>
      <c r="C346" s="2" t="inlineStr"/>
      <c r="D346" s="2" t="inlineStr"/>
      <c r="E346" s="2" t="inlineStr"/>
      <c r="F346" s="2" t="inlineStr"/>
      <c r="G346" s="2" t="inlineStr"/>
    </row>
    <row r="347">
      <c r="A347" s="2" t="inlineStr"/>
      <c r="B347" s="7" t="inlineStr"/>
      <c r="C347" s="2" t="inlineStr"/>
      <c r="D347" s="2" t="inlineStr"/>
      <c r="E347" s="2" t="inlineStr"/>
      <c r="F347" s="2" t="inlineStr"/>
      <c r="G347" s="2" t="inlineStr"/>
    </row>
    <row r="348">
      <c r="A348" s="2" t="inlineStr"/>
      <c r="B348" s="7" t="inlineStr"/>
      <c r="C348" s="2" t="inlineStr"/>
      <c r="D348" s="2" t="inlineStr"/>
      <c r="E348" s="2" t="inlineStr"/>
      <c r="F348" s="2" t="inlineStr"/>
      <c r="G348" s="2" t="inlineStr"/>
    </row>
    <row r="349">
      <c r="A349" s="2" t="inlineStr"/>
      <c r="B349" s="7" t="inlineStr"/>
      <c r="C349" s="2" t="inlineStr"/>
      <c r="D349" s="2" t="inlineStr"/>
      <c r="E349" s="2" t="inlineStr"/>
      <c r="F349" s="2" t="inlineStr"/>
      <c r="G349" s="2" t="inlineStr"/>
    </row>
    <row r="350">
      <c r="A350" s="2" t="inlineStr"/>
      <c r="B350" s="7" t="inlineStr"/>
      <c r="C350" s="2" t="inlineStr"/>
      <c r="D350" s="2" t="inlineStr"/>
      <c r="E350" s="2" t="inlineStr"/>
      <c r="F350" s="2" t="inlineStr"/>
      <c r="G350" s="2" t="inlineStr"/>
    </row>
    <row r="351">
      <c r="A351" s="2" t="inlineStr"/>
      <c r="B351" s="7" t="inlineStr"/>
      <c r="C351" s="2" t="inlineStr"/>
      <c r="D351" s="2" t="inlineStr"/>
      <c r="E351" s="2" t="inlineStr"/>
      <c r="F351" s="2" t="inlineStr"/>
      <c r="G351" s="2" t="inlineStr"/>
    </row>
    <row r="352">
      <c r="A352" s="2" t="inlineStr"/>
      <c r="B352" s="7" t="inlineStr"/>
      <c r="C352" s="2" t="inlineStr"/>
      <c r="D352" s="2" t="inlineStr"/>
      <c r="E352" s="2" t="inlineStr"/>
      <c r="F352" s="2" t="inlineStr"/>
      <c r="G352" s="2" t="inlineStr"/>
    </row>
    <row r="353">
      <c r="A353" s="2" t="inlineStr"/>
      <c r="B353" s="7" t="inlineStr"/>
      <c r="C353" s="2" t="inlineStr"/>
      <c r="D353" s="2" t="inlineStr"/>
      <c r="E353" s="2" t="inlineStr"/>
      <c r="F353" s="2" t="inlineStr"/>
      <c r="G353" s="2" t="inlineStr"/>
    </row>
    <row r="354">
      <c r="A354" s="2" t="inlineStr"/>
      <c r="B354" s="7" t="inlineStr"/>
      <c r="C354" s="2" t="inlineStr"/>
      <c r="D354" s="2" t="inlineStr"/>
      <c r="E354" s="2" t="inlineStr"/>
      <c r="F354" s="2" t="inlineStr"/>
      <c r="G354" s="2" t="inlineStr"/>
    </row>
    <row r="355">
      <c r="A355" s="2" t="inlineStr"/>
      <c r="B355" s="7" t="inlineStr"/>
      <c r="C355" s="2" t="inlineStr"/>
      <c r="D355" s="2" t="inlineStr"/>
      <c r="E355" s="2" t="inlineStr"/>
      <c r="F355" s="2" t="inlineStr"/>
      <c r="G355" s="2" t="inlineStr"/>
    </row>
    <row r="356">
      <c r="A356" s="2" t="inlineStr"/>
      <c r="B356" s="7" t="inlineStr"/>
      <c r="C356" s="2" t="inlineStr"/>
      <c r="D356" s="2" t="inlineStr"/>
      <c r="E356" s="2" t="inlineStr"/>
      <c r="F356" s="2" t="inlineStr"/>
      <c r="G356" s="2" t="inlineStr"/>
    </row>
    <row r="357">
      <c r="A357" s="2" t="inlineStr"/>
      <c r="B357" s="7" t="inlineStr"/>
      <c r="C357" s="2" t="inlineStr"/>
      <c r="D357" s="2" t="inlineStr"/>
      <c r="E357" s="2" t="inlineStr"/>
      <c r="F357" s="2" t="inlineStr"/>
      <c r="G357" s="2" t="inlineStr"/>
    </row>
    <row r="358">
      <c r="A358" s="2" t="inlineStr"/>
      <c r="B358" s="7" t="inlineStr"/>
      <c r="C358" s="2" t="inlineStr"/>
      <c r="D358" s="2" t="inlineStr"/>
      <c r="E358" s="2" t="inlineStr"/>
      <c r="F358" s="2" t="inlineStr"/>
      <c r="G358" s="2" t="inlineStr"/>
    </row>
    <row r="359">
      <c r="A359" s="2" t="inlineStr"/>
      <c r="B359" s="7" t="inlineStr"/>
      <c r="C359" s="2" t="inlineStr"/>
      <c r="D359" s="2" t="inlineStr"/>
      <c r="E359" s="2" t="inlineStr"/>
      <c r="F359" s="2" t="inlineStr"/>
      <c r="G359" s="2" t="inlineStr"/>
    </row>
    <row r="360">
      <c r="A360" s="2" t="inlineStr"/>
      <c r="B360" s="7" t="inlineStr"/>
      <c r="C360" s="2" t="inlineStr"/>
      <c r="D360" s="2" t="inlineStr"/>
      <c r="E360" s="2" t="inlineStr"/>
      <c r="F360" s="2" t="inlineStr"/>
      <c r="G360" s="2" t="inlineStr"/>
    </row>
    <row r="361">
      <c r="A361" s="2" t="inlineStr"/>
      <c r="B361" s="7" t="inlineStr"/>
      <c r="C361" s="2" t="inlineStr"/>
      <c r="D361" s="2" t="inlineStr"/>
      <c r="E361" s="2" t="inlineStr"/>
      <c r="F361" s="2" t="inlineStr"/>
      <c r="G361" s="2" t="inlineStr"/>
    </row>
    <row r="362">
      <c r="A362" s="2" t="inlineStr"/>
      <c r="B362" s="7" t="inlineStr"/>
      <c r="C362" s="2" t="inlineStr"/>
      <c r="D362" s="2" t="inlineStr"/>
      <c r="E362" s="2" t="inlineStr"/>
      <c r="F362" s="2" t="inlineStr"/>
      <c r="G362" s="2" t="inlineStr"/>
    </row>
    <row r="363">
      <c r="A363" s="2" t="inlineStr"/>
      <c r="B363" s="7" t="inlineStr"/>
      <c r="C363" s="2" t="inlineStr"/>
      <c r="D363" s="2" t="inlineStr"/>
      <c r="E363" s="2" t="inlineStr"/>
      <c r="F363" s="2" t="inlineStr"/>
      <c r="G363" s="2" t="inlineStr"/>
    </row>
    <row r="364">
      <c r="A364" s="2" t="inlineStr"/>
      <c r="B364" s="7" t="inlineStr"/>
      <c r="C364" s="2" t="inlineStr"/>
      <c r="D364" s="2" t="inlineStr"/>
      <c r="E364" s="2" t="inlineStr"/>
      <c r="F364" s="2" t="inlineStr"/>
      <c r="G364" s="2" t="inlineStr"/>
    </row>
    <row r="365">
      <c r="A365" s="2" t="inlineStr"/>
      <c r="B365" s="7" t="inlineStr"/>
      <c r="C365" s="2" t="inlineStr"/>
      <c r="D365" s="2" t="inlineStr"/>
      <c r="E365" s="2" t="inlineStr"/>
      <c r="F365" s="2" t="inlineStr"/>
      <c r="G365" s="2" t="inlineStr"/>
    </row>
    <row r="366">
      <c r="A366" s="2" t="inlineStr"/>
      <c r="B366" s="7" t="inlineStr"/>
      <c r="C366" s="2" t="inlineStr"/>
      <c r="D366" s="2" t="inlineStr"/>
      <c r="E366" s="2" t="inlineStr"/>
      <c r="F366" s="2" t="inlineStr"/>
      <c r="G366" s="2" t="inlineStr"/>
    </row>
    <row r="367">
      <c r="A367" s="2" t="inlineStr"/>
      <c r="B367" s="7" t="inlineStr"/>
      <c r="C367" s="2" t="inlineStr"/>
      <c r="D367" s="2" t="inlineStr"/>
      <c r="E367" s="2" t="inlineStr"/>
      <c r="F367" s="2" t="inlineStr"/>
      <c r="G367" s="2" t="inlineStr"/>
    </row>
    <row r="368">
      <c r="A368" s="2" t="inlineStr"/>
      <c r="B368" s="7" t="inlineStr"/>
      <c r="C368" s="2" t="inlineStr"/>
      <c r="D368" s="2" t="inlineStr"/>
      <c r="E368" s="2" t="inlineStr"/>
      <c r="F368" s="2" t="inlineStr"/>
      <c r="G368" s="2" t="inlineStr"/>
    </row>
    <row r="369">
      <c r="A369" s="2" t="inlineStr"/>
      <c r="B369" s="7" t="inlineStr"/>
      <c r="C369" s="2" t="inlineStr"/>
      <c r="D369" s="2" t="inlineStr"/>
      <c r="E369" s="2" t="inlineStr"/>
      <c r="F369" s="2" t="inlineStr"/>
      <c r="G369" s="2" t="inlineStr"/>
    </row>
    <row r="370">
      <c r="A370" s="2" t="inlineStr"/>
      <c r="B370" s="7" t="inlineStr"/>
      <c r="C370" s="2" t="inlineStr"/>
      <c r="D370" s="2" t="inlineStr"/>
      <c r="E370" s="2" t="inlineStr"/>
      <c r="F370" s="2" t="inlineStr"/>
      <c r="G370" s="2" t="inlineStr"/>
    </row>
    <row r="371">
      <c r="A371" s="2" t="inlineStr"/>
      <c r="B371" s="7" t="inlineStr"/>
      <c r="C371" s="2" t="inlineStr"/>
      <c r="D371" s="2" t="inlineStr"/>
      <c r="E371" s="2" t="inlineStr"/>
      <c r="F371" s="2" t="inlineStr"/>
      <c r="G371" s="2" t="inlineStr"/>
    </row>
    <row r="372">
      <c r="A372" s="2" t="inlineStr"/>
      <c r="B372" s="7" t="inlineStr"/>
      <c r="C372" s="2" t="inlineStr"/>
      <c r="D372" s="2" t="inlineStr"/>
      <c r="E372" s="2" t="inlineStr"/>
      <c r="F372" s="2" t="inlineStr"/>
      <c r="G372" s="2" t="inlineStr"/>
    </row>
    <row r="373">
      <c r="A373" s="2" t="inlineStr"/>
      <c r="B373" s="7" t="inlineStr"/>
      <c r="C373" s="2" t="inlineStr"/>
      <c r="D373" s="2" t="inlineStr"/>
      <c r="E373" s="2" t="inlineStr"/>
      <c r="F373" s="2" t="inlineStr"/>
      <c r="G373" s="2" t="inlineStr"/>
    </row>
    <row r="374">
      <c r="A374" s="2" t="inlineStr"/>
      <c r="B374" s="7" t="inlineStr"/>
      <c r="C374" s="2" t="inlineStr"/>
      <c r="D374" s="2" t="inlineStr"/>
      <c r="E374" s="2" t="inlineStr"/>
      <c r="F374" s="2" t="inlineStr"/>
      <c r="G374" s="2" t="inlineStr"/>
    </row>
    <row r="375">
      <c r="A375" s="2" t="inlineStr"/>
      <c r="B375" s="7" t="inlineStr"/>
      <c r="C375" s="2" t="inlineStr"/>
      <c r="D375" s="2" t="inlineStr"/>
      <c r="E375" s="2" t="inlineStr"/>
      <c r="F375" s="2" t="inlineStr"/>
      <c r="G375" s="2" t="inlineStr"/>
    </row>
    <row r="376">
      <c r="A376" s="2" t="inlineStr"/>
      <c r="B376" s="7" t="inlineStr"/>
      <c r="C376" s="2" t="inlineStr"/>
      <c r="D376" s="2" t="inlineStr"/>
      <c r="E376" s="2" t="inlineStr"/>
      <c r="F376" s="2" t="inlineStr"/>
      <c r="G376" s="2" t="inlineStr"/>
    </row>
    <row r="377">
      <c r="A377" s="2" t="inlineStr"/>
      <c r="B377" s="7" t="inlineStr"/>
      <c r="C377" s="2" t="inlineStr"/>
      <c r="D377" s="2" t="inlineStr"/>
      <c r="E377" s="2" t="inlineStr"/>
      <c r="F377" s="2" t="inlineStr"/>
      <c r="G377" s="2" t="inlineStr"/>
    </row>
    <row r="378">
      <c r="A378" s="2" t="inlineStr"/>
      <c r="B378" s="7" t="inlineStr"/>
      <c r="C378" s="2" t="inlineStr"/>
      <c r="D378" s="2" t="inlineStr"/>
      <c r="E378" s="2" t="inlineStr"/>
      <c r="F378" s="2" t="inlineStr"/>
      <c r="G378" s="2" t="inlineStr"/>
    </row>
    <row r="379">
      <c r="A379" s="2" t="inlineStr"/>
      <c r="B379" s="7" t="inlineStr"/>
      <c r="C379" s="2" t="inlineStr"/>
      <c r="D379" s="2" t="inlineStr"/>
      <c r="E379" s="2" t="inlineStr"/>
      <c r="F379" s="2" t="inlineStr"/>
      <c r="G379" s="2" t="inlineStr"/>
    </row>
    <row r="380">
      <c r="A380" s="2" t="inlineStr"/>
      <c r="B380" s="7" t="inlineStr"/>
      <c r="C380" s="2" t="inlineStr"/>
      <c r="D380" s="2" t="inlineStr"/>
      <c r="E380" s="2" t="inlineStr"/>
      <c r="F380" s="2" t="inlineStr"/>
      <c r="G380" s="2" t="inlineStr"/>
    </row>
    <row r="381">
      <c r="A381" s="2" t="inlineStr"/>
      <c r="B381" s="7" t="inlineStr"/>
      <c r="C381" s="2" t="inlineStr"/>
      <c r="D381" s="2" t="inlineStr"/>
      <c r="E381" s="2" t="inlineStr"/>
      <c r="F381" s="2" t="inlineStr"/>
      <c r="G381" s="2" t="inlineStr"/>
    </row>
    <row r="382">
      <c r="A382" s="2" t="inlineStr"/>
      <c r="B382" s="7" t="inlineStr"/>
      <c r="C382" s="2" t="inlineStr"/>
      <c r="D382" s="2" t="inlineStr"/>
      <c r="E382" s="2" t="inlineStr"/>
      <c r="F382" s="2" t="inlineStr"/>
      <c r="G382" s="2" t="inlineStr"/>
    </row>
    <row r="383">
      <c r="A383" s="2" t="inlineStr"/>
      <c r="B383" s="7" t="inlineStr"/>
      <c r="C383" s="2" t="inlineStr"/>
      <c r="D383" s="2" t="inlineStr"/>
      <c r="E383" s="2" t="inlineStr"/>
      <c r="F383" s="2" t="inlineStr"/>
      <c r="G383" s="2" t="inlineStr"/>
    </row>
    <row r="384">
      <c r="A384" s="2" t="inlineStr"/>
      <c r="B384" s="7" t="inlineStr"/>
      <c r="C384" s="2" t="inlineStr"/>
      <c r="D384" s="2" t="inlineStr"/>
      <c r="E384" s="2" t="inlineStr"/>
      <c r="F384" s="2" t="inlineStr"/>
      <c r="G384" s="2" t="inlineStr"/>
    </row>
    <row r="385">
      <c r="A385" s="2" t="inlineStr"/>
      <c r="B385" s="7" t="inlineStr"/>
      <c r="C385" s="2" t="inlineStr"/>
      <c r="D385" s="2" t="inlineStr"/>
      <c r="E385" s="2" t="inlineStr"/>
      <c r="F385" s="2" t="inlineStr"/>
      <c r="G385" s="2" t="inlineStr"/>
    </row>
    <row r="386">
      <c r="A386" s="2" t="inlineStr"/>
      <c r="B386" s="7" t="inlineStr"/>
      <c r="C386" s="2" t="inlineStr"/>
      <c r="D386" s="2" t="inlineStr"/>
      <c r="E386" s="2" t="inlineStr"/>
      <c r="F386" s="2" t="inlineStr"/>
      <c r="G386" s="2" t="inlineStr"/>
    </row>
    <row r="387">
      <c r="A387" s="2" t="inlineStr"/>
      <c r="B387" s="7" t="inlineStr"/>
      <c r="C387" s="2" t="inlineStr"/>
      <c r="D387" s="2" t="inlineStr"/>
      <c r="E387" s="2" t="inlineStr"/>
      <c r="F387" s="2" t="inlineStr"/>
      <c r="G387" s="2" t="inlineStr"/>
    </row>
    <row r="388">
      <c r="A388" s="2" t="inlineStr"/>
      <c r="B388" s="7" t="inlineStr"/>
      <c r="C388" s="2" t="inlineStr"/>
      <c r="D388" s="2" t="inlineStr"/>
      <c r="E388" s="2" t="inlineStr"/>
      <c r="F388" s="2" t="inlineStr"/>
      <c r="G388" s="2" t="inlineStr"/>
    </row>
    <row r="389">
      <c r="A389" s="2" t="inlineStr"/>
      <c r="B389" s="7" t="inlineStr"/>
      <c r="C389" s="2" t="inlineStr"/>
      <c r="D389" s="2" t="inlineStr"/>
      <c r="E389" s="2" t="inlineStr"/>
      <c r="F389" s="2" t="inlineStr"/>
      <c r="G389" s="2" t="inlineStr"/>
    </row>
    <row r="390">
      <c r="A390" s="2" t="inlineStr"/>
      <c r="B390" s="7" t="inlineStr"/>
      <c r="C390" s="2" t="inlineStr"/>
      <c r="D390" s="2" t="inlineStr"/>
      <c r="E390" s="2" t="inlineStr"/>
      <c r="F390" s="2" t="inlineStr"/>
      <c r="G390" s="2" t="inlineStr"/>
    </row>
    <row r="391">
      <c r="A391" s="2" t="inlineStr"/>
      <c r="B391" s="7" t="inlineStr"/>
      <c r="C391" s="2" t="inlineStr"/>
      <c r="D391" s="2" t="inlineStr"/>
      <c r="E391" s="2" t="inlineStr"/>
      <c r="F391" s="2" t="inlineStr"/>
      <c r="G391" s="2" t="inlineStr"/>
    </row>
    <row r="392">
      <c r="A392" s="2" t="inlineStr"/>
      <c r="B392" s="7" t="inlineStr"/>
      <c r="C392" s="2" t="inlineStr"/>
      <c r="D392" s="2" t="inlineStr"/>
      <c r="E392" s="2" t="inlineStr"/>
      <c r="F392" s="2" t="inlineStr"/>
      <c r="G392" s="2" t="inlineStr"/>
    </row>
    <row r="393">
      <c r="A393" s="2" t="inlineStr"/>
      <c r="B393" s="7" t="inlineStr"/>
      <c r="C393" s="2" t="inlineStr"/>
      <c r="D393" s="2" t="inlineStr"/>
      <c r="E393" s="2" t="inlineStr"/>
      <c r="F393" s="2" t="inlineStr"/>
      <c r="G393" s="2" t="inlineStr"/>
    </row>
    <row r="394">
      <c r="A394" s="2" t="inlineStr"/>
      <c r="B394" s="7" t="inlineStr"/>
      <c r="C394" s="2" t="inlineStr"/>
      <c r="D394" s="2" t="inlineStr"/>
      <c r="E394" s="2" t="inlineStr"/>
      <c r="F394" s="2" t="inlineStr"/>
      <c r="G394" s="2" t="inlineStr"/>
    </row>
    <row r="395">
      <c r="A395" s="2" t="inlineStr"/>
      <c r="B395" s="7" t="inlineStr"/>
      <c r="C395" s="2" t="inlineStr"/>
      <c r="D395" s="2" t="inlineStr"/>
      <c r="E395" s="2" t="inlineStr"/>
      <c r="F395" s="2" t="inlineStr"/>
      <c r="G395" s="2" t="inlineStr"/>
    </row>
    <row r="396">
      <c r="A396" s="2" t="inlineStr"/>
      <c r="B396" s="7" t="inlineStr"/>
      <c r="C396" s="2" t="inlineStr"/>
      <c r="D396" s="2" t="inlineStr"/>
      <c r="E396" s="2" t="inlineStr"/>
      <c r="F396" s="2" t="inlineStr"/>
      <c r="G396" s="2" t="inlineStr"/>
    </row>
    <row r="397">
      <c r="A397" s="2" t="inlineStr"/>
      <c r="B397" s="7" t="inlineStr"/>
      <c r="C397" s="2" t="inlineStr"/>
      <c r="D397" s="2" t="inlineStr"/>
      <c r="E397" s="2" t="inlineStr"/>
      <c r="F397" s="2" t="inlineStr"/>
      <c r="G397" s="2" t="inlineStr"/>
    </row>
    <row r="398">
      <c r="A398" s="2" t="inlineStr"/>
      <c r="B398" s="7" t="inlineStr"/>
      <c r="C398" s="2" t="inlineStr"/>
      <c r="D398" s="2" t="inlineStr"/>
      <c r="E398" s="2" t="inlineStr"/>
      <c r="F398" s="2" t="inlineStr"/>
      <c r="G398" s="2" t="inlineStr"/>
    </row>
    <row r="399">
      <c r="A399" s="2" t="inlineStr"/>
      <c r="B399" s="7" t="inlineStr"/>
      <c r="C399" s="2" t="inlineStr"/>
      <c r="D399" s="2" t="inlineStr"/>
      <c r="E399" s="2" t="inlineStr"/>
      <c r="F399" s="2" t="inlineStr"/>
      <c r="G399" s="2" t="inlineStr"/>
    </row>
    <row r="400">
      <c r="A400" s="2" t="inlineStr"/>
      <c r="B400" s="7" t="inlineStr"/>
      <c r="C400" s="2" t="inlineStr"/>
      <c r="D400" s="2" t="inlineStr"/>
      <c r="E400" s="2" t="inlineStr"/>
      <c r="F400" s="2" t="inlineStr"/>
      <c r="G400" s="2" t="inlineStr"/>
    </row>
    <row r="401">
      <c r="A401" s="2" t="inlineStr"/>
      <c r="B401" s="7" t="inlineStr"/>
      <c r="C401" s="2" t="inlineStr"/>
      <c r="D401" s="2" t="inlineStr"/>
      <c r="E401" s="2" t="inlineStr"/>
      <c r="F401" s="2" t="inlineStr"/>
      <c r="G401" s="2" t="inlineStr"/>
    </row>
    <row r="402">
      <c r="A402" s="2" t="inlineStr"/>
      <c r="B402" s="7" t="inlineStr"/>
      <c r="C402" s="2" t="inlineStr"/>
      <c r="D402" s="2" t="inlineStr"/>
      <c r="E402" s="2" t="inlineStr"/>
      <c r="F402" s="2" t="inlineStr"/>
      <c r="G402" s="2" t="inlineStr"/>
    </row>
    <row r="403">
      <c r="A403" s="2" t="inlineStr"/>
      <c r="B403" s="7" t="inlineStr"/>
      <c r="C403" s="2" t="inlineStr"/>
      <c r="D403" s="2" t="inlineStr"/>
      <c r="E403" s="2" t="inlineStr"/>
      <c r="F403" s="2" t="inlineStr"/>
      <c r="G403" s="2" t="inlineStr"/>
    </row>
    <row r="404">
      <c r="A404" s="2" t="inlineStr"/>
      <c r="B404" s="7" t="inlineStr"/>
      <c r="C404" s="2" t="inlineStr"/>
      <c r="D404" s="2" t="inlineStr"/>
      <c r="E404" s="2" t="inlineStr"/>
      <c r="F404" s="2" t="inlineStr"/>
      <c r="G404" s="2" t="inlineStr"/>
    </row>
    <row r="405">
      <c r="A405" s="2" t="inlineStr"/>
      <c r="B405" s="7" t="inlineStr"/>
      <c r="C405" s="2" t="inlineStr"/>
      <c r="D405" s="2" t="inlineStr"/>
      <c r="E405" s="2" t="inlineStr"/>
      <c r="F405" s="2" t="inlineStr"/>
      <c r="G405" s="2" t="inlineStr"/>
    </row>
    <row r="406">
      <c r="A406" s="2" t="inlineStr"/>
      <c r="B406" s="7" t="inlineStr"/>
      <c r="C406" s="2" t="inlineStr"/>
      <c r="D406" s="2" t="inlineStr"/>
      <c r="E406" s="2" t="inlineStr"/>
      <c r="F406" s="2" t="inlineStr"/>
      <c r="G406" s="2" t="inlineStr"/>
    </row>
    <row r="407">
      <c r="A407" s="2" t="inlineStr"/>
      <c r="B407" s="7" t="inlineStr"/>
      <c r="C407" s="2" t="inlineStr"/>
      <c r="D407" s="2" t="inlineStr"/>
      <c r="E407" s="2" t="inlineStr"/>
      <c r="F407" s="2" t="inlineStr"/>
      <c r="G407" s="2" t="inlineStr"/>
    </row>
    <row r="408">
      <c r="A408" s="2" t="inlineStr"/>
      <c r="B408" s="7" t="inlineStr"/>
      <c r="C408" s="2" t="inlineStr"/>
      <c r="D408" s="2" t="inlineStr"/>
      <c r="E408" s="2" t="inlineStr"/>
      <c r="F408" s="2" t="inlineStr"/>
      <c r="G408" s="2" t="inlineStr"/>
    </row>
    <row r="409">
      <c r="A409" s="2" t="inlineStr"/>
      <c r="B409" s="7" t="inlineStr"/>
      <c r="C409" s="2" t="inlineStr"/>
      <c r="D409" s="2" t="inlineStr"/>
      <c r="E409" s="2" t="inlineStr"/>
      <c r="F409" s="2" t="inlineStr"/>
      <c r="G409" s="2" t="inlineStr"/>
    </row>
    <row r="410">
      <c r="A410" s="2" t="inlineStr"/>
      <c r="B410" s="7" t="inlineStr"/>
      <c r="C410" s="2" t="inlineStr"/>
      <c r="D410" s="2" t="inlineStr"/>
      <c r="E410" s="2" t="inlineStr"/>
      <c r="F410" s="2" t="inlineStr"/>
      <c r="G410" s="2" t="inlineStr"/>
    </row>
    <row r="411">
      <c r="A411" s="2" t="inlineStr"/>
      <c r="B411" s="7" t="inlineStr"/>
      <c r="C411" s="2" t="inlineStr"/>
      <c r="D411" s="2" t="inlineStr"/>
      <c r="E411" s="2" t="inlineStr"/>
      <c r="F411" s="2" t="inlineStr"/>
      <c r="G411" s="2" t="inlineStr"/>
    </row>
    <row r="412">
      <c r="A412" s="2" t="inlineStr"/>
      <c r="B412" s="7" t="inlineStr"/>
      <c r="C412" s="2" t="inlineStr"/>
      <c r="D412" s="2" t="inlineStr"/>
      <c r="E412" s="2" t="inlineStr"/>
      <c r="F412" s="2" t="inlineStr"/>
      <c r="G412" s="2" t="inlineStr"/>
    </row>
    <row r="413">
      <c r="A413" s="2" t="inlineStr"/>
      <c r="B413" s="7" t="inlineStr"/>
      <c r="C413" s="2" t="inlineStr"/>
      <c r="D413" s="2" t="inlineStr"/>
      <c r="E413" s="2" t="inlineStr"/>
      <c r="F413" s="2" t="inlineStr"/>
      <c r="G413" s="2" t="inlineStr"/>
    </row>
    <row r="414">
      <c r="A414" s="2" t="inlineStr"/>
      <c r="B414" s="7" t="inlineStr"/>
      <c r="C414" s="2" t="inlineStr"/>
      <c r="D414" s="2" t="inlineStr"/>
      <c r="E414" s="2" t="inlineStr"/>
      <c r="F414" s="2" t="inlineStr"/>
      <c r="G414" s="2" t="inlineStr"/>
    </row>
    <row r="415">
      <c r="A415" s="2" t="inlineStr"/>
      <c r="B415" s="7" t="inlineStr"/>
      <c r="C415" s="2" t="inlineStr"/>
      <c r="D415" s="2" t="inlineStr"/>
      <c r="E415" s="2" t="inlineStr"/>
      <c r="F415" s="2" t="inlineStr"/>
      <c r="G415" s="2" t="inlineStr"/>
    </row>
    <row r="416">
      <c r="A416" s="2" t="inlineStr"/>
      <c r="B416" s="7" t="inlineStr"/>
      <c r="C416" s="2" t="inlineStr"/>
      <c r="D416" s="2" t="inlineStr"/>
      <c r="E416" s="2" t="inlineStr"/>
      <c r="F416" s="2" t="inlineStr"/>
      <c r="G416" s="2" t="inlineStr"/>
    </row>
    <row r="417">
      <c r="A417" s="2" t="inlineStr"/>
      <c r="B417" s="7" t="inlineStr"/>
      <c r="C417" s="2" t="inlineStr"/>
      <c r="D417" s="2" t="inlineStr"/>
      <c r="E417" s="2" t="inlineStr"/>
      <c r="F417" s="2" t="inlineStr"/>
      <c r="G417" s="2" t="inlineStr"/>
    </row>
    <row r="418">
      <c r="A418" s="2" t="inlineStr"/>
      <c r="B418" s="7" t="inlineStr"/>
      <c r="C418" s="2" t="inlineStr"/>
      <c r="D418" s="2" t="inlineStr"/>
      <c r="E418" s="2" t="inlineStr"/>
      <c r="F418" s="2" t="inlineStr"/>
      <c r="G418" s="2" t="inlineStr"/>
    </row>
    <row r="419">
      <c r="A419" s="2" t="inlineStr"/>
      <c r="B419" s="7" t="inlineStr"/>
      <c r="C419" s="2" t="inlineStr"/>
      <c r="D419" s="2" t="inlineStr"/>
      <c r="E419" s="2" t="inlineStr"/>
      <c r="F419" s="2" t="inlineStr"/>
      <c r="G419" s="2" t="inlineStr"/>
    </row>
    <row r="420">
      <c r="A420" s="2" t="inlineStr"/>
      <c r="B420" s="7" t="inlineStr"/>
      <c r="C420" s="2" t="inlineStr"/>
      <c r="D420" s="2" t="inlineStr"/>
      <c r="E420" s="2" t="inlineStr"/>
      <c r="F420" s="2" t="inlineStr"/>
      <c r="G420" s="2" t="inlineStr"/>
    </row>
    <row r="421">
      <c r="A421" s="2" t="inlineStr"/>
      <c r="B421" s="7" t="inlineStr"/>
      <c r="C421" s="2" t="inlineStr"/>
      <c r="D421" s="2" t="inlineStr"/>
      <c r="E421" s="2" t="inlineStr"/>
      <c r="F421" s="2" t="inlineStr"/>
      <c r="G421" s="2" t="inlineStr"/>
    </row>
    <row r="422">
      <c r="A422" s="2" t="inlineStr"/>
      <c r="B422" s="7" t="inlineStr"/>
      <c r="C422" s="2" t="inlineStr"/>
      <c r="D422" s="2" t="inlineStr"/>
      <c r="E422" s="2" t="inlineStr"/>
      <c r="F422" s="2" t="inlineStr"/>
      <c r="G422" s="2" t="inlineStr"/>
    </row>
    <row r="423">
      <c r="A423" s="2" t="inlineStr"/>
      <c r="B423" s="7" t="inlineStr"/>
      <c r="C423" s="2" t="inlineStr"/>
      <c r="D423" s="2" t="inlineStr"/>
      <c r="E423" s="2" t="inlineStr"/>
      <c r="F423" s="2" t="inlineStr"/>
      <c r="G423" s="2" t="inlineStr"/>
    </row>
    <row r="424">
      <c r="A424" s="2" t="inlineStr"/>
      <c r="B424" s="7" t="inlineStr"/>
      <c r="C424" s="2" t="inlineStr"/>
      <c r="D424" s="2" t="inlineStr"/>
      <c r="E424" s="2" t="inlineStr"/>
      <c r="F424" s="2" t="inlineStr"/>
      <c r="G424" s="2" t="inlineStr"/>
    </row>
    <row r="425">
      <c r="A425" s="2" t="inlineStr"/>
      <c r="B425" s="7" t="inlineStr"/>
      <c r="C425" s="2" t="inlineStr"/>
      <c r="D425" s="2" t="inlineStr"/>
      <c r="E425" s="2" t="inlineStr"/>
      <c r="F425" s="2" t="inlineStr"/>
      <c r="G425" s="2" t="inlineStr"/>
    </row>
    <row r="426">
      <c r="A426" s="2" t="inlineStr"/>
      <c r="B426" s="7" t="inlineStr"/>
      <c r="C426" s="2" t="inlineStr"/>
      <c r="D426" s="2" t="inlineStr"/>
      <c r="E426" s="2" t="inlineStr"/>
      <c r="F426" s="2" t="inlineStr"/>
      <c r="G426" s="2" t="inlineStr"/>
    </row>
    <row r="427">
      <c r="A427" s="2" t="inlineStr"/>
      <c r="B427" s="7" t="inlineStr"/>
      <c r="C427" s="2" t="inlineStr"/>
      <c r="D427" s="2" t="inlineStr"/>
      <c r="E427" s="2" t="inlineStr"/>
      <c r="F427" s="2" t="inlineStr"/>
      <c r="G427" s="2" t="inlineStr"/>
    </row>
    <row r="428">
      <c r="A428" s="2" t="inlineStr"/>
      <c r="B428" s="7" t="inlineStr"/>
      <c r="C428" s="2" t="inlineStr"/>
      <c r="D428" s="2" t="inlineStr"/>
      <c r="E428" s="2" t="inlineStr"/>
      <c r="F428" s="2" t="inlineStr"/>
      <c r="G428" s="2" t="inlineStr"/>
    </row>
    <row r="429">
      <c r="A429" s="2" t="inlineStr"/>
      <c r="B429" s="7" t="inlineStr"/>
      <c r="C429" s="2" t="inlineStr"/>
      <c r="D429" s="2" t="inlineStr"/>
      <c r="E429" s="2" t="inlineStr"/>
      <c r="F429" s="2" t="inlineStr"/>
      <c r="G429" s="2" t="inlineStr"/>
    </row>
    <row r="430">
      <c r="A430" s="2" t="inlineStr"/>
      <c r="B430" s="7" t="inlineStr"/>
      <c r="C430" s="2" t="inlineStr"/>
      <c r="D430" s="2" t="inlineStr"/>
      <c r="E430" s="2" t="inlineStr"/>
      <c r="F430" s="2" t="inlineStr"/>
      <c r="G430" s="2" t="inlineStr"/>
    </row>
    <row r="431">
      <c r="A431" s="2" t="inlineStr"/>
      <c r="B431" s="7" t="inlineStr"/>
      <c r="C431" s="2" t="inlineStr"/>
      <c r="D431" s="2" t="inlineStr"/>
      <c r="E431" s="2" t="inlineStr"/>
      <c r="F431" s="2" t="inlineStr"/>
      <c r="G431" s="2" t="inlineStr"/>
    </row>
    <row r="432">
      <c r="A432" s="2" t="inlineStr"/>
      <c r="B432" s="7" t="inlineStr"/>
      <c r="C432" s="2" t="inlineStr"/>
      <c r="D432" s="2" t="inlineStr"/>
      <c r="E432" s="2" t="inlineStr"/>
      <c r="F432" s="2" t="inlineStr"/>
      <c r="G432" s="2" t="inlineStr"/>
    </row>
    <row r="433">
      <c r="A433" s="2" t="inlineStr"/>
      <c r="B433" s="7" t="inlineStr"/>
      <c r="C433" s="2" t="inlineStr"/>
      <c r="D433" s="2" t="inlineStr"/>
      <c r="E433" s="2" t="inlineStr"/>
      <c r="F433" s="2" t="inlineStr"/>
      <c r="G433" s="2" t="inlineStr"/>
    </row>
    <row r="434">
      <c r="A434" s="2" t="inlineStr"/>
      <c r="B434" s="7" t="inlineStr"/>
      <c r="C434" s="2" t="inlineStr"/>
      <c r="D434" s="2" t="inlineStr"/>
      <c r="E434" s="2" t="inlineStr"/>
      <c r="F434" s="2" t="inlineStr"/>
      <c r="G434" s="2" t="inlineStr"/>
    </row>
    <row r="435">
      <c r="A435" s="2" t="inlineStr"/>
      <c r="B435" s="7" t="inlineStr"/>
      <c r="C435" s="2" t="inlineStr"/>
      <c r="D435" s="2" t="inlineStr"/>
      <c r="E435" s="2" t="inlineStr"/>
      <c r="F435" s="2" t="inlineStr"/>
      <c r="G435" s="2" t="inlineStr"/>
    </row>
    <row r="436">
      <c r="A436" s="2" t="inlineStr"/>
      <c r="B436" s="7" t="inlineStr"/>
      <c r="C436" s="2" t="inlineStr"/>
      <c r="D436" s="2" t="inlineStr"/>
      <c r="E436" s="2" t="inlineStr"/>
      <c r="F436" s="2" t="inlineStr"/>
      <c r="G436" s="2" t="inlineStr"/>
    </row>
    <row r="437">
      <c r="A437" s="2" t="inlineStr"/>
      <c r="B437" s="7" t="inlineStr"/>
      <c r="C437" s="2" t="inlineStr"/>
      <c r="D437" s="2" t="inlineStr"/>
      <c r="E437" s="2" t="inlineStr"/>
      <c r="F437" s="2" t="inlineStr"/>
      <c r="G437" s="2" t="inlineStr"/>
    </row>
    <row r="438">
      <c r="A438" s="2" t="inlineStr"/>
      <c r="B438" s="7" t="inlineStr"/>
      <c r="C438" s="2" t="inlineStr"/>
      <c r="D438" s="2" t="inlineStr"/>
      <c r="E438" s="2" t="inlineStr"/>
      <c r="F438" s="2" t="inlineStr"/>
      <c r="G438" s="2" t="inlineStr"/>
    </row>
    <row r="439">
      <c r="A439" s="2" t="inlineStr"/>
      <c r="B439" s="7" t="inlineStr"/>
      <c r="C439" s="2" t="inlineStr"/>
      <c r="D439" s="2" t="inlineStr"/>
      <c r="E439" s="2" t="inlineStr"/>
      <c r="F439" s="2" t="inlineStr"/>
      <c r="G439" s="2" t="inlineStr"/>
    </row>
    <row r="440">
      <c r="A440" s="2" t="inlineStr"/>
      <c r="B440" s="7" t="inlineStr"/>
      <c r="C440" s="2" t="inlineStr"/>
      <c r="D440" s="2" t="inlineStr"/>
      <c r="E440" s="2" t="inlineStr"/>
      <c r="F440" s="2" t="inlineStr"/>
      <c r="G440" s="2" t="inlineStr"/>
    </row>
    <row r="441">
      <c r="A441" s="2" t="inlineStr"/>
      <c r="B441" s="7" t="inlineStr"/>
      <c r="C441" s="2" t="inlineStr"/>
      <c r="D441" s="2" t="inlineStr"/>
      <c r="E441" s="2" t="inlineStr"/>
      <c r="F441" s="2" t="inlineStr"/>
      <c r="G441" s="2" t="inlineStr"/>
    </row>
    <row r="442">
      <c r="A442" s="2" t="inlineStr"/>
      <c r="B442" s="7" t="inlineStr"/>
      <c r="C442" s="2" t="inlineStr"/>
      <c r="D442" s="2" t="inlineStr"/>
      <c r="E442" s="2" t="inlineStr"/>
      <c r="F442" s="2" t="inlineStr"/>
      <c r="G442" s="2" t="inlineStr"/>
    </row>
    <row r="443">
      <c r="A443" s="2" t="inlineStr"/>
      <c r="B443" s="7" t="inlineStr"/>
      <c r="C443" s="2" t="inlineStr"/>
      <c r="D443" s="2" t="inlineStr"/>
      <c r="E443" s="2" t="inlineStr"/>
      <c r="F443" s="2" t="inlineStr"/>
      <c r="G443" s="2" t="inlineStr"/>
    </row>
    <row r="444">
      <c r="A444" s="2" t="inlineStr"/>
      <c r="B444" s="7" t="inlineStr"/>
      <c r="C444" s="2" t="inlineStr"/>
      <c r="D444" s="2" t="inlineStr"/>
      <c r="E444" s="2" t="inlineStr"/>
      <c r="F444" s="2" t="inlineStr"/>
      <c r="G444" s="2" t="inlineStr"/>
    </row>
    <row r="445">
      <c r="A445" s="2" t="inlineStr"/>
      <c r="B445" s="7" t="inlineStr"/>
      <c r="C445" s="2" t="inlineStr"/>
      <c r="D445" s="2" t="inlineStr"/>
      <c r="E445" s="2" t="inlineStr"/>
      <c r="F445" s="2" t="inlineStr"/>
      <c r="G445" s="2" t="inlineStr"/>
    </row>
    <row r="446">
      <c r="A446" s="2" t="inlineStr"/>
      <c r="B446" s="7" t="inlineStr"/>
      <c r="C446" s="2" t="inlineStr"/>
      <c r="D446" s="2" t="inlineStr"/>
      <c r="E446" s="2" t="inlineStr"/>
      <c r="F446" s="2" t="inlineStr"/>
      <c r="G446" s="2" t="inlineStr"/>
    </row>
    <row r="447">
      <c r="A447" s="2" t="inlineStr"/>
      <c r="B447" s="7" t="inlineStr"/>
      <c r="C447" s="2" t="inlineStr"/>
      <c r="D447" s="2" t="inlineStr"/>
      <c r="E447" s="2" t="inlineStr"/>
      <c r="F447" s="2" t="inlineStr"/>
      <c r="G447" s="2" t="inlineStr"/>
    </row>
    <row r="448">
      <c r="A448" s="2" t="inlineStr"/>
      <c r="B448" s="7" t="inlineStr"/>
      <c r="C448" s="2" t="inlineStr"/>
      <c r="D448" s="2" t="inlineStr"/>
      <c r="E448" s="2" t="inlineStr"/>
      <c r="F448" s="2" t="inlineStr"/>
      <c r="G448" s="2" t="inlineStr"/>
    </row>
    <row r="449">
      <c r="A449" s="2" t="inlineStr"/>
      <c r="B449" s="7" t="inlineStr"/>
      <c r="C449" s="2" t="inlineStr"/>
      <c r="D449" s="2" t="inlineStr"/>
      <c r="E449" s="2" t="inlineStr"/>
      <c r="F449" s="2" t="inlineStr"/>
      <c r="G449" s="2" t="inlineStr"/>
    </row>
    <row r="450">
      <c r="A450" s="2" t="inlineStr"/>
      <c r="B450" s="7" t="inlineStr"/>
      <c r="C450" s="2" t="inlineStr"/>
      <c r="D450" s="2" t="inlineStr"/>
      <c r="E450" s="2" t="inlineStr"/>
      <c r="F450" s="2" t="inlineStr"/>
      <c r="G450" s="2" t="inlineStr"/>
    </row>
    <row r="451">
      <c r="A451" s="2" t="inlineStr"/>
      <c r="B451" s="7" t="inlineStr"/>
      <c r="C451" s="2" t="inlineStr"/>
      <c r="D451" s="2" t="inlineStr"/>
      <c r="E451" s="2" t="inlineStr"/>
      <c r="F451" s="2" t="inlineStr"/>
      <c r="G451" s="2" t="inlineStr"/>
    </row>
    <row r="452">
      <c r="A452" s="2" t="inlineStr"/>
      <c r="B452" s="7" t="inlineStr"/>
      <c r="C452" s="2" t="inlineStr"/>
      <c r="D452" s="2" t="inlineStr"/>
      <c r="E452" s="2" t="inlineStr"/>
      <c r="F452" s="2" t="inlineStr"/>
      <c r="G452" s="2" t="inlineStr"/>
    </row>
    <row r="453">
      <c r="A453" s="2" t="inlineStr"/>
      <c r="B453" s="7" t="inlineStr"/>
      <c r="C453" s="2" t="inlineStr"/>
      <c r="D453" s="2" t="inlineStr"/>
      <c r="E453" s="2" t="inlineStr"/>
      <c r="F453" s="2" t="inlineStr"/>
      <c r="G453" s="2" t="inlineStr"/>
    </row>
    <row r="454">
      <c r="A454" s="2" t="inlineStr"/>
      <c r="B454" s="7" t="inlineStr"/>
      <c r="C454" s="2" t="inlineStr"/>
      <c r="D454" s="2" t="inlineStr"/>
      <c r="E454" s="2" t="inlineStr"/>
      <c r="F454" s="2" t="inlineStr"/>
      <c r="G454" s="2" t="inlineStr"/>
    </row>
    <row r="455">
      <c r="A455" s="2" t="inlineStr"/>
      <c r="B455" s="7" t="inlineStr"/>
      <c r="C455" s="2" t="inlineStr"/>
      <c r="D455" s="2" t="inlineStr"/>
      <c r="E455" s="2" t="inlineStr"/>
      <c r="F455" s="2" t="inlineStr"/>
      <c r="G455" s="2" t="inlineStr"/>
    </row>
    <row r="456">
      <c r="A456" s="2" t="inlineStr"/>
      <c r="B456" s="7" t="inlineStr"/>
      <c r="C456" s="2" t="inlineStr"/>
      <c r="D456" s="2" t="inlineStr"/>
      <c r="E456" s="2" t="inlineStr"/>
      <c r="F456" s="2" t="inlineStr"/>
      <c r="G456" s="2" t="inlineStr"/>
    </row>
    <row r="457">
      <c r="A457" s="2" t="inlineStr"/>
      <c r="B457" s="7" t="inlineStr"/>
      <c r="C457" s="2" t="inlineStr"/>
      <c r="D457" s="2" t="inlineStr"/>
      <c r="E457" s="2" t="inlineStr"/>
      <c r="F457" s="2" t="inlineStr"/>
      <c r="G457" s="2" t="inlineStr"/>
    </row>
    <row r="458">
      <c r="A458" s="2" t="inlineStr"/>
      <c r="B458" s="7" t="inlineStr"/>
      <c r="C458" s="2" t="inlineStr"/>
      <c r="D458" s="2" t="inlineStr"/>
      <c r="E458" s="2" t="inlineStr"/>
      <c r="F458" s="2" t="inlineStr"/>
      <c r="G458" s="2" t="inlineStr"/>
    </row>
    <row r="459">
      <c r="A459" s="2" t="inlineStr"/>
      <c r="B459" s="7" t="inlineStr"/>
      <c r="C459" s="2" t="inlineStr"/>
      <c r="D459" s="2" t="inlineStr"/>
      <c r="E459" s="2" t="inlineStr"/>
      <c r="F459" s="2" t="inlineStr"/>
      <c r="G459" s="2" t="inlineStr"/>
    </row>
    <row r="460">
      <c r="A460" s="2" t="inlineStr"/>
      <c r="B460" s="7" t="inlineStr"/>
      <c r="C460" s="2" t="inlineStr"/>
      <c r="D460" s="2" t="inlineStr"/>
      <c r="E460" s="2" t="inlineStr"/>
      <c r="F460" s="2" t="inlineStr"/>
      <c r="G460" s="2" t="inlineStr"/>
    </row>
    <row r="461">
      <c r="A461" s="2" t="inlineStr"/>
      <c r="B461" s="7" t="inlineStr"/>
      <c r="C461" s="2" t="inlineStr"/>
      <c r="D461" s="2" t="inlineStr"/>
      <c r="E461" s="2" t="inlineStr"/>
      <c r="F461" s="2" t="inlineStr"/>
      <c r="G461" s="2" t="inlineStr"/>
    </row>
    <row r="462">
      <c r="A462" s="2" t="inlineStr"/>
      <c r="B462" s="7" t="inlineStr"/>
      <c r="C462" s="2" t="inlineStr"/>
      <c r="D462" s="2" t="inlineStr"/>
      <c r="E462" s="2" t="inlineStr"/>
      <c r="F462" s="2" t="inlineStr"/>
      <c r="G462" s="2" t="inlineStr"/>
    </row>
    <row r="463">
      <c r="A463" s="2" t="inlineStr"/>
      <c r="B463" s="7" t="inlineStr"/>
      <c r="C463" s="2" t="inlineStr"/>
      <c r="D463" s="2" t="inlineStr"/>
      <c r="E463" s="2" t="inlineStr"/>
      <c r="F463" s="2" t="inlineStr"/>
      <c r="G463" s="2" t="inlineStr"/>
    </row>
    <row r="464">
      <c r="A464" s="2" t="inlineStr"/>
      <c r="B464" s="7" t="inlineStr"/>
      <c r="C464" s="2" t="inlineStr"/>
      <c r="D464" s="2" t="inlineStr"/>
      <c r="E464" s="2" t="inlineStr"/>
      <c r="F464" s="2" t="inlineStr"/>
      <c r="G464" s="2" t="inlineStr"/>
    </row>
    <row r="465">
      <c r="A465" s="2" t="inlineStr"/>
      <c r="B465" s="7" t="inlineStr"/>
      <c r="C465" s="2" t="inlineStr"/>
      <c r="D465" s="2" t="inlineStr"/>
      <c r="E465" s="2" t="inlineStr"/>
      <c r="F465" s="2" t="inlineStr"/>
      <c r="G465" s="2" t="inlineStr"/>
    </row>
    <row r="466">
      <c r="A466" s="2" t="inlineStr"/>
      <c r="B466" s="7" t="inlineStr"/>
      <c r="C466" s="2" t="inlineStr"/>
      <c r="D466" s="2" t="inlineStr"/>
      <c r="E466" s="2" t="inlineStr"/>
      <c r="F466" s="2" t="inlineStr"/>
      <c r="G466" s="2" t="inlineStr"/>
    </row>
    <row r="467">
      <c r="A467" s="2" t="inlineStr"/>
      <c r="B467" s="7" t="inlineStr"/>
      <c r="C467" s="2" t="inlineStr"/>
      <c r="D467" s="2" t="inlineStr"/>
      <c r="E467" s="2" t="inlineStr"/>
      <c r="F467" s="2" t="inlineStr"/>
      <c r="G467" s="2" t="inlineStr"/>
    </row>
    <row r="468">
      <c r="A468" s="2" t="inlineStr"/>
      <c r="B468" s="7" t="inlineStr"/>
      <c r="C468" s="2" t="inlineStr"/>
      <c r="D468" s="2" t="inlineStr"/>
      <c r="E468" s="2" t="inlineStr"/>
      <c r="F468" s="2" t="inlineStr"/>
      <c r="G468" s="2" t="inlineStr"/>
    </row>
    <row r="469">
      <c r="A469" s="2" t="inlineStr"/>
      <c r="B469" s="7" t="inlineStr"/>
      <c r="C469" s="2" t="inlineStr"/>
      <c r="D469" s="2" t="inlineStr"/>
      <c r="E469" s="2" t="inlineStr"/>
      <c r="F469" s="2" t="inlineStr"/>
      <c r="G469" s="2" t="inlineStr"/>
    </row>
    <row r="470">
      <c r="A470" s="2" t="inlineStr"/>
      <c r="B470" s="7" t="inlineStr"/>
      <c r="C470" s="2" t="inlineStr"/>
      <c r="D470" s="2" t="inlineStr"/>
      <c r="E470" s="2" t="inlineStr"/>
      <c r="F470" s="2" t="inlineStr"/>
      <c r="G470" s="2" t="inlineStr"/>
    </row>
    <row r="471">
      <c r="A471" s="2" t="inlineStr"/>
      <c r="B471" s="7" t="inlineStr"/>
      <c r="C471" s="2" t="inlineStr"/>
      <c r="D471" s="2" t="inlineStr"/>
      <c r="E471" s="2" t="inlineStr"/>
      <c r="F471" s="2" t="inlineStr"/>
      <c r="G471" s="2" t="inlineStr"/>
    </row>
    <row r="472">
      <c r="A472" s="2" t="inlineStr"/>
      <c r="B472" s="7" t="inlineStr"/>
      <c r="C472" s="2" t="inlineStr"/>
      <c r="D472" s="2" t="inlineStr"/>
      <c r="E472" s="2" t="inlineStr"/>
      <c r="F472" s="2" t="inlineStr"/>
      <c r="G472" s="2" t="inlineStr"/>
    </row>
    <row r="473">
      <c r="A473" s="2" t="inlineStr"/>
      <c r="B473" s="7" t="inlineStr"/>
      <c r="C473" s="2" t="inlineStr"/>
      <c r="D473" s="2" t="inlineStr"/>
      <c r="E473" s="2" t="inlineStr"/>
      <c r="F473" s="2" t="inlineStr"/>
      <c r="G473" s="2" t="inlineStr"/>
    </row>
    <row r="474">
      <c r="A474" s="2" t="inlineStr"/>
      <c r="B474" s="7" t="inlineStr"/>
      <c r="C474" s="2" t="inlineStr"/>
      <c r="D474" s="2" t="inlineStr"/>
      <c r="E474" s="2" t="inlineStr"/>
      <c r="F474" s="2" t="inlineStr"/>
      <c r="G474" s="2" t="inlineStr"/>
    </row>
    <row r="475">
      <c r="A475" s="2" t="inlineStr"/>
      <c r="B475" s="7" t="inlineStr"/>
      <c r="C475" s="2" t="inlineStr"/>
      <c r="D475" s="2" t="inlineStr"/>
      <c r="E475" s="2" t="inlineStr"/>
      <c r="F475" s="2" t="inlineStr"/>
      <c r="G475" s="2" t="inlineStr"/>
    </row>
    <row r="476">
      <c r="A476" s="2" t="inlineStr"/>
      <c r="B476" s="7" t="inlineStr"/>
      <c r="C476" s="2" t="inlineStr"/>
      <c r="D476" s="2" t="inlineStr"/>
      <c r="E476" s="2" t="inlineStr"/>
      <c r="F476" s="2" t="inlineStr"/>
      <c r="G476" s="2" t="inlineStr"/>
    </row>
    <row r="477">
      <c r="A477" s="2" t="inlineStr"/>
      <c r="B477" s="7" t="inlineStr"/>
      <c r="C477" s="2" t="inlineStr"/>
      <c r="D477" s="2" t="inlineStr"/>
      <c r="E477" s="2" t="inlineStr"/>
      <c r="F477" s="2" t="inlineStr"/>
      <c r="G477" s="2" t="inlineStr"/>
    </row>
    <row r="478">
      <c r="A478" s="2" t="inlineStr"/>
      <c r="B478" s="7" t="inlineStr"/>
      <c r="C478" s="2" t="inlineStr"/>
      <c r="D478" s="2" t="inlineStr"/>
      <c r="E478" s="2" t="inlineStr"/>
      <c r="F478" s="2" t="inlineStr"/>
      <c r="G478" s="2" t="inlineStr"/>
    </row>
    <row r="479">
      <c r="A479" s="2" t="inlineStr"/>
      <c r="B479" s="7" t="inlineStr"/>
      <c r="C479" s="2" t="inlineStr"/>
      <c r="D479" s="2" t="inlineStr"/>
      <c r="E479" s="2" t="inlineStr"/>
      <c r="F479" s="2" t="inlineStr"/>
      <c r="G479" s="2" t="inlineStr"/>
    </row>
    <row r="480">
      <c r="A480" s="2" t="inlineStr"/>
      <c r="B480" s="7" t="inlineStr"/>
      <c r="C480" s="2" t="inlineStr"/>
      <c r="D480" s="2" t="inlineStr"/>
      <c r="E480" s="2" t="inlineStr"/>
      <c r="F480" s="2" t="inlineStr"/>
      <c r="G480" s="2" t="inlineStr"/>
    </row>
    <row r="481">
      <c r="A481" s="2" t="inlineStr"/>
      <c r="B481" s="7" t="inlineStr"/>
      <c r="C481" s="2" t="inlineStr"/>
      <c r="D481" s="2" t="inlineStr"/>
      <c r="E481" s="2" t="inlineStr"/>
      <c r="F481" s="2" t="inlineStr"/>
      <c r="G481" s="2" t="inlineStr"/>
    </row>
    <row r="482">
      <c r="A482" s="2" t="inlineStr"/>
      <c r="B482" s="7" t="inlineStr"/>
      <c r="C482" s="2" t="inlineStr"/>
      <c r="D482" s="2" t="inlineStr"/>
      <c r="E482" s="2" t="inlineStr"/>
      <c r="F482" s="2" t="inlineStr"/>
      <c r="G482" s="2" t="inlineStr"/>
    </row>
    <row r="483">
      <c r="A483" s="2" t="inlineStr"/>
      <c r="B483" s="7" t="inlineStr"/>
      <c r="C483" s="2" t="inlineStr"/>
      <c r="D483" s="2" t="inlineStr"/>
      <c r="E483" s="2" t="inlineStr"/>
      <c r="F483" s="2" t="inlineStr"/>
      <c r="G483" s="2" t="inlineStr"/>
    </row>
    <row r="484">
      <c r="A484" s="2" t="inlineStr"/>
      <c r="B484" s="7" t="inlineStr"/>
      <c r="C484" s="2" t="inlineStr"/>
      <c r="D484" s="2" t="inlineStr"/>
      <c r="E484" s="2" t="inlineStr"/>
      <c r="F484" s="2" t="inlineStr"/>
      <c r="G484" s="2" t="inlineStr"/>
    </row>
    <row r="485">
      <c r="A485" s="2" t="inlineStr"/>
      <c r="B485" s="7" t="inlineStr"/>
      <c r="C485" s="2" t="inlineStr"/>
      <c r="D485" s="2" t="inlineStr"/>
      <c r="E485" s="2" t="inlineStr"/>
      <c r="F485" s="2" t="inlineStr"/>
      <c r="G485" s="2" t="inlineStr"/>
    </row>
    <row r="486">
      <c r="A486" s="2" t="inlineStr"/>
      <c r="B486" s="7" t="inlineStr"/>
      <c r="C486" s="2" t="inlineStr"/>
      <c r="D486" s="2" t="inlineStr"/>
      <c r="E486" s="2" t="inlineStr"/>
      <c r="F486" s="2" t="inlineStr"/>
      <c r="G486" s="2" t="inlineStr"/>
    </row>
    <row r="487">
      <c r="A487" s="2" t="inlineStr"/>
      <c r="B487" s="7" t="inlineStr"/>
      <c r="C487" s="2" t="inlineStr"/>
      <c r="D487" s="2" t="inlineStr"/>
      <c r="E487" s="2" t="inlineStr"/>
      <c r="F487" s="2" t="inlineStr"/>
      <c r="G487" s="2" t="inlineStr"/>
    </row>
    <row r="488">
      <c r="A488" s="2" t="inlineStr"/>
      <c r="B488" s="7" t="inlineStr"/>
      <c r="C488" s="2" t="inlineStr"/>
      <c r="D488" s="2" t="inlineStr"/>
      <c r="E488" s="2" t="inlineStr"/>
      <c r="F488" s="2" t="inlineStr"/>
      <c r="G488" s="2" t="inlineStr"/>
    </row>
    <row r="489">
      <c r="A489" s="2" t="inlineStr"/>
      <c r="B489" s="7" t="inlineStr"/>
      <c r="C489" s="2" t="inlineStr"/>
      <c r="D489" s="2" t="inlineStr"/>
      <c r="E489" s="2" t="inlineStr"/>
      <c r="F489" s="2" t="inlineStr"/>
      <c r="G489" s="2" t="inlineStr"/>
    </row>
    <row r="490">
      <c r="A490" s="2" t="inlineStr"/>
      <c r="B490" s="7" t="inlineStr"/>
      <c r="C490" s="2" t="inlineStr"/>
      <c r="D490" s="2" t="inlineStr"/>
      <c r="E490" s="2" t="inlineStr"/>
      <c r="F490" s="2" t="inlineStr"/>
      <c r="G490" s="2" t="inlineStr"/>
    </row>
    <row r="491">
      <c r="A491" s="2" t="inlineStr"/>
      <c r="B491" s="7" t="inlineStr"/>
      <c r="C491" s="2" t="inlineStr"/>
      <c r="D491" s="2" t="inlineStr"/>
      <c r="E491" s="2" t="inlineStr"/>
      <c r="F491" s="2" t="inlineStr"/>
      <c r="G491" s="2" t="inlineStr"/>
    </row>
    <row r="492">
      <c r="A492" s="2" t="inlineStr"/>
      <c r="B492" s="7" t="inlineStr"/>
      <c r="C492" s="2" t="inlineStr"/>
      <c r="D492" s="2" t="inlineStr"/>
      <c r="E492" s="2" t="inlineStr"/>
      <c r="F492" s="2" t="inlineStr"/>
      <c r="G492" s="2" t="inlineStr"/>
    </row>
    <row r="493">
      <c r="A493" s="2" t="inlineStr"/>
      <c r="B493" s="7" t="inlineStr"/>
      <c r="C493" s="2" t="inlineStr"/>
      <c r="D493" s="2" t="inlineStr"/>
      <c r="E493" s="2" t="inlineStr"/>
      <c r="F493" s="2" t="inlineStr"/>
      <c r="G493" s="2" t="inlineStr"/>
    </row>
    <row r="494">
      <c r="A494" s="2" t="inlineStr"/>
      <c r="B494" s="7" t="inlineStr"/>
      <c r="C494" s="2" t="inlineStr"/>
      <c r="D494" s="2" t="inlineStr"/>
      <c r="E494" s="2" t="inlineStr"/>
      <c r="F494" s="2" t="inlineStr"/>
      <c r="G494" s="2" t="inlineStr"/>
    </row>
    <row r="495">
      <c r="A495" s="2" t="inlineStr"/>
      <c r="B495" s="7" t="inlineStr"/>
      <c r="C495" s="2" t="inlineStr"/>
      <c r="D495" s="2" t="inlineStr"/>
      <c r="E495" s="2" t="inlineStr"/>
      <c r="F495" s="2" t="inlineStr"/>
      <c r="G495" s="2" t="inlineStr"/>
    </row>
    <row r="496">
      <c r="A496" s="2" t="inlineStr"/>
      <c r="B496" s="7" t="inlineStr"/>
      <c r="C496" s="2" t="inlineStr"/>
      <c r="D496" s="2" t="inlineStr"/>
      <c r="E496" s="2" t="inlineStr"/>
      <c r="F496" s="2" t="inlineStr"/>
      <c r="G496" s="2" t="inlineStr"/>
    </row>
    <row r="497">
      <c r="A497" s="2" t="inlineStr"/>
      <c r="B497" s="7" t="inlineStr"/>
      <c r="C497" s="2" t="inlineStr"/>
      <c r="D497" s="2" t="inlineStr"/>
      <c r="E497" s="2" t="inlineStr"/>
      <c r="F497" s="2" t="inlineStr"/>
      <c r="G497" s="2" t="inlineStr"/>
    </row>
    <row r="498">
      <c r="A498" s="2" t="inlineStr"/>
      <c r="B498" s="7" t="inlineStr"/>
      <c r="C498" s="2" t="inlineStr"/>
      <c r="D498" s="2" t="inlineStr"/>
      <c r="E498" s="2" t="inlineStr"/>
      <c r="F498" s="2" t="inlineStr"/>
      <c r="G498" s="2" t="inlineStr"/>
    </row>
    <row r="499">
      <c r="A499" s="2" t="inlineStr"/>
      <c r="B499" s="7" t="inlineStr"/>
      <c r="C499" s="2" t="inlineStr"/>
      <c r="D499" s="2" t="inlineStr"/>
      <c r="E499" s="2" t="inlineStr"/>
      <c r="F499" s="2" t="inlineStr"/>
      <c r="G499" s="2" t="inlineStr"/>
    </row>
    <row r="500">
      <c r="A500" s="2" t="inlineStr"/>
      <c r="B500" s="7" t="inlineStr"/>
      <c r="C500" s="2" t="inlineStr"/>
      <c r="D500" s="2" t="inlineStr"/>
      <c r="E500" s="2" t="inlineStr"/>
      <c r="F500" s="2" t="inlineStr"/>
      <c r="G500" s="2" t="inlineStr"/>
    </row>
    <row r="501">
      <c r="A501" s="2" t="inlineStr"/>
      <c r="B501" s="7" t="inlineStr"/>
      <c r="C501" s="2" t="inlineStr"/>
      <c r="D501" s="2" t="inlineStr"/>
      <c r="E501" s="2" t="inlineStr"/>
      <c r="F501" s="2" t="inlineStr"/>
      <c r="G501" s="2" t="inlineStr"/>
    </row>
  </sheetData>
  <autoFilter ref="A1:G501"/>
  <dataValidations count="2">
    <dataValidation sqref="C2:C501" showDropDown="0" showInputMessage="0" showErrorMessage="0" allowBlank="1" type="list">
      <formula1>LISTAS!$B$2:$B$3</formula1>
    </dataValidation>
    <dataValidation sqref="E2:E501" showDropDown="0" showInputMessage="0" showErrorMessage="0" allowBlank="1" type="list">
      <formula1>LISTAS!$C$2:$C$8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2" customWidth="1" min="5" max="5"/>
    <col width="16" customWidth="1" min="6" max="6"/>
  </cols>
  <sheetData>
    <row r="1" ht="24" customHeight="1">
      <c r="A1" s="5" t="inlineStr">
        <is>
          <t>Pedido</t>
        </is>
      </c>
      <c r="B1" s="5" t="inlineStr">
        <is>
          <t>Tipo</t>
        </is>
      </c>
      <c r="C1" s="5" t="inlineStr">
        <is>
          <t>Cantidad pedida</t>
        </is>
      </c>
      <c r="D1" s="5" t="inlineStr">
        <is>
          <t>Cantidad salida</t>
        </is>
      </c>
      <c r="E1" s="5" t="inlineStr">
        <is>
          <t>Faltan</t>
        </is>
      </c>
      <c r="F1" s="5" t="inlineStr">
        <is>
          <t>Estado</t>
        </is>
      </c>
    </row>
    <row r="2">
      <c r="A2" s="2" t="inlineStr"/>
      <c r="B2" s="2" t="inlineStr"/>
      <c r="C2" s="2" t="inlineStr"/>
      <c r="D2" s="2">
        <f>IF(A2="","",COUNTIFS(SALIDAS!$C$2:$C$1000,A2,SALIDAS!$E$2:$E$1000,B2,SALIDAS!$G$2:$G$1000,"OK*"))</f>
        <v/>
      </c>
      <c r="E2" s="2">
        <f>IF(A2="","",MAX(0,C2-D2))</f>
        <v/>
      </c>
      <c r="F2" s="2">
        <f>IF(A2="","",IF(E2=0,"COMPLETO","FALTA"))</f>
        <v/>
      </c>
    </row>
    <row r="3">
      <c r="A3" s="2" t="inlineStr"/>
      <c r="B3" s="2" t="inlineStr"/>
      <c r="C3" s="2" t="inlineStr"/>
      <c r="D3" s="2">
        <f>IF(A3="","",COUNTIFS(SALIDAS!$C$2:$C$1000,A3,SALIDAS!$E$2:$E$1000,B3,SALIDAS!$G$2:$G$1000,"OK*"))</f>
        <v/>
      </c>
      <c r="E3" s="2">
        <f>IF(A3="","",MAX(0,C3-D3))</f>
        <v/>
      </c>
      <c r="F3" s="2">
        <f>IF(A3="","",IF(E3=0,"COMPLETO","FALTA"))</f>
        <v/>
      </c>
    </row>
    <row r="4">
      <c r="A4" s="2" t="inlineStr"/>
      <c r="B4" s="2" t="inlineStr"/>
      <c r="C4" s="2" t="inlineStr"/>
      <c r="D4" s="2">
        <f>IF(A4="","",COUNTIFS(SALIDAS!$C$2:$C$1000,A4,SALIDAS!$E$2:$E$1000,B4,SALIDAS!$G$2:$G$1000,"OK*"))</f>
        <v/>
      </c>
      <c r="E4" s="2">
        <f>IF(A4="","",MAX(0,C4-D4))</f>
        <v/>
      </c>
      <c r="F4" s="2">
        <f>IF(A4="","",IF(E4=0,"COMPLETO","FALTA"))</f>
        <v/>
      </c>
    </row>
    <row r="5">
      <c r="A5" s="2" t="inlineStr"/>
      <c r="B5" s="2" t="inlineStr"/>
      <c r="C5" s="2" t="inlineStr"/>
      <c r="D5" s="2">
        <f>IF(A5="","",COUNTIFS(SALIDAS!$C$2:$C$1000,A5,SALIDAS!$E$2:$E$1000,B5,SALIDAS!$G$2:$G$1000,"OK*"))</f>
        <v/>
      </c>
      <c r="E5" s="2">
        <f>IF(A5="","",MAX(0,C5-D5))</f>
        <v/>
      </c>
      <c r="F5" s="2">
        <f>IF(A5="","",IF(E5=0,"COMPLETO","FALTA"))</f>
        <v/>
      </c>
    </row>
    <row r="6">
      <c r="A6" s="2" t="inlineStr"/>
      <c r="B6" s="2" t="inlineStr"/>
      <c r="C6" s="2" t="inlineStr"/>
      <c r="D6" s="2">
        <f>IF(A6="","",COUNTIFS(SALIDAS!$C$2:$C$1000,A6,SALIDAS!$E$2:$E$1000,B6,SALIDAS!$G$2:$G$1000,"OK*"))</f>
        <v/>
      </c>
      <c r="E6" s="2">
        <f>IF(A6="","",MAX(0,C6-D6))</f>
        <v/>
      </c>
      <c r="F6" s="2">
        <f>IF(A6="","",IF(E6=0,"COMPLETO","FALTA"))</f>
        <v/>
      </c>
    </row>
    <row r="7">
      <c r="A7" s="2" t="inlineStr"/>
      <c r="B7" s="2" t="inlineStr"/>
      <c r="C7" s="2" t="inlineStr"/>
      <c r="D7" s="2">
        <f>IF(A7="","",COUNTIFS(SALIDAS!$C$2:$C$1000,A7,SALIDAS!$E$2:$E$1000,B7,SALIDAS!$G$2:$G$1000,"OK*"))</f>
        <v/>
      </c>
      <c r="E7" s="2">
        <f>IF(A7="","",MAX(0,C7-D7))</f>
        <v/>
      </c>
      <c r="F7" s="2">
        <f>IF(A7="","",IF(E7=0,"COMPLETO","FALTA"))</f>
        <v/>
      </c>
    </row>
    <row r="8">
      <c r="A8" s="2" t="inlineStr"/>
      <c r="B8" s="2" t="inlineStr"/>
      <c r="C8" s="2" t="inlineStr"/>
      <c r="D8" s="2">
        <f>IF(A8="","",COUNTIFS(SALIDAS!$C$2:$C$1000,A8,SALIDAS!$E$2:$E$1000,B8,SALIDAS!$G$2:$G$1000,"OK*"))</f>
        <v/>
      </c>
      <c r="E8" s="2">
        <f>IF(A8="","",MAX(0,C8-D8))</f>
        <v/>
      </c>
      <c r="F8" s="2">
        <f>IF(A8="","",IF(E8=0,"COMPLETO","FALTA"))</f>
        <v/>
      </c>
    </row>
    <row r="9">
      <c r="A9" s="2" t="inlineStr"/>
      <c r="B9" s="2" t="inlineStr"/>
      <c r="C9" s="2" t="inlineStr"/>
      <c r="D9" s="2">
        <f>IF(A9="","",COUNTIFS(SALIDAS!$C$2:$C$1000,A9,SALIDAS!$E$2:$E$1000,B9,SALIDAS!$G$2:$G$1000,"OK*"))</f>
        <v/>
      </c>
      <c r="E9" s="2">
        <f>IF(A9="","",MAX(0,C9-D9))</f>
        <v/>
      </c>
      <c r="F9" s="2">
        <f>IF(A9="","",IF(E9=0,"COMPLETO","FALTA"))</f>
        <v/>
      </c>
    </row>
    <row r="10">
      <c r="A10" s="2" t="inlineStr"/>
      <c r="B10" s="2" t="inlineStr"/>
      <c r="C10" s="2" t="inlineStr"/>
      <c r="D10" s="2">
        <f>IF(A10="","",COUNTIFS(SALIDAS!$C$2:$C$1000,A10,SALIDAS!$E$2:$E$1000,B10,SALIDAS!$G$2:$G$1000,"OK*"))</f>
        <v/>
      </c>
      <c r="E10" s="2">
        <f>IF(A10="","",MAX(0,C10-D10))</f>
        <v/>
      </c>
      <c r="F10" s="2">
        <f>IF(A10="","",IF(E10=0,"COMPLETO","FALTA"))</f>
        <v/>
      </c>
    </row>
    <row r="11">
      <c r="A11" s="2" t="inlineStr"/>
      <c r="B11" s="2" t="inlineStr"/>
      <c r="C11" s="2" t="inlineStr"/>
      <c r="D11" s="2">
        <f>IF(A11="","",COUNTIFS(SALIDAS!$C$2:$C$1000,A11,SALIDAS!$E$2:$E$1000,B11,SALIDAS!$G$2:$G$1000,"OK*"))</f>
        <v/>
      </c>
      <c r="E11" s="2">
        <f>IF(A11="","",MAX(0,C11-D11))</f>
        <v/>
      </c>
      <c r="F11" s="2">
        <f>IF(A11="","",IF(E11=0,"COMPLETO","FALTA"))</f>
        <v/>
      </c>
    </row>
    <row r="12">
      <c r="A12" s="2" t="inlineStr"/>
      <c r="B12" s="2" t="inlineStr"/>
      <c r="C12" s="2" t="inlineStr"/>
      <c r="D12" s="2">
        <f>IF(A12="","",COUNTIFS(SALIDAS!$C$2:$C$1000,A12,SALIDAS!$E$2:$E$1000,B12,SALIDAS!$G$2:$G$1000,"OK*"))</f>
        <v/>
      </c>
      <c r="E12" s="2">
        <f>IF(A12="","",MAX(0,C12-D12))</f>
        <v/>
      </c>
      <c r="F12" s="2">
        <f>IF(A12="","",IF(E12=0,"COMPLETO","FALTA"))</f>
        <v/>
      </c>
    </row>
    <row r="13">
      <c r="A13" s="2" t="inlineStr"/>
      <c r="B13" s="2" t="inlineStr"/>
      <c r="C13" s="2" t="inlineStr"/>
      <c r="D13" s="2">
        <f>IF(A13="","",COUNTIFS(SALIDAS!$C$2:$C$1000,A13,SALIDAS!$E$2:$E$1000,B13,SALIDAS!$G$2:$G$1000,"OK*"))</f>
        <v/>
      </c>
      <c r="E13" s="2">
        <f>IF(A13="","",MAX(0,C13-D13))</f>
        <v/>
      </c>
      <c r="F13" s="2">
        <f>IF(A13="","",IF(E13=0,"COMPLETO","FALTA"))</f>
        <v/>
      </c>
    </row>
    <row r="14">
      <c r="A14" s="2" t="inlineStr"/>
      <c r="B14" s="2" t="inlineStr"/>
      <c r="C14" s="2" t="inlineStr"/>
      <c r="D14" s="2">
        <f>IF(A14="","",COUNTIFS(SALIDAS!$C$2:$C$1000,A14,SALIDAS!$E$2:$E$1000,B14,SALIDAS!$G$2:$G$1000,"OK*"))</f>
        <v/>
      </c>
      <c r="E14" s="2">
        <f>IF(A14="","",MAX(0,C14-D14))</f>
        <v/>
      </c>
      <c r="F14" s="2">
        <f>IF(A14="","",IF(E14=0,"COMPLETO","FALTA"))</f>
        <v/>
      </c>
    </row>
    <row r="15">
      <c r="A15" s="2" t="inlineStr"/>
      <c r="B15" s="2" t="inlineStr"/>
      <c r="C15" s="2" t="inlineStr"/>
      <c r="D15" s="2">
        <f>IF(A15="","",COUNTIFS(SALIDAS!$C$2:$C$1000,A15,SALIDAS!$E$2:$E$1000,B15,SALIDAS!$G$2:$G$1000,"OK*"))</f>
        <v/>
      </c>
      <c r="E15" s="2">
        <f>IF(A15="","",MAX(0,C15-D15))</f>
        <v/>
      </c>
      <c r="F15" s="2">
        <f>IF(A15="","",IF(E15=0,"COMPLETO","FALTA"))</f>
        <v/>
      </c>
    </row>
    <row r="16">
      <c r="A16" s="2" t="inlineStr"/>
      <c r="B16" s="2" t="inlineStr"/>
      <c r="C16" s="2" t="inlineStr"/>
      <c r="D16" s="2">
        <f>IF(A16="","",COUNTIFS(SALIDAS!$C$2:$C$1000,A16,SALIDAS!$E$2:$E$1000,B16,SALIDAS!$G$2:$G$1000,"OK*"))</f>
        <v/>
      </c>
      <c r="E16" s="2">
        <f>IF(A16="","",MAX(0,C16-D16))</f>
        <v/>
      </c>
      <c r="F16" s="2">
        <f>IF(A16="","",IF(E16=0,"COMPLETO","FALTA"))</f>
        <v/>
      </c>
    </row>
    <row r="17">
      <c r="A17" s="2" t="inlineStr"/>
      <c r="B17" s="2" t="inlineStr"/>
      <c r="C17" s="2" t="inlineStr"/>
      <c r="D17" s="2">
        <f>IF(A17="","",COUNTIFS(SALIDAS!$C$2:$C$1000,A17,SALIDAS!$E$2:$E$1000,B17,SALIDAS!$G$2:$G$1000,"OK*"))</f>
        <v/>
      </c>
      <c r="E17" s="2">
        <f>IF(A17="","",MAX(0,C17-D17))</f>
        <v/>
      </c>
      <c r="F17" s="2">
        <f>IF(A17="","",IF(E17=0,"COMPLETO","FALTA"))</f>
        <v/>
      </c>
    </row>
    <row r="18">
      <c r="A18" s="2" t="inlineStr"/>
      <c r="B18" s="2" t="inlineStr"/>
      <c r="C18" s="2" t="inlineStr"/>
      <c r="D18" s="2">
        <f>IF(A18="","",COUNTIFS(SALIDAS!$C$2:$C$1000,A18,SALIDAS!$E$2:$E$1000,B18,SALIDAS!$G$2:$G$1000,"OK*"))</f>
        <v/>
      </c>
      <c r="E18" s="2">
        <f>IF(A18="","",MAX(0,C18-D18))</f>
        <v/>
      </c>
      <c r="F18" s="2">
        <f>IF(A18="","",IF(E18=0,"COMPLETO","FALTA"))</f>
        <v/>
      </c>
    </row>
    <row r="19">
      <c r="A19" s="2" t="inlineStr"/>
      <c r="B19" s="2" t="inlineStr"/>
      <c r="C19" s="2" t="inlineStr"/>
      <c r="D19" s="2">
        <f>IF(A19="","",COUNTIFS(SALIDAS!$C$2:$C$1000,A19,SALIDAS!$E$2:$E$1000,B19,SALIDAS!$G$2:$G$1000,"OK*"))</f>
        <v/>
      </c>
      <c r="E19" s="2">
        <f>IF(A19="","",MAX(0,C19-D19))</f>
        <v/>
      </c>
      <c r="F19" s="2">
        <f>IF(A19="","",IF(E19=0,"COMPLETO","FALTA"))</f>
        <v/>
      </c>
    </row>
    <row r="20">
      <c r="A20" s="2" t="inlineStr"/>
      <c r="B20" s="2" t="inlineStr"/>
      <c r="C20" s="2" t="inlineStr"/>
      <c r="D20" s="2">
        <f>IF(A20="","",COUNTIFS(SALIDAS!$C$2:$C$1000,A20,SALIDAS!$E$2:$E$1000,B20,SALIDAS!$G$2:$G$1000,"OK*"))</f>
        <v/>
      </c>
      <c r="E20" s="2">
        <f>IF(A20="","",MAX(0,C20-D20))</f>
        <v/>
      </c>
      <c r="F20" s="2">
        <f>IF(A20="","",IF(E20=0,"COMPLETO","FALTA"))</f>
        <v/>
      </c>
    </row>
    <row r="21">
      <c r="A21" s="2" t="inlineStr"/>
      <c r="B21" s="2" t="inlineStr"/>
      <c r="C21" s="2" t="inlineStr"/>
      <c r="D21" s="2">
        <f>IF(A21="","",COUNTIFS(SALIDAS!$C$2:$C$1000,A21,SALIDAS!$E$2:$E$1000,B21,SALIDAS!$G$2:$G$1000,"OK*"))</f>
        <v/>
      </c>
      <c r="E21" s="2">
        <f>IF(A21="","",MAX(0,C21-D21))</f>
        <v/>
      </c>
      <c r="F21" s="2">
        <f>IF(A21="","",IF(E21=0,"COMPLETO","FALTA"))</f>
        <v/>
      </c>
    </row>
    <row r="22">
      <c r="A22" s="2" t="inlineStr"/>
      <c r="B22" s="2" t="inlineStr"/>
      <c r="C22" s="2" t="inlineStr"/>
      <c r="D22" s="2">
        <f>IF(A22="","",COUNTIFS(SALIDAS!$C$2:$C$1000,A22,SALIDAS!$E$2:$E$1000,B22,SALIDAS!$G$2:$G$1000,"OK*"))</f>
        <v/>
      </c>
      <c r="E22" s="2">
        <f>IF(A22="","",MAX(0,C22-D22))</f>
        <v/>
      </c>
      <c r="F22" s="2">
        <f>IF(A22="","",IF(E22=0,"COMPLETO","FALTA"))</f>
        <v/>
      </c>
    </row>
    <row r="23">
      <c r="A23" s="2" t="inlineStr"/>
      <c r="B23" s="2" t="inlineStr"/>
      <c r="C23" s="2" t="inlineStr"/>
      <c r="D23" s="2">
        <f>IF(A23="","",COUNTIFS(SALIDAS!$C$2:$C$1000,A23,SALIDAS!$E$2:$E$1000,B23,SALIDAS!$G$2:$G$1000,"OK*"))</f>
        <v/>
      </c>
      <c r="E23" s="2">
        <f>IF(A23="","",MAX(0,C23-D23))</f>
        <v/>
      </c>
      <c r="F23" s="2">
        <f>IF(A23="","",IF(E23=0,"COMPLETO","FALTA"))</f>
        <v/>
      </c>
    </row>
    <row r="24">
      <c r="A24" s="2" t="inlineStr"/>
      <c r="B24" s="2" t="inlineStr"/>
      <c r="C24" s="2" t="inlineStr"/>
      <c r="D24" s="2">
        <f>IF(A24="","",COUNTIFS(SALIDAS!$C$2:$C$1000,A24,SALIDAS!$E$2:$E$1000,B24,SALIDAS!$G$2:$G$1000,"OK*"))</f>
        <v/>
      </c>
      <c r="E24" s="2">
        <f>IF(A24="","",MAX(0,C24-D24))</f>
        <v/>
      </c>
      <c r="F24" s="2">
        <f>IF(A24="","",IF(E24=0,"COMPLETO","FALTA"))</f>
        <v/>
      </c>
    </row>
    <row r="25">
      <c r="A25" s="2" t="inlineStr"/>
      <c r="B25" s="2" t="inlineStr"/>
      <c r="C25" s="2" t="inlineStr"/>
      <c r="D25" s="2">
        <f>IF(A25="","",COUNTIFS(SALIDAS!$C$2:$C$1000,A25,SALIDAS!$E$2:$E$1000,B25,SALIDAS!$G$2:$G$1000,"OK*"))</f>
        <v/>
      </c>
      <c r="E25" s="2">
        <f>IF(A25="","",MAX(0,C25-D25))</f>
        <v/>
      </c>
      <c r="F25" s="2">
        <f>IF(A25="","",IF(E25=0,"COMPLETO","FALTA"))</f>
        <v/>
      </c>
    </row>
    <row r="26">
      <c r="A26" s="2" t="inlineStr"/>
      <c r="B26" s="2" t="inlineStr"/>
      <c r="C26" s="2" t="inlineStr"/>
      <c r="D26" s="2">
        <f>IF(A26="","",COUNTIFS(SALIDAS!$C$2:$C$1000,A26,SALIDAS!$E$2:$E$1000,B26,SALIDAS!$G$2:$G$1000,"OK*"))</f>
        <v/>
      </c>
      <c r="E26" s="2">
        <f>IF(A26="","",MAX(0,C26-D26))</f>
        <v/>
      </c>
      <c r="F26" s="2">
        <f>IF(A26="","",IF(E26=0,"COMPLETO","FALTA"))</f>
        <v/>
      </c>
    </row>
    <row r="27">
      <c r="A27" s="2" t="inlineStr"/>
      <c r="B27" s="2" t="inlineStr"/>
      <c r="C27" s="2" t="inlineStr"/>
      <c r="D27" s="2">
        <f>IF(A27="","",COUNTIFS(SALIDAS!$C$2:$C$1000,A27,SALIDAS!$E$2:$E$1000,B27,SALIDAS!$G$2:$G$1000,"OK*"))</f>
        <v/>
      </c>
      <c r="E27" s="2">
        <f>IF(A27="","",MAX(0,C27-D27))</f>
        <v/>
      </c>
      <c r="F27" s="2">
        <f>IF(A27="","",IF(E27=0,"COMPLETO","FALTA"))</f>
        <v/>
      </c>
    </row>
    <row r="28">
      <c r="A28" s="2" t="inlineStr"/>
      <c r="B28" s="2" t="inlineStr"/>
      <c r="C28" s="2" t="inlineStr"/>
      <c r="D28" s="2">
        <f>IF(A28="","",COUNTIFS(SALIDAS!$C$2:$C$1000,A28,SALIDAS!$E$2:$E$1000,B28,SALIDAS!$G$2:$G$1000,"OK*"))</f>
        <v/>
      </c>
      <c r="E28" s="2">
        <f>IF(A28="","",MAX(0,C28-D28))</f>
        <v/>
      </c>
      <c r="F28" s="2">
        <f>IF(A28="","",IF(E28=0,"COMPLETO","FALTA"))</f>
        <v/>
      </c>
    </row>
    <row r="29">
      <c r="A29" s="2" t="inlineStr"/>
      <c r="B29" s="2" t="inlineStr"/>
      <c r="C29" s="2" t="inlineStr"/>
      <c r="D29" s="2">
        <f>IF(A29="","",COUNTIFS(SALIDAS!$C$2:$C$1000,A29,SALIDAS!$E$2:$E$1000,B29,SALIDAS!$G$2:$G$1000,"OK*"))</f>
        <v/>
      </c>
      <c r="E29" s="2">
        <f>IF(A29="","",MAX(0,C29-D29))</f>
        <v/>
      </c>
      <c r="F29" s="2">
        <f>IF(A29="","",IF(E29=0,"COMPLETO","FALTA"))</f>
        <v/>
      </c>
    </row>
    <row r="30">
      <c r="A30" s="2" t="inlineStr"/>
      <c r="B30" s="2" t="inlineStr"/>
      <c r="C30" s="2" t="inlineStr"/>
      <c r="D30" s="2">
        <f>IF(A30="","",COUNTIFS(SALIDAS!$C$2:$C$1000,A30,SALIDAS!$E$2:$E$1000,B30,SALIDAS!$G$2:$G$1000,"OK*"))</f>
        <v/>
      </c>
      <c r="E30" s="2">
        <f>IF(A30="","",MAX(0,C30-D30))</f>
        <v/>
      </c>
      <c r="F30" s="2">
        <f>IF(A30="","",IF(E30=0,"COMPLETO","FALTA"))</f>
        <v/>
      </c>
    </row>
    <row r="31">
      <c r="A31" s="2" t="inlineStr"/>
      <c r="B31" s="2" t="inlineStr"/>
      <c r="C31" s="2" t="inlineStr"/>
      <c r="D31" s="2">
        <f>IF(A31="","",COUNTIFS(SALIDAS!$C$2:$C$1000,A31,SALIDAS!$E$2:$E$1000,B31,SALIDAS!$G$2:$G$1000,"OK*"))</f>
        <v/>
      </c>
      <c r="E31" s="2">
        <f>IF(A31="","",MAX(0,C31-D31))</f>
        <v/>
      </c>
      <c r="F31" s="2">
        <f>IF(A31="","",IF(E31=0,"COMPLETO","FALTA"))</f>
        <v/>
      </c>
    </row>
    <row r="32">
      <c r="A32" s="2" t="inlineStr"/>
      <c r="B32" s="2" t="inlineStr"/>
      <c r="C32" s="2" t="inlineStr"/>
      <c r="D32" s="2">
        <f>IF(A32="","",COUNTIFS(SALIDAS!$C$2:$C$1000,A32,SALIDAS!$E$2:$E$1000,B32,SALIDAS!$G$2:$G$1000,"OK*"))</f>
        <v/>
      </c>
      <c r="E32" s="2">
        <f>IF(A32="","",MAX(0,C32-D32))</f>
        <v/>
      </c>
      <c r="F32" s="2">
        <f>IF(A32="","",IF(E32=0,"COMPLETO","FALTA"))</f>
        <v/>
      </c>
    </row>
    <row r="33">
      <c r="A33" s="2" t="inlineStr"/>
      <c r="B33" s="2" t="inlineStr"/>
      <c r="C33" s="2" t="inlineStr"/>
      <c r="D33" s="2">
        <f>IF(A33="","",COUNTIFS(SALIDAS!$C$2:$C$1000,A33,SALIDAS!$E$2:$E$1000,B33,SALIDAS!$G$2:$G$1000,"OK*"))</f>
        <v/>
      </c>
      <c r="E33" s="2">
        <f>IF(A33="","",MAX(0,C33-D33))</f>
        <v/>
      </c>
      <c r="F33" s="2">
        <f>IF(A33="","",IF(E33=0,"COMPLETO","FALTA"))</f>
        <v/>
      </c>
    </row>
    <row r="34">
      <c r="A34" s="2" t="inlineStr"/>
      <c r="B34" s="2" t="inlineStr"/>
      <c r="C34" s="2" t="inlineStr"/>
      <c r="D34" s="2">
        <f>IF(A34="","",COUNTIFS(SALIDAS!$C$2:$C$1000,A34,SALIDAS!$E$2:$E$1000,B34,SALIDAS!$G$2:$G$1000,"OK*"))</f>
        <v/>
      </c>
      <c r="E34" s="2">
        <f>IF(A34="","",MAX(0,C34-D34))</f>
        <v/>
      </c>
      <c r="F34" s="2">
        <f>IF(A34="","",IF(E34=0,"COMPLETO","FALTA"))</f>
        <v/>
      </c>
    </row>
    <row r="35">
      <c r="A35" s="2" t="inlineStr"/>
      <c r="B35" s="2" t="inlineStr"/>
      <c r="C35" s="2" t="inlineStr"/>
      <c r="D35" s="2">
        <f>IF(A35="","",COUNTIFS(SALIDAS!$C$2:$C$1000,A35,SALIDAS!$E$2:$E$1000,B35,SALIDAS!$G$2:$G$1000,"OK*"))</f>
        <v/>
      </c>
      <c r="E35" s="2">
        <f>IF(A35="","",MAX(0,C35-D35))</f>
        <v/>
      </c>
      <c r="F35" s="2">
        <f>IF(A35="","",IF(E35=0,"COMPLETO","FALTA"))</f>
        <v/>
      </c>
    </row>
    <row r="36">
      <c r="A36" s="2" t="inlineStr"/>
      <c r="B36" s="2" t="inlineStr"/>
      <c r="C36" s="2" t="inlineStr"/>
      <c r="D36" s="2">
        <f>IF(A36="","",COUNTIFS(SALIDAS!$C$2:$C$1000,A36,SALIDAS!$E$2:$E$1000,B36,SALIDAS!$G$2:$G$1000,"OK*"))</f>
        <v/>
      </c>
      <c r="E36" s="2">
        <f>IF(A36="","",MAX(0,C36-D36))</f>
        <v/>
      </c>
      <c r="F36" s="2">
        <f>IF(A36="","",IF(E36=0,"COMPLETO","FALTA"))</f>
        <v/>
      </c>
    </row>
    <row r="37">
      <c r="A37" s="2" t="inlineStr"/>
      <c r="B37" s="2" t="inlineStr"/>
      <c r="C37" s="2" t="inlineStr"/>
      <c r="D37" s="2">
        <f>IF(A37="","",COUNTIFS(SALIDAS!$C$2:$C$1000,A37,SALIDAS!$E$2:$E$1000,B37,SALIDAS!$G$2:$G$1000,"OK*"))</f>
        <v/>
      </c>
      <c r="E37" s="2">
        <f>IF(A37="","",MAX(0,C37-D37))</f>
        <v/>
      </c>
      <c r="F37" s="2">
        <f>IF(A37="","",IF(E37=0,"COMPLETO","FALTA"))</f>
        <v/>
      </c>
    </row>
    <row r="38">
      <c r="A38" s="2" t="inlineStr"/>
      <c r="B38" s="2" t="inlineStr"/>
      <c r="C38" s="2" t="inlineStr"/>
      <c r="D38" s="2">
        <f>IF(A38="","",COUNTIFS(SALIDAS!$C$2:$C$1000,A38,SALIDAS!$E$2:$E$1000,B38,SALIDAS!$G$2:$G$1000,"OK*"))</f>
        <v/>
      </c>
      <c r="E38" s="2">
        <f>IF(A38="","",MAX(0,C38-D38))</f>
        <v/>
      </c>
      <c r="F38" s="2">
        <f>IF(A38="","",IF(E38=0,"COMPLETO","FALTA"))</f>
        <v/>
      </c>
    </row>
    <row r="39">
      <c r="A39" s="2" t="inlineStr"/>
      <c r="B39" s="2" t="inlineStr"/>
      <c r="C39" s="2" t="inlineStr"/>
      <c r="D39" s="2">
        <f>IF(A39="","",COUNTIFS(SALIDAS!$C$2:$C$1000,A39,SALIDAS!$E$2:$E$1000,B39,SALIDAS!$G$2:$G$1000,"OK*"))</f>
        <v/>
      </c>
      <c r="E39" s="2">
        <f>IF(A39="","",MAX(0,C39-D39))</f>
        <v/>
      </c>
      <c r="F39" s="2">
        <f>IF(A39="","",IF(E39=0,"COMPLETO","FALTA"))</f>
        <v/>
      </c>
    </row>
    <row r="40">
      <c r="A40" s="2" t="inlineStr"/>
      <c r="B40" s="2" t="inlineStr"/>
      <c r="C40" s="2" t="inlineStr"/>
      <c r="D40" s="2">
        <f>IF(A40="","",COUNTIFS(SALIDAS!$C$2:$C$1000,A40,SALIDAS!$E$2:$E$1000,B40,SALIDAS!$G$2:$G$1000,"OK*"))</f>
        <v/>
      </c>
      <c r="E40" s="2">
        <f>IF(A40="","",MAX(0,C40-D40))</f>
        <v/>
      </c>
      <c r="F40" s="2">
        <f>IF(A40="","",IF(E40=0,"COMPLETO","FALTA"))</f>
        <v/>
      </c>
    </row>
    <row r="41">
      <c r="A41" s="2" t="inlineStr"/>
      <c r="B41" s="2" t="inlineStr"/>
      <c r="C41" s="2" t="inlineStr"/>
      <c r="D41" s="2">
        <f>IF(A41="","",COUNTIFS(SALIDAS!$C$2:$C$1000,A41,SALIDAS!$E$2:$E$1000,B41,SALIDAS!$G$2:$G$1000,"OK*"))</f>
        <v/>
      </c>
      <c r="E41" s="2">
        <f>IF(A41="","",MAX(0,C41-D41))</f>
        <v/>
      </c>
      <c r="F41" s="2">
        <f>IF(A41="","",IF(E41=0,"COMPLETO","FALTA"))</f>
        <v/>
      </c>
    </row>
    <row r="42">
      <c r="A42" s="2" t="inlineStr"/>
      <c r="B42" s="2" t="inlineStr"/>
      <c r="C42" s="2" t="inlineStr"/>
      <c r="D42" s="2">
        <f>IF(A42="","",COUNTIFS(SALIDAS!$C$2:$C$1000,A42,SALIDAS!$E$2:$E$1000,B42,SALIDAS!$G$2:$G$1000,"OK*"))</f>
        <v/>
      </c>
      <c r="E42" s="2">
        <f>IF(A42="","",MAX(0,C42-D42))</f>
        <v/>
      </c>
      <c r="F42" s="2">
        <f>IF(A42="","",IF(E42=0,"COMPLETO","FALTA"))</f>
        <v/>
      </c>
    </row>
    <row r="43">
      <c r="A43" s="2" t="inlineStr"/>
      <c r="B43" s="2" t="inlineStr"/>
      <c r="C43" s="2" t="inlineStr"/>
      <c r="D43" s="2">
        <f>IF(A43="","",COUNTIFS(SALIDAS!$C$2:$C$1000,A43,SALIDAS!$E$2:$E$1000,B43,SALIDAS!$G$2:$G$1000,"OK*"))</f>
        <v/>
      </c>
      <c r="E43" s="2">
        <f>IF(A43="","",MAX(0,C43-D43))</f>
        <v/>
      </c>
      <c r="F43" s="2">
        <f>IF(A43="","",IF(E43=0,"COMPLETO","FALTA"))</f>
        <v/>
      </c>
    </row>
    <row r="44">
      <c r="A44" s="2" t="inlineStr"/>
      <c r="B44" s="2" t="inlineStr"/>
      <c r="C44" s="2" t="inlineStr"/>
      <c r="D44" s="2">
        <f>IF(A44="","",COUNTIFS(SALIDAS!$C$2:$C$1000,A44,SALIDAS!$E$2:$E$1000,B44,SALIDAS!$G$2:$G$1000,"OK*"))</f>
        <v/>
      </c>
      <c r="E44" s="2">
        <f>IF(A44="","",MAX(0,C44-D44))</f>
        <v/>
      </c>
      <c r="F44" s="2">
        <f>IF(A44="","",IF(E44=0,"COMPLETO","FALTA"))</f>
        <v/>
      </c>
    </row>
    <row r="45">
      <c r="A45" s="2" t="inlineStr"/>
      <c r="B45" s="2" t="inlineStr"/>
      <c r="C45" s="2" t="inlineStr"/>
      <c r="D45" s="2">
        <f>IF(A45="","",COUNTIFS(SALIDAS!$C$2:$C$1000,A45,SALIDAS!$E$2:$E$1000,B45,SALIDAS!$G$2:$G$1000,"OK*"))</f>
        <v/>
      </c>
      <c r="E45" s="2">
        <f>IF(A45="","",MAX(0,C45-D45))</f>
        <v/>
      </c>
      <c r="F45" s="2">
        <f>IF(A45="","",IF(E45=0,"COMPLETO","FALTA"))</f>
        <v/>
      </c>
    </row>
    <row r="46">
      <c r="A46" s="2" t="inlineStr"/>
      <c r="B46" s="2" t="inlineStr"/>
      <c r="C46" s="2" t="inlineStr"/>
      <c r="D46" s="2">
        <f>IF(A46="","",COUNTIFS(SALIDAS!$C$2:$C$1000,A46,SALIDAS!$E$2:$E$1000,B46,SALIDAS!$G$2:$G$1000,"OK*"))</f>
        <v/>
      </c>
      <c r="E46" s="2">
        <f>IF(A46="","",MAX(0,C46-D46))</f>
        <v/>
      </c>
      <c r="F46" s="2">
        <f>IF(A46="","",IF(E46=0,"COMPLETO","FALTA"))</f>
        <v/>
      </c>
    </row>
    <row r="47">
      <c r="A47" s="2" t="inlineStr"/>
      <c r="B47" s="2" t="inlineStr"/>
      <c r="C47" s="2" t="inlineStr"/>
      <c r="D47" s="2">
        <f>IF(A47="","",COUNTIFS(SALIDAS!$C$2:$C$1000,A47,SALIDAS!$E$2:$E$1000,B47,SALIDAS!$G$2:$G$1000,"OK*"))</f>
        <v/>
      </c>
      <c r="E47" s="2">
        <f>IF(A47="","",MAX(0,C47-D47))</f>
        <v/>
      </c>
      <c r="F47" s="2">
        <f>IF(A47="","",IF(E47=0,"COMPLETO","FALTA"))</f>
        <v/>
      </c>
    </row>
    <row r="48">
      <c r="A48" s="2" t="inlineStr"/>
      <c r="B48" s="2" t="inlineStr"/>
      <c r="C48" s="2" t="inlineStr"/>
      <c r="D48" s="2">
        <f>IF(A48="","",COUNTIFS(SALIDAS!$C$2:$C$1000,A48,SALIDAS!$E$2:$E$1000,B48,SALIDAS!$G$2:$G$1000,"OK*"))</f>
        <v/>
      </c>
      <c r="E48" s="2">
        <f>IF(A48="","",MAX(0,C48-D48))</f>
        <v/>
      </c>
      <c r="F48" s="2">
        <f>IF(A48="","",IF(E48=0,"COMPLETO","FALTA"))</f>
        <v/>
      </c>
    </row>
    <row r="49">
      <c r="A49" s="2" t="inlineStr"/>
      <c r="B49" s="2" t="inlineStr"/>
      <c r="C49" s="2" t="inlineStr"/>
      <c r="D49" s="2">
        <f>IF(A49="","",COUNTIFS(SALIDAS!$C$2:$C$1000,A49,SALIDAS!$E$2:$E$1000,B49,SALIDAS!$G$2:$G$1000,"OK*"))</f>
        <v/>
      </c>
      <c r="E49" s="2">
        <f>IF(A49="","",MAX(0,C49-D49))</f>
        <v/>
      </c>
      <c r="F49" s="2">
        <f>IF(A49="","",IF(E49=0,"COMPLETO","FALTA"))</f>
        <v/>
      </c>
    </row>
    <row r="50">
      <c r="A50" s="2" t="inlineStr"/>
      <c r="B50" s="2" t="inlineStr"/>
      <c r="C50" s="2" t="inlineStr"/>
      <c r="D50" s="2">
        <f>IF(A50="","",COUNTIFS(SALIDAS!$C$2:$C$1000,A50,SALIDAS!$E$2:$E$1000,B50,SALIDAS!$G$2:$G$1000,"OK*"))</f>
        <v/>
      </c>
      <c r="E50" s="2">
        <f>IF(A50="","",MAX(0,C50-D50))</f>
        <v/>
      </c>
      <c r="F50" s="2">
        <f>IF(A50="","",IF(E50=0,"COMPLETO","FALTA"))</f>
        <v/>
      </c>
    </row>
    <row r="51">
      <c r="A51" s="2" t="inlineStr"/>
      <c r="B51" s="2" t="inlineStr"/>
      <c r="C51" s="2" t="inlineStr"/>
      <c r="D51" s="2">
        <f>IF(A51="","",COUNTIFS(SALIDAS!$C$2:$C$1000,A51,SALIDAS!$E$2:$E$1000,B51,SALIDAS!$G$2:$G$1000,"OK*"))</f>
        <v/>
      </c>
      <c r="E51" s="2">
        <f>IF(A51="","",MAX(0,C51-D51))</f>
        <v/>
      </c>
      <c r="F51" s="2">
        <f>IF(A51="","",IF(E51=0,"COMPLETO","FALTA"))</f>
        <v/>
      </c>
    </row>
    <row r="52">
      <c r="A52" s="2" t="inlineStr"/>
      <c r="B52" s="2" t="inlineStr"/>
      <c r="C52" s="2" t="inlineStr"/>
      <c r="D52" s="2">
        <f>IF(A52="","",COUNTIFS(SALIDAS!$C$2:$C$1000,A52,SALIDAS!$E$2:$E$1000,B52,SALIDAS!$G$2:$G$1000,"OK*"))</f>
        <v/>
      </c>
      <c r="E52" s="2">
        <f>IF(A52="","",MAX(0,C52-D52))</f>
        <v/>
      </c>
      <c r="F52" s="2">
        <f>IF(A52="","",IF(E52=0,"COMPLETO","FALTA"))</f>
        <v/>
      </c>
    </row>
    <row r="53">
      <c r="A53" s="2" t="inlineStr"/>
      <c r="B53" s="2" t="inlineStr"/>
      <c r="C53" s="2" t="inlineStr"/>
      <c r="D53" s="2">
        <f>IF(A53="","",COUNTIFS(SALIDAS!$C$2:$C$1000,A53,SALIDAS!$E$2:$E$1000,B53,SALIDAS!$G$2:$G$1000,"OK*"))</f>
        <v/>
      </c>
      <c r="E53" s="2">
        <f>IF(A53="","",MAX(0,C53-D53))</f>
        <v/>
      </c>
      <c r="F53" s="2">
        <f>IF(A53="","",IF(E53=0,"COMPLETO","FALTA"))</f>
        <v/>
      </c>
    </row>
    <row r="54">
      <c r="A54" s="2" t="inlineStr"/>
      <c r="B54" s="2" t="inlineStr"/>
      <c r="C54" s="2" t="inlineStr"/>
      <c r="D54" s="2">
        <f>IF(A54="","",COUNTIFS(SALIDAS!$C$2:$C$1000,A54,SALIDAS!$E$2:$E$1000,B54,SALIDAS!$G$2:$G$1000,"OK*"))</f>
        <v/>
      </c>
      <c r="E54" s="2">
        <f>IF(A54="","",MAX(0,C54-D54))</f>
        <v/>
      </c>
      <c r="F54" s="2">
        <f>IF(A54="","",IF(E54=0,"COMPLETO","FALTA"))</f>
        <v/>
      </c>
    </row>
    <row r="55">
      <c r="A55" s="2" t="inlineStr"/>
      <c r="B55" s="2" t="inlineStr"/>
      <c r="C55" s="2" t="inlineStr"/>
      <c r="D55" s="2">
        <f>IF(A55="","",COUNTIFS(SALIDAS!$C$2:$C$1000,A55,SALIDAS!$E$2:$E$1000,B55,SALIDAS!$G$2:$G$1000,"OK*"))</f>
        <v/>
      </c>
      <c r="E55" s="2">
        <f>IF(A55="","",MAX(0,C55-D55))</f>
        <v/>
      </c>
      <c r="F55" s="2">
        <f>IF(A55="","",IF(E55=0,"COMPLETO","FALTA"))</f>
        <v/>
      </c>
    </row>
    <row r="56">
      <c r="A56" s="2" t="inlineStr"/>
      <c r="B56" s="2" t="inlineStr"/>
      <c r="C56" s="2" t="inlineStr"/>
      <c r="D56" s="2">
        <f>IF(A56="","",COUNTIFS(SALIDAS!$C$2:$C$1000,A56,SALIDAS!$E$2:$E$1000,B56,SALIDAS!$G$2:$G$1000,"OK*"))</f>
        <v/>
      </c>
      <c r="E56" s="2">
        <f>IF(A56="","",MAX(0,C56-D56))</f>
        <v/>
      </c>
      <c r="F56" s="2">
        <f>IF(A56="","",IF(E56=0,"COMPLETO","FALTA"))</f>
        <v/>
      </c>
    </row>
    <row r="57">
      <c r="A57" s="2" t="inlineStr"/>
      <c r="B57" s="2" t="inlineStr"/>
      <c r="C57" s="2" t="inlineStr"/>
      <c r="D57" s="2">
        <f>IF(A57="","",COUNTIFS(SALIDAS!$C$2:$C$1000,A57,SALIDAS!$E$2:$E$1000,B57,SALIDAS!$G$2:$G$1000,"OK*"))</f>
        <v/>
      </c>
      <c r="E57" s="2">
        <f>IF(A57="","",MAX(0,C57-D57))</f>
        <v/>
      </c>
      <c r="F57" s="2">
        <f>IF(A57="","",IF(E57=0,"COMPLETO","FALTA"))</f>
        <v/>
      </c>
    </row>
    <row r="58">
      <c r="A58" s="2" t="inlineStr"/>
      <c r="B58" s="2" t="inlineStr"/>
      <c r="C58" s="2" t="inlineStr"/>
      <c r="D58" s="2">
        <f>IF(A58="","",COUNTIFS(SALIDAS!$C$2:$C$1000,A58,SALIDAS!$E$2:$E$1000,B58,SALIDAS!$G$2:$G$1000,"OK*"))</f>
        <v/>
      </c>
      <c r="E58" s="2">
        <f>IF(A58="","",MAX(0,C58-D58))</f>
        <v/>
      </c>
      <c r="F58" s="2">
        <f>IF(A58="","",IF(E58=0,"COMPLETO","FALTA"))</f>
        <v/>
      </c>
    </row>
    <row r="59">
      <c r="A59" s="2" t="inlineStr"/>
      <c r="B59" s="2" t="inlineStr"/>
      <c r="C59" s="2" t="inlineStr"/>
      <c r="D59" s="2">
        <f>IF(A59="","",COUNTIFS(SALIDAS!$C$2:$C$1000,A59,SALIDAS!$E$2:$E$1000,B59,SALIDAS!$G$2:$G$1000,"OK*"))</f>
        <v/>
      </c>
      <c r="E59" s="2">
        <f>IF(A59="","",MAX(0,C59-D59))</f>
        <v/>
      </c>
      <c r="F59" s="2">
        <f>IF(A59="","",IF(E59=0,"COMPLETO","FALTA"))</f>
        <v/>
      </c>
    </row>
    <row r="60">
      <c r="A60" s="2" t="inlineStr"/>
      <c r="B60" s="2" t="inlineStr"/>
      <c r="C60" s="2" t="inlineStr"/>
      <c r="D60" s="2">
        <f>IF(A60="","",COUNTIFS(SALIDAS!$C$2:$C$1000,A60,SALIDAS!$E$2:$E$1000,B60,SALIDAS!$G$2:$G$1000,"OK*"))</f>
        <v/>
      </c>
      <c r="E60" s="2">
        <f>IF(A60="","",MAX(0,C60-D60))</f>
        <v/>
      </c>
      <c r="F60" s="2">
        <f>IF(A60="","",IF(E60=0,"COMPLETO","FALTA"))</f>
        <v/>
      </c>
    </row>
    <row r="61">
      <c r="A61" s="2" t="inlineStr"/>
      <c r="B61" s="2" t="inlineStr"/>
      <c r="C61" s="2" t="inlineStr"/>
      <c r="D61" s="2">
        <f>IF(A61="","",COUNTIFS(SALIDAS!$C$2:$C$1000,A61,SALIDAS!$E$2:$E$1000,B61,SALIDAS!$G$2:$G$1000,"OK*"))</f>
        <v/>
      </c>
      <c r="E61" s="2">
        <f>IF(A61="","",MAX(0,C61-D61))</f>
        <v/>
      </c>
      <c r="F61" s="2">
        <f>IF(A61="","",IF(E61=0,"COMPLETO","FALTA"))</f>
        <v/>
      </c>
    </row>
    <row r="62">
      <c r="A62" s="2" t="inlineStr"/>
      <c r="B62" s="2" t="inlineStr"/>
      <c r="C62" s="2" t="inlineStr"/>
      <c r="D62" s="2">
        <f>IF(A62="","",COUNTIFS(SALIDAS!$C$2:$C$1000,A62,SALIDAS!$E$2:$E$1000,B62,SALIDAS!$G$2:$G$1000,"OK*"))</f>
        <v/>
      </c>
      <c r="E62" s="2">
        <f>IF(A62="","",MAX(0,C62-D62))</f>
        <v/>
      </c>
      <c r="F62" s="2">
        <f>IF(A62="","",IF(E62=0,"COMPLETO","FALTA"))</f>
        <v/>
      </c>
    </row>
    <row r="63">
      <c r="A63" s="2" t="inlineStr"/>
      <c r="B63" s="2" t="inlineStr"/>
      <c r="C63" s="2" t="inlineStr"/>
      <c r="D63" s="2">
        <f>IF(A63="","",COUNTIFS(SALIDAS!$C$2:$C$1000,A63,SALIDAS!$E$2:$E$1000,B63,SALIDAS!$G$2:$G$1000,"OK*"))</f>
        <v/>
      </c>
      <c r="E63" s="2">
        <f>IF(A63="","",MAX(0,C63-D63))</f>
        <v/>
      </c>
      <c r="F63" s="2">
        <f>IF(A63="","",IF(E63=0,"COMPLETO","FALTA"))</f>
        <v/>
      </c>
    </row>
    <row r="64">
      <c r="A64" s="2" t="inlineStr"/>
      <c r="B64" s="2" t="inlineStr"/>
      <c r="C64" s="2" t="inlineStr"/>
      <c r="D64" s="2">
        <f>IF(A64="","",COUNTIFS(SALIDAS!$C$2:$C$1000,A64,SALIDAS!$E$2:$E$1000,B64,SALIDAS!$G$2:$G$1000,"OK*"))</f>
        <v/>
      </c>
      <c r="E64" s="2">
        <f>IF(A64="","",MAX(0,C64-D64))</f>
        <v/>
      </c>
      <c r="F64" s="2">
        <f>IF(A64="","",IF(E64=0,"COMPLETO","FALTA"))</f>
        <v/>
      </c>
    </row>
    <row r="65">
      <c r="A65" s="2" t="inlineStr"/>
      <c r="B65" s="2" t="inlineStr"/>
      <c r="C65" s="2" t="inlineStr"/>
      <c r="D65" s="2">
        <f>IF(A65="","",COUNTIFS(SALIDAS!$C$2:$C$1000,A65,SALIDAS!$E$2:$E$1000,B65,SALIDAS!$G$2:$G$1000,"OK*"))</f>
        <v/>
      </c>
      <c r="E65" s="2">
        <f>IF(A65="","",MAX(0,C65-D65))</f>
        <v/>
      </c>
      <c r="F65" s="2">
        <f>IF(A65="","",IF(E65=0,"COMPLETO","FALTA"))</f>
        <v/>
      </c>
    </row>
    <row r="66">
      <c r="A66" s="2" t="inlineStr"/>
      <c r="B66" s="2" t="inlineStr"/>
      <c r="C66" s="2" t="inlineStr"/>
      <c r="D66" s="2">
        <f>IF(A66="","",COUNTIFS(SALIDAS!$C$2:$C$1000,A66,SALIDAS!$E$2:$E$1000,B66,SALIDAS!$G$2:$G$1000,"OK*"))</f>
        <v/>
      </c>
      <c r="E66" s="2">
        <f>IF(A66="","",MAX(0,C66-D66))</f>
        <v/>
      </c>
      <c r="F66" s="2">
        <f>IF(A66="","",IF(E66=0,"COMPLETO","FALTA"))</f>
        <v/>
      </c>
    </row>
    <row r="67">
      <c r="A67" s="2" t="inlineStr"/>
      <c r="B67" s="2" t="inlineStr"/>
      <c r="C67" s="2" t="inlineStr"/>
      <c r="D67" s="2">
        <f>IF(A67="","",COUNTIFS(SALIDAS!$C$2:$C$1000,A67,SALIDAS!$E$2:$E$1000,B67,SALIDAS!$G$2:$G$1000,"OK*"))</f>
        <v/>
      </c>
      <c r="E67" s="2">
        <f>IF(A67="","",MAX(0,C67-D67))</f>
        <v/>
      </c>
      <c r="F67" s="2">
        <f>IF(A67="","",IF(E67=0,"COMPLETO","FALTA"))</f>
        <v/>
      </c>
    </row>
    <row r="68">
      <c r="A68" s="2" t="inlineStr"/>
      <c r="B68" s="2" t="inlineStr"/>
      <c r="C68" s="2" t="inlineStr"/>
      <c r="D68" s="2">
        <f>IF(A68="","",COUNTIFS(SALIDAS!$C$2:$C$1000,A68,SALIDAS!$E$2:$E$1000,B68,SALIDAS!$G$2:$G$1000,"OK*"))</f>
        <v/>
      </c>
      <c r="E68" s="2">
        <f>IF(A68="","",MAX(0,C68-D68))</f>
        <v/>
      </c>
      <c r="F68" s="2">
        <f>IF(A68="","",IF(E68=0,"COMPLETO","FALTA"))</f>
        <v/>
      </c>
    </row>
    <row r="69">
      <c r="A69" s="2" t="inlineStr"/>
      <c r="B69" s="2" t="inlineStr"/>
      <c r="C69" s="2" t="inlineStr"/>
      <c r="D69" s="2">
        <f>IF(A69="","",COUNTIFS(SALIDAS!$C$2:$C$1000,A69,SALIDAS!$E$2:$E$1000,B69,SALIDAS!$G$2:$G$1000,"OK*"))</f>
        <v/>
      </c>
      <c r="E69" s="2">
        <f>IF(A69="","",MAX(0,C69-D69))</f>
        <v/>
      </c>
      <c r="F69" s="2">
        <f>IF(A69="","",IF(E69=0,"COMPLETO","FALTA"))</f>
        <v/>
      </c>
    </row>
    <row r="70">
      <c r="A70" s="2" t="inlineStr"/>
      <c r="B70" s="2" t="inlineStr"/>
      <c r="C70" s="2" t="inlineStr"/>
      <c r="D70" s="2">
        <f>IF(A70="","",COUNTIFS(SALIDAS!$C$2:$C$1000,A70,SALIDAS!$E$2:$E$1000,B70,SALIDAS!$G$2:$G$1000,"OK*"))</f>
        <v/>
      </c>
      <c r="E70" s="2">
        <f>IF(A70="","",MAX(0,C70-D70))</f>
        <v/>
      </c>
      <c r="F70" s="2">
        <f>IF(A70="","",IF(E70=0,"COMPLETO","FALTA"))</f>
        <v/>
      </c>
    </row>
    <row r="71">
      <c r="A71" s="2" t="inlineStr"/>
      <c r="B71" s="2" t="inlineStr"/>
      <c r="C71" s="2" t="inlineStr"/>
      <c r="D71" s="2">
        <f>IF(A71="","",COUNTIFS(SALIDAS!$C$2:$C$1000,A71,SALIDAS!$E$2:$E$1000,B71,SALIDAS!$G$2:$G$1000,"OK*"))</f>
        <v/>
      </c>
      <c r="E71" s="2">
        <f>IF(A71="","",MAX(0,C71-D71))</f>
        <v/>
      </c>
      <c r="F71" s="2">
        <f>IF(A71="","",IF(E71=0,"COMPLETO","FALTA"))</f>
        <v/>
      </c>
    </row>
    <row r="72">
      <c r="A72" s="2" t="inlineStr"/>
      <c r="B72" s="2" t="inlineStr"/>
      <c r="C72" s="2" t="inlineStr"/>
      <c r="D72" s="2">
        <f>IF(A72="","",COUNTIFS(SALIDAS!$C$2:$C$1000,A72,SALIDAS!$E$2:$E$1000,B72,SALIDAS!$G$2:$G$1000,"OK*"))</f>
        <v/>
      </c>
      <c r="E72" s="2">
        <f>IF(A72="","",MAX(0,C72-D72))</f>
        <v/>
      </c>
      <c r="F72" s="2">
        <f>IF(A72="","",IF(E72=0,"COMPLETO","FALTA"))</f>
        <v/>
      </c>
    </row>
    <row r="73">
      <c r="A73" s="2" t="inlineStr"/>
      <c r="B73" s="2" t="inlineStr"/>
      <c r="C73" s="2" t="inlineStr"/>
      <c r="D73" s="2">
        <f>IF(A73="","",COUNTIFS(SALIDAS!$C$2:$C$1000,A73,SALIDAS!$E$2:$E$1000,B73,SALIDAS!$G$2:$G$1000,"OK*"))</f>
        <v/>
      </c>
      <c r="E73" s="2">
        <f>IF(A73="","",MAX(0,C73-D73))</f>
        <v/>
      </c>
      <c r="F73" s="2">
        <f>IF(A73="","",IF(E73=0,"COMPLETO","FALTA"))</f>
        <v/>
      </c>
    </row>
    <row r="74">
      <c r="A74" s="2" t="inlineStr"/>
      <c r="B74" s="2" t="inlineStr"/>
      <c r="C74" s="2" t="inlineStr"/>
      <c r="D74" s="2">
        <f>IF(A74="","",COUNTIFS(SALIDAS!$C$2:$C$1000,A74,SALIDAS!$E$2:$E$1000,B74,SALIDAS!$G$2:$G$1000,"OK*"))</f>
        <v/>
      </c>
      <c r="E74" s="2">
        <f>IF(A74="","",MAX(0,C74-D74))</f>
        <v/>
      </c>
      <c r="F74" s="2">
        <f>IF(A74="","",IF(E74=0,"COMPLETO","FALTA"))</f>
        <v/>
      </c>
    </row>
    <row r="75">
      <c r="A75" s="2" t="inlineStr"/>
      <c r="B75" s="2" t="inlineStr"/>
      <c r="C75" s="2" t="inlineStr"/>
      <c r="D75" s="2">
        <f>IF(A75="","",COUNTIFS(SALIDAS!$C$2:$C$1000,A75,SALIDAS!$E$2:$E$1000,B75,SALIDAS!$G$2:$G$1000,"OK*"))</f>
        <v/>
      </c>
      <c r="E75" s="2">
        <f>IF(A75="","",MAX(0,C75-D75))</f>
        <v/>
      </c>
      <c r="F75" s="2">
        <f>IF(A75="","",IF(E75=0,"COMPLETO","FALTA"))</f>
        <v/>
      </c>
    </row>
    <row r="76">
      <c r="A76" s="2" t="inlineStr"/>
      <c r="B76" s="2" t="inlineStr"/>
      <c r="C76" s="2" t="inlineStr"/>
      <c r="D76" s="2">
        <f>IF(A76="","",COUNTIFS(SALIDAS!$C$2:$C$1000,A76,SALIDAS!$E$2:$E$1000,B76,SALIDAS!$G$2:$G$1000,"OK*"))</f>
        <v/>
      </c>
      <c r="E76" s="2">
        <f>IF(A76="","",MAX(0,C76-D76))</f>
        <v/>
      </c>
      <c r="F76" s="2">
        <f>IF(A76="","",IF(E76=0,"COMPLETO","FALTA"))</f>
        <v/>
      </c>
    </row>
    <row r="77">
      <c r="A77" s="2" t="inlineStr"/>
      <c r="B77" s="2" t="inlineStr"/>
      <c r="C77" s="2" t="inlineStr"/>
      <c r="D77" s="2">
        <f>IF(A77="","",COUNTIFS(SALIDAS!$C$2:$C$1000,A77,SALIDAS!$E$2:$E$1000,B77,SALIDAS!$G$2:$G$1000,"OK*"))</f>
        <v/>
      </c>
      <c r="E77" s="2">
        <f>IF(A77="","",MAX(0,C77-D77))</f>
        <v/>
      </c>
      <c r="F77" s="2">
        <f>IF(A77="","",IF(E77=0,"COMPLETO","FALTA"))</f>
        <v/>
      </c>
    </row>
    <row r="78">
      <c r="A78" s="2" t="inlineStr"/>
      <c r="B78" s="2" t="inlineStr"/>
      <c r="C78" s="2" t="inlineStr"/>
      <c r="D78" s="2">
        <f>IF(A78="","",COUNTIFS(SALIDAS!$C$2:$C$1000,A78,SALIDAS!$E$2:$E$1000,B78,SALIDAS!$G$2:$G$1000,"OK*"))</f>
        <v/>
      </c>
      <c r="E78" s="2">
        <f>IF(A78="","",MAX(0,C78-D78))</f>
        <v/>
      </c>
      <c r="F78" s="2">
        <f>IF(A78="","",IF(E78=0,"COMPLETO","FALTA"))</f>
        <v/>
      </c>
    </row>
    <row r="79">
      <c r="A79" s="2" t="inlineStr"/>
      <c r="B79" s="2" t="inlineStr"/>
      <c r="C79" s="2" t="inlineStr"/>
      <c r="D79" s="2">
        <f>IF(A79="","",COUNTIFS(SALIDAS!$C$2:$C$1000,A79,SALIDAS!$E$2:$E$1000,B79,SALIDAS!$G$2:$G$1000,"OK*"))</f>
        <v/>
      </c>
      <c r="E79" s="2">
        <f>IF(A79="","",MAX(0,C79-D79))</f>
        <v/>
      </c>
      <c r="F79" s="2">
        <f>IF(A79="","",IF(E79=0,"COMPLETO","FALTA"))</f>
        <v/>
      </c>
    </row>
    <row r="80">
      <c r="A80" s="2" t="inlineStr"/>
      <c r="B80" s="2" t="inlineStr"/>
      <c r="C80" s="2" t="inlineStr"/>
      <c r="D80" s="2">
        <f>IF(A80="","",COUNTIFS(SALIDAS!$C$2:$C$1000,A80,SALIDAS!$E$2:$E$1000,B80,SALIDAS!$G$2:$G$1000,"OK*"))</f>
        <v/>
      </c>
      <c r="E80" s="2">
        <f>IF(A80="","",MAX(0,C80-D80))</f>
        <v/>
      </c>
      <c r="F80" s="2">
        <f>IF(A80="","",IF(E80=0,"COMPLETO","FALTA"))</f>
        <v/>
      </c>
    </row>
    <row r="81">
      <c r="A81" s="2" t="inlineStr"/>
      <c r="B81" s="2" t="inlineStr"/>
      <c r="C81" s="2" t="inlineStr"/>
      <c r="D81" s="2">
        <f>IF(A81="","",COUNTIFS(SALIDAS!$C$2:$C$1000,A81,SALIDAS!$E$2:$E$1000,B81,SALIDAS!$G$2:$G$1000,"OK*"))</f>
        <v/>
      </c>
      <c r="E81" s="2">
        <f>IF(A81="","",MAX(0,C81-D81))</f>
        <v/>
      </c>
      <c r="F81" s="2">
        <f>IF(A81="","",IF(E81=0,"COMPLETO","FALTA"))</f>
        <v/>
      </c>
    </row>
    <row r="82">
      <c r="A82" s="2" t="inlineStr"/>
      <c r="B82" s="2" t="inlineStr"/>
      <c r="C82" s="2" t="inlineStr"/>
      <c r="D82" s="2">
        <f>IF(A82="","",COUNTIFS(SALIDAS!$C$2:$C$1000,A82,SALIDAS!$E$2:$E$1000,B82,SALIDAS!$G$2:$G$1000,"OK*"))</f>
        <v/>
      </c>
      <c r="E82" s="2">
        <f>IF(A82="","",MAX(0,C82-D82))</f>
        <v/>
      </c>
      <c r="F82" s="2">
        <f>IF(A82="","",IF(E82=0,"COMPLETO","FALTA"))</f>
        <v/>
      </c>
    </row>
    <row r="83">
      <c r="A83" s="2" t="inlineStr"/>
      <c r="B83" s="2" t="inlineStr"/>
      <c r="C83" s="2" t="inlineStr"/>
      <c r="D83" s="2">
        <f>IF(A83="","",COUNTIFS(SALIDAS!$C$2:$C$1000,A83,SALIDAS!$E$2:$E$1000,B83,SALIDAS!$G$2:$G$1000,"OK*"))</f>
        <v/>
      </c>
      <c r="E83" s="2">
        <f>IF(A83="","",MAX(0,C83-D83))</f>
        <v/>
      </c>
      <c r="F83" s="2">
        <f>IF(A83="","",IF(E83=0,"COMPLETO","FALTA"))</f>
        <v/>
      </c>
    </row>
    <row r="84">
      <c r="A84" s="2" t="inlineStr"/>
      <c r="B84" s="2" t="inlineStr"/>
      <c r="C84" s="2" t="inlineStr"/>
      <c r="D84" s="2">
        <f>IF(A84="","",COUNTIFS(SALIDAS!$C$2:$C$1000,A84,SALIDAS!$E$2:$E$1000,B84,SALIDAS!$G$2:$G$1000,"OK*"))</f>
        <v/>
      </c>
      <c r="E84" s="2">
        <f>IF(A84="","",MAX(0,C84-D84))</f>
        <v/>
      </c>
      <c r="F84" s="2">
        <f>IF(A84="","",IF(E84=0,"COMPLETO","FALTA"))</f>
        <v/>
      </c>
    </row>
    <row r="85">
      <c r="A85" s="2" t="inlineStr"/>
      <c r="B85" s="2" t="inlineStr"/>
      <c r="C85" s="2" t="inlineStr"/>
      <c r="D85" s="2">
        <f>IF(A85="","",COUNTIFS(SALIDAS!$C$2:$C$1000,A85,SALIDAS!$E$2:$E$1000,B85,SALIDAS!$G$2:$G$1000,"OK*"))</f>
        <v/>
      </c>
      <c r="E85" s="2">
        <f>IF(A85="","",MAX(0,C85-D85))</f>
        <v/>
      </c>
      <c r="F85" s="2">
        <f>IF(A85="","",IF(E85=0,"COMPLETO","FALTA"))</f>
        <v/>
      </c>
    </row>
    <row r="86">
      <c r="A86" s="2" t="inlineStr"/>
      <c r="B86" s="2" t="inlineStr"/>
      <c r="C86" s="2" t="inlineStr"/>
      <c r="D86" s="2">
        <f>IF(A86="","",COUNTIFS(SALIDAS!$C$2:$C$1000,A86,SALIDAS!$E$2:$E$1000,B86,SALIDAS!$G$2:$G$1000,"OK*"))</f>
        <v/>
      </c>
      <c r="E86" s="2">
        <f>IF(A86="","",MAX(0,C86-D86))</f>
        <v/>
      </c>
      <c r="F86" s="2">
        <f>IF(A86="","",IF(E86=0,"COMPLETO","FALTA"))</f>
        <v/>
      </c>
    </row>
    <row r="87">
      <c r="A87" s="2" t="inlineStr"/>
      <c r="B87" s="2" t="inlineStr"/>
      <c r="C87" s="2" t="inlineStr"/>
      <c r="D87" s="2">
        <f>IF(A87="","",COUNTIFS(SALIDAS!$C$2:$C$1000,A87,SALIDAS!$E$2:$E$1000,B87,SALIDAS!$G$2:$G$1000,"OK*"))</f>
        <v/>
      </c>
      <c r="E87" s="2">
        <f>IF(A87="","",MAX(0,C87-D87))</f>
        <v/>
      </c>
      <c r="F87" s="2">
        <f>IF(A87="","",IF(E87=0,"COMPLETO","FALTA"))</f>
        <v/>
      </c>
    </row>
    <row r="88">
      <c r="A88" s="2" t="inlineStr"/>
      <c r="B88" s="2" t="inlineStr"/>
      <c r="C88" s="2" t="inlineStr"/>
      <c r="D88" s="2">
        <f>IF(A88="","",COUNTIFS(SALIDAS!$C$2:$C$1000,A88,SALIDAS!$E$2:$E$1000,B88,SALIDAS!$G$2:$G$1000,"OK*"))</f>
        <v/>
      </c>
      <c r="E88" s="2">
        <f>IF(A88="","",MAX(0,C88-D88))</f>
        <v/>
      </c>
      <c r="F88" s="2">
        <f>IF(A88="","",IF(E88=0,"COMPLETO","FALTA"))</f>
        <v/>
      </c>
    </row>
    <row r="89">
      <c r="A89" s="2" t="inlineStr"/>
      <c r="B89" s="2" t="inlineStr"/>
      <c r="C89" s="2" t="inlineStr"/>
      <c r="D89" s="2">
        <f>IF(A89="","",COUNTIFS(SALIDAS!$C$2:$C$1000,A89,SALIDAS!$E$2:$E$1000,B89,SALIDAS!$G$2:$G$1000,"OK*"))</f>
        <v/>
      </c>
      <c r="E89" s="2">
        <f>IF(A89="","",MAX(0,C89-D89))</f>
        <v/>
      </c>
      <c r="F89" s="2">
        <f>IF(A89="","",IF(E89=0,"COMPLETO","FALTA"))</f>
        <v/>
      </c>
    </row>
    <row r="90">
      <c r="A90" s="2" t="inlineStr"/>
      <c r="B90" s="2" t="inlineStr"/>
      <c r="C90" s="2" t="inlineStr"/>
      <c r="D90" s="2">
        <f>IF(A90="","",COUNTIFS(SALIDAS!$C$2:$C$1000,A90,SALIDAS!$E$2:$E$1000,B90,SALIDAS!$G$2:$G$1000,"OK*"))</f>
        <v/>
      </c>
      <c r="E90" s="2">
        <f>IF(A90="","",MAX(0,C90-D90))</f>
        <v/>
      </c>
      <c r="F90" s="2">
        <f>IF(A90="","",IF(E90=0,"COMPLETO","FALTA"))</f>
        <v/>
      </c>
    </row>
    <row r="91">
      <c r="A91" s="2" t="inlineStr"/>
      <c r="B91" s="2" t="inlineStr"/>
      <c r="C91" s="2" t="inlineStr"/>
      <c r="D91" s="2">
        <f>IF(A91="","",COUNTIFS(SALIDAS!$C$2:$C$1000,A91,SALIDAS!$E$2:$E$1000,B91,SALIDAS!$G$2:$G$1000,"OK*"))</f>
        <v/>
      </c>
      <c r="E91" s="2">
        <f>IF(A91="","",MAX(0,C91-D91))</f>
        <v/>
      </c>
      <c r="F91" s="2">
        <f>IF(A91="","",IF(E91=0,"COMPLETO","FALTA"))</f>
        <v/>
      </c>
    </row>
    <row r="92">
      <c r="A92" s="2" t="inlineStr"/>
      <c r="B92" s="2" t="inlineStr"/>
      <c r="C92" s="2" t="inlineStr"/>
      <c r="D92" s="2">
        <f>IF(A92="","",COUNTIFS(SALIDAS!$C$2:$C$1000,A92,SALIDAS!$E$2:$E$1000,B92,SALIDAS!$G$2:$G$1000,"OK*"))</f>
        <v/>
      </c>
      <c r="E92" s="2">
        <f>IF(A92="","",MAX(0,C92-D92))</f>
        <v/>
      </c>
      <c r="F92" s="2">
        <f>IF(A92="","",IF(E92=0,"COMPLETO","FALTA"))</f>
        <v/>
      </c>
    </row>
    <row r="93">
      <c r="A93" s="2" t="inlineStr"/>
      <c r="B93" s="2" t="inlineStr"/>
      <c r="C93" s="2" t="inlineStr"/>
      <c r="D93" s="2">
        <f>IF(A93="","",COUNTIFS(SALIDAS!$C$2:$C$1000,A93,SALIDAS!$E$2:$E$1000,B93,SALIDAS!$G$2:$G$1000,"OK*"))</f>
        <v/>
      </c>
      <c r="E93" s="2">
        <f>IF(A93="","",MAX(0,C93-D93))</f>
        <v/>
      </c>
      <c r="F93" s="2">
        <f>IF(A93="","",IF(E93=0,"COMPLETO","FALTA"))</f>
        <v/>
      </c>
    </row>
    <row r="94">
      <c r="A94" s="2" t="inlineStr"/>
      <c r="B94" s="2" t="inlineStr"/>
      <c r="C94" s="2" t="inlineStr"/>
      <c r="D94" s="2">
        <f>IF(A94="","",COUNTIFS(SALIDAS!$C$2:$C$1000,A94,SALIDAS!$E$2:$E$1000,B94,SALIDAS!$G$2:$G$1000,"OK*"))</f>
        <v/>
      </c>
      <c r="E94" s="2">
        <f>IF(A94="","",MAX(0,C94-D94))</f>
        <v/>
      </c>
      <c r="F94" s="2">
        <f>IF(A94="","",IF(E94=0,"COMPLETO","FALTA"))</f>
        <v/>
      </c>
    </row>
    <row r="95">
      <c r="A95" s="2" t="inlineStr"/>
      <c r="B95" s="2" t="inlineStr"/>
      <c r="C95" s="2" t="inlineStr"/>
      <c r="D95" s="2">
        <f>IF(A95="","",COUNTIFS(SALIDAS!$C$2:$C$1000,A95,SALIDAS!$E$2:$E$1000,B95,SALIDAS!$G$2:$G$1000,"OK*"))</f>
        <v/>
      </c>
      <c r="E95" s="2">
        <f>IF(A95="","",MAX(0,C95-D95))</f>
        <v/>
      </c>
      <c r="F95" s="2">
        <f>IF(A95="","",IF(E95=0,"COMPLETO","FALTA"))</f>
        <v/>
      </c>
    </row>
    <row r="96">
      <c r="A96" s="2" t="inlineStr"/>
      <c r="B96" s="2" t="inlineStr"/>
      <c r="C96" s="2" t="inlineStr"/>
      <c r="D96" s="2">
        <f>IF(A96="","",COUNTIFS(SALIDAS!$C$2:$C$1000,A96,SALIDAS!$E$2:$E$1000,B96,SALIDAS!$G$2:$G$1000,"OK*"))</f>
        <v/>
      </c>
      <c r="E96" s="2">
        <f>IF(A96="","",MAX(0,C96-D96))</f>
        <v/>
      </c>
      <c r="F96" s="2">
        <f>IF(A96="","",IF(E96=0,"COMPLETO","FALTA"))</f>
        <v/>
      </c>
    </row>
    <row r="97">
      <c r="A97" s="2" t="inlineStr"/>
      <c r="B97" s="2" t="inlineStr"/>
      <c r="C97" s="2" t="inlineStr"/>
      <c r="D97" s="2">
        <f>IF(A97="","",COUNTIFS(SALIDAS!$C$2:$C$1000,A97,SALIDAS!$E$2:$E$1000,B97,SALIDAS!$G$2:$G$1000,"OK*"))</f>
        <v/>
      </c>
      <c r="E97" s="2">
        <f>IF(A97="","",MAX(0,C97-D97))</f>
        <v/>
      </c>
      <c r="F97" s="2">
        <f>IF(A97="","",IF(E97=0,"COMPLETO","FALTA"))</f>
        <v/>
      </c>
    </row>
    <row r="98">
      <c r="A98" s="2" t="inlineStr"/>
      <c r="B98" s="2" t="inlineStr"/>
      <c r="C98" s="2" t="inlineStr"/>
      <c r="D98" s="2">
        <f>IF(A98="","",COUNTIFS(SALIDAS!$C$2:$C$1000,A98,SALIDAS!$E$2:$E$1000,B98,SALIDAS!$G$2:$G$1000,"OK*"))</f>
        <v/>
      </c>
      <c r="E98" s="2">
        <f>IF(A98="","",MAX(0,C98-D98))</f>
        <v/>
      </c>
      <c r="F98" s="2">
        <f>IF(A98="","",IF(E98=0,"COMPLETO","FALTA"))</f>
        <v/>
      </c>
    </row>
    <row r="99">
      <c r="A99" s="2" t="inlineStr"/>
      <c r="B99" s="2" t="inlineStr"/>
      <c r="C99" s="2" t="inlineStr"/>
      <c r="D99" s="2">
        <f>IF(A99="","",COUNTIFS(SALIDAS!$C$2:$C$1000,A99,SALIDAS!$E$2:$E$1000,B99,SALIDAS!$G$2:$G$1000,"OK*"))</f>
        <v/>
      </c>
      <c r="E99" s="2">
        <f>IF(A99="","",MAX(0,C99-D99))</f>
        <v/>
      </c>
      <c r="F99" s="2">
        <f>IF(A99="","",IF(E99=0,"COMPLETO","FALTA"))</f>
        <v/>
      </c>
    </row>
    <row r="100">
      <c r="A100" s="2" t="inlineStr"/>
      <c r="B100" s="2" t="inlineStr"/>
      <c r="C100" s="2" t="inlineStr"/>
      <c r="D100" s="2">
        <f>IF(A100="","",COUNTIFS(SALIDAS!$C$2:$C$1000,A100,SALIDAS!$E$2:$E$1000,B100,SALIDAS!$G$2:$G$1000,"OK*"))</f>
        <v/>
      </c>
      <c r="E100" s="2">
        <f>IF(A100="","",MAX(0,C100-D100))</f>
        <v/>
      </c>
      <c r="F100" s="2">
        <f>IF(A100="","",IF(E100=0,"COMPLETO","FALTA"))</f>
        <v/>
      </c>
    </row>
    <row r="101">
      <c r="A101" s="2" t="inlineStr"/>
      <c r="B101" s="2" t="inlineStr"/>
      <c r="C101" s="2" t="inlineStr"/>
      <c r="D101" s="2">
        <f>IF(A101="","",COUNTIFS(SALIDAS!$C$2:$C$1000,A101,SALIDAS!$E$2:$E$1000,B101,SALIDAS!$G$2:$G$1000,"OK*"))</f>
        <v/>
      </c>
      <c r="E101" s="2">
        <f>IF(A101="","",MAX(0,C101-D101))</f>
        <v/>
      </c>
      <c r="F101" s="2">
        <f>IF(A101="","",IF(E101=0,"COMPLETO","FALTA"))</f>
        <v/>
      </c>
    </row>
    <row r="102">
      <c r="A102" s="2" t="inlineStr"/>
      <c r="B102" s="2" t="inlineStr"/>
      <c r="C102" s="2" t="inlineStr"/>
      <c r="D102" s="2">
        <f>IF(A102="","",COUNTIFS(SALIDAS!$C$2:$C$1000,A102,SALIDAS!$E$2:$E$1000,B102,SALIDAS!$G$2:$G$1000,"OK*"))</f>
        <v/>
      </c>
      <c r="E102" s="2">
        <f>IF(A102="","",MAX(0,C102-D102))</f>
        <v/>
      </c>
      <c r="F102" s="2">
        <f>IF(A102="","",IF(E102=0,"COMPLETO","FALTA"))</f>
        <v/>
      </c>
    </row>
    <row r="103">
      <c r="A103" s="2" t="inlineStr"/>
      <c r="B103" s="2" t="inlineStr"/>
      <c r="C103" s="2" t="inlineStr"/>
      <c r="D103" s="2">
        <f>IF(A103="","",COUNTIFS(SALIDAS!$C$2:$C$1000,A103,SALIDAS!$E$2:$E$1000,B103,SALIDAS!$G$2:$G$1000,"OK*"))</f>
        <v/>
      </c>
      <c r="E103" s="2">
        <f>IF(A103="","",MAX(0,C103-D103))</f>
        <v/>
      </c>
      <c r="F103" s="2">
        <f>IF(A103="","",IF(E103=0,"COMPLETO","FALTA"))</f>
        <v/>
      </c>
    </row>
    <row r="104">
      <c r="A104" s="2" t="inlineStr"/>
      <c r="B104" s="2" t="inlineStr"/>
      <c r="C104" s="2" t="inlineStr"/>
      <c r="D104" s="2">
        <f>IF(A104="","",COUNTIFS(SALIDAS!$C$2:$C$1000,A104,SALIDAS!$E$2:$E$1000,B104,SALIDAS!$G$2:$G$1000,"OK*"))</f>
        <v/>
      </c>
      <c r="E104" s="2">
        <f>IF(A104="","",MAX(0,C104-D104))</f>
        <v/>
      </c>
      <c r="F104" s="2">
        <f>IF(A104="","",IF(E104=0,"COMPLETO","FALTA"))</f>
        <v/>
      </c>
    </row>
    <row r="105">
      <c r="A105" s="2" t="inlineStr"/>
      <c r="B105" s="2" t="inlineStr"/>
      <c r="C105" s="2" t="inlineStr"/>
      <c r="D105" s="2">
        <f>IF(A105="","",COUNTIFS(SALIDAS!$C$2:$C$1000,A105,SALIDAS!$E$2:$E$1000,B105,SALIDAS!$G$2:$G$1000,"OK*"))</f>
        <v/>
      </c>
      <c r="E105" s="2">
        <f>IF(A105="","",MAX(0,C105-D105))</f>
        <v/>
      </c>
      <c r="F105" s="2">
        <f>IF(A105="","",IF(E105=0,"COMPLETO","FALTA"))</f>
        <v/>
      </c>
    </row>
    <row r="106">
      <c r="A106" s="2" t="inlineStr"/>
      <c r="B106" s="2" t="inlineStr"/>
      <c r="C106" s="2" t="inlineStr"/>
      <c r="D106" s="2">
        <f>IF(A106="","",COUNTIFS(SALIDAS!$C$2:$C$1000,A106,SALIDAS!$E$2:$E$1000,B106,SALIDAS!$G$2:$G$1000,"OK*"))</f>
        <v/>
      </c>
      <c r="E106" s="2">
        <f>IF(A106="","",MAX(0,C106-D106))</f>
        <v/>
      </c>
      <c r="F106" s="2">
        <f>IF(A106="","",IF(E106=0,"COMPLETO","FALTA"))</f>
        <v/>
      </c>
    </row>
    <row r="107">
      <c r="A107" s="2" t="inlineStr"/>
      <c r="B107" s="2" t="inlineStr"/>
      <c r="C107" s="2" t="inlineStr"/>
      <c r="D107" s="2">
        <f>IF(A107="","",COUNTIFS(SALIDAS!$C$2:$C$1000,A107,SALIDAS!$E$2:$E$1000,B107,SALIDAS!$G$2:$G$1000,"OK*"))</f>
        <v/>
      </c>
      <c r="E107" s="2">
        <f>IF(A107="","",MAX(0,C107-D107))</f>
        <v/>
      </c>
      <c r="F107" s="2">
        <f>IF(A107="","",IF(E107=0,"COMPLETO","FALTA"))</f>
        <v/>
      </c>
    </row>
    <row r="108">
      <c r="A108" s="2" t="inlineStr"/>
      <c r="B108" s="2" t="inlineStr"/>
      <c r="C108" s="2" t="inlineStr"/>
      <c r="D108" s="2">
        <f>IF(A108="","",COUNTIFS(SALIDAS!$C$2:$C$1000,A108,SALIDAS!$E$2:$E$1000,B108,SALIDAS!$G$2:$G$1000,"OK*"))</f>
        <v/>
      </c>
      <c r="E108" s="2">
        <f>IF(A108="","",MAX(0,C108-D108))</f>
        <v/>
      </c>
      <c r="F108" s="2">
        <f>IF(A108="","",IF(E108=0,"COMPLETO","FALTA"))</f>
        <v/>
      </c>
    </row>
    <row r="109">
      <c r="A109" s="2" t="inlineStr"/>
      <c r="B109" s="2" t="inlineStr"/>
      <c r="C109" s="2" t="inlineStr"/>
      <c r="D109" s="2">
        <f>IF(A109="","",COUNTIFS(SALIDAS!$C$2:$C$1000,A109,SALIDAS!$E$2:$E$1000,B109,SALIDAS!$G$2:$G$1000,"OK*"))</f>
        <v/>
      </c>
      <c r="E109" s="2">
        <f>IF(A109="","",MAX(0,C109-D109))</f>
        <v/>
      </c>
      <c r="F109" s="2">
        <f>IF(A109="","",IF(E109=0,"COMPLETO","FALTA"))</f>
        <v/>
      </c>
    </row>
    <row r="110">
      <c r="A110" s="2" t="inlineStr"/>
      <c r="B110" s="2" t="inlineStr"/>
      <c r="C110" s="2" t="inlineStr"/>
      <c r="D110" s="2">
        <f>IF(A110="","",COUNTIFS(SALIDAS!$C$2:$C$1000,A110,SALIDAS!$E$2:$E$1000,B110,SALIDAS!$G$2:$G$1000,"OK*"))</f>
        <v/>
      </c>
      <c r="E110" s="2">
        <f>IF(A110="","",MAX(0,C110-D110))</f>
        <v/>
      </c>
      <c r="F110" s="2">
        <f>IF(A110="","",IF(E110=0,"COMPLETO","FALTA"))</f>
        <v/>
      </c>
    </row>
    <row r="111">
      <c r="A111" s="2" t="inlineStr"/>
      <c r="B111" s="2" t="inlineStr"/>
      <c r="C111" s="2" t="inlineStr"/>
      <c r="D111" s="2">
        <f>IF(A111="","",COUNTIFS(SALIDAS!$C$2:$C$1000,A111,SALIDAS!$E$2:$E$1000,B111,SALIDAS!$G$2:$G$1000,"OK*"))</f>
        <v/>
      </c>
      <c r="E111" s="2">
        <f>IF(A111="","",MAX(0,C111-D111))</f>
        <v/>
      </c>
      <c r="F111" s="2">
        <f>IF(A111="","",IF(E111=0,"COMPLETO","FALTA"))</f>
        <v/>
      </c>
    </row>
    <row r="112">
      <c r="A112" s="2" t="inlineStr"/>
      <c r="B112" s="2" t="inlineStr"/>
      <c r="C112" s="2" t="inlineStr"/>
      <c r="D112" s="2">
        <f>IF(A112="","",COUNTIFS(SALIDAS!$C$2:$C$1000,A112,SALIDAS!$E$2:$E$1000,B112,SALIDAS!$G$2:$G$1000,"OK*"))</f>
        <v/>
      </c>
      <c r="E112" s="2">
        <f>IF(A112="","",MAX(0,C112-D112))</f>
        <v/>
      </c>
      <c r="F112" s="2">
        <f>IF(A112="","",IF(E112=0,"COMPLETO","FALTA"))</f>
        <v/>
      </c>
    </row>
    <row r="113">
      <c r="A113" s="2" t="inlineStr"/>
      <c r="B113" s="2" t="inlineStr"/>
      <c r="C113" s="2" t="inlineStr"/>
      <c r="D113" s="2">
        <f>IF(A113="","",COUNTIFS(SALIDAS!$C$2:$C$1000,A113,SALIDAS!$E$2:$E$1000,B113,SALIDAS!$G$2:$G$1000,"OK*"))</f>
        <v/>
      </c>
      <c r="E113" s="2">
        <f>IF(A113="","",MAX(0,C113-D113))</f>
        <v/>
      </c>
      <c r="F113" s="2">
        <f>IF(A113="","",IF(E113=0,"COMPLETO","FALTA"))</f>
        <v/>
      </c>
    </row>
    <row r="114">
      <c r="A114" s="2" t="inlineStr"/>
      <c r="B114" s="2" t="inlineStr"/>
      <c r="C114" s="2" t="inlineStr"/>
      <c r="D114" s="2">
        <f>IF(A114="","",COUNTIFS(SALIDAS!$C$2:$C$1000,A114,SALIDAS!$E$2:$E$1000,B114,SALIDAS!$G$2:$G$1000,"OK*"))</f>
        <v/>
      </c>
      <c r="E114" s="2">
        <f>IF(A114="","",MAX(0,C114-D114))</f>
        <v/>
      </c>
      <c r="F114" s="2">
        <f>IF(A114="","",IF(E114=0,"COMPLETO","FALTA"))</f>
        <v/>
      </c>
    </row>
    <row r="115">
      <c r="A115" s="2" t="inlineStr"/>
      <c r="B115" s="2" t="inlineStr"/>
      <c r="C115" s="2" t="inlineStr"/>
      <c r="D115" s="2">
        <f>IF(A115="","",COUNTIFS(SALIDAS!$C$2:$C$1000,A115,SALIDAS!$E$2:$E$1000,B115,SALIDAS!$G$2:$G$1000,"OK*"))</f>
        <v/>
      </c>
      <c r="E115" s="2">
        <f>IF(A115="","",MAX(0,C115-D115))</f>
        <v/>
      </c>
      <c r="F115" s="2">
        <f>IF(A115="","",IF(E115=0,"COMPLETO","FALTA"))</f>
        <v/>
      </c>
    </row>
    <row r="116">
      <c r="A116" s="2" t="inlineStr"/>
      <c r="B116" s="2" t="inlineStr"/>
      <c r="C116" s="2" t="inlineStr"/>
      <c r="D116" s="2">
        <f>IF(A116="","",COUNTIFS(SALIDAS!$C$2:$C$1000,A116,SALIDAS!$E$2:$E$1000,B116,SALIDAS!$G$2:$G$1000,"OK*"))</f>
        <v/>
      </c>
      <c r="E116" s="2">
        <f>IF(A116="","",MAX(0,C116-D116))</f>
        <v/>
      </c>
      <c r="F116" s="2">
        <f>IF(A116="","",IF(E116=0,"COMPLETO","FALTA"))</f>
        <v/>
      </c>
    </row>
    <row r="117">
      <c r="A117" s="2" t="inlineStr"/>
      <c r="B117" s="2" t="inlineStr"/>
      <c r="C117" s="2" t="inlineStr"/>
      <c r="D117" s="2">
        <f>IF(A117="","",COUNTIFS(SALIDAS!$C$2:$C$1000,A117,SALIDAS!$E$2:$E$1000,B117,SALIDAS!$G$2:$G$1000,"OK*"))</f>
        <v/>
      </c>
      <c r="E117" s="2">
        <f>IF(A117="","",MAX(0,C117-D117))</f>
        <v/>
      </c>
      <c r="F117" s="2">
        <f>IF(A117="","",IF(E117=0,"COMPLETO","FALTA"))</f>
        <v/>
      </c>
    </row>
    <row r="118">
      <c r="A118" s="2" t="inlineStr"/>
      <c r="B118" s="2" t="inlineStr"/>
      <c r="C118" s="2" t="inlineStr"/>
      <c r="D118" s="2">
        <f>IF(A118="","",COUNTIFS(SALIDAS!$C$2:$C$1000,A118,SALIDAS!$E$2:$E$1000,B118,SALIDAS!$G$2:$G$1000,"OK*"))</f>
        <v/>
      </c>
      <c r="E118" s="2">
        <f>IF(A118="","",MAX(0,C118-D118))</f>
        <v/>
      </c>
      <c r="F118" s="2">
        <f>IF(A118="","",IF(E118=0,"COMPLETO","FALTA"))</f>
        <v/>
      </c>
    </row>
    <row r="119">
      <c r="A119" s="2" t="inlineStr"/>
      <c r="B119" s="2" t="inlineStr"/>
      <c r="C119" s="2" t="inlineStr"/>
      <c r="D119" s="2">
        <f>IF(A119="","",COUNTIFS(SALIDAS!$C$2:$C$1000,A119,SALIDAS!$E$2:$E$1000,B119,SALIDAS!$G$2:$G$1000,"OK*"))</f>
        <v/>
      </c>
      <c r="E119" s="2">
        <f>IF(A119="","",MAX(0,C119-D119))</f>
        <v/>
      </c>
      <c r="F119" s="2">
        <f>IF(A119="","",IF(E119=0,"COMPLETO","FALTA"))</f>
        <v/>
      </c>
    </row>
    <row r="120">
      <c r="A120" s="2" t="inlineStr"/>
      <c r="B120" s="2" t="inlineStr"/>
      <c r="C120" s="2" t="inlineStr"/>
      <c r="D120" s="2">
        <f>IF(A120="","",COUNTIFS(SALIDAS!$C$2:$C$1000,A120,SALIDAS!$E$2:$E$1000,B120,SALIDAS!$G$2:$G$1000,"OK*"))</f>
        <v/>
      </c>
      <c r="E120" s="2">
        <f>IF(A120="","",MAX(0,C120-D120))</f>
        <v/>
      </c>
      <c r="F120" s="2">
        <f>IF(A120="","",IF(E120=0,"COMPLETO","FALTA"))</f>
        <v/>
      </c>
    </row>
    <row r="121">
      <c r="A121" s="2" t="inlineStr"/>
      <c r="B121" s="2" t="inlineStr"/>
      <c r="C121" s="2" t="inlineStr"/>
      <c r="D121" s="2">
        <f>IF(A121="","",COUNTIFS(SALIDAS!$C$2:$C$1000,A121,SALIDAS!$E$2:$E$1000,B121,SALIDAS!$G$2:$G$1000,"OK*"))</f>
        <v/>
      </c>
      <c r="E121" s="2">
        <f>IF(A121="","",MAX(0,C121-D121))</f>
        <v/>
      </c>
      <c r="F121" s="2">
        <f>IF(A121="","",IF(E121=0,"COMPLETO","FALTA"))</f>
        <v/>
      </c>
    </row>
    <row r="122">
      <c r="A122" s="2" t="inlineStr"/>
      <c r="B122" s="2" t="inlineStr"/>
      <c r="C122" s="2" t="inlineStr"/>
      <c r="D122" s="2">
        <f>IF(A122="","",COUNTIFS(SALIDAS!$C$2:$C$1000,A122,SALIDAS!$E$2:$E$1000,B122,SALIDAS!$G$2:$G$1000,"OK*"))</f>
        <v/>
      </c>
      <c r="E122" s="2">
        <f>IF(A122="","",MAX(0,C122-D122))</f>
        <v/>
      </c>
      <c r="F122" s="2">
        <f>IF(A122="","",IF(E122=0,"COMPLETO","FALTA"))</f>
        <v/>
      </c>
    </row>
    <row r="123">
      <c r="A123" s="2" t="inlineStr"/>
      <c r="B123" s="2" t="inlineStr"/>
      <c r="C123" s="2" t="inlineStr"/>
      <c r="D123" s="2">
        <f>IF(A123="","",COUNTIFS(SALIDAS!$C$2:$C$1000,A123,SALIDAS!$E$2:$E$1000,B123,SALIDAS!$G$2:$G$1000,"OK*"))</f>
        <v/>
      </c>
      <c r="E123" s="2">
        <f>IF(A123="","",MAX(0,C123-D123))</f>
        <v/>
      </c>
      <c r="F123" s="2">
        <f>IF(A123="","",IF(E123=0,"COMPLETO","FALTA"))</f>
        <v/>
      </c>
    </row>
    <row r="124">
      <c r="A124" s="2" t="inlineStr"/>
      <c r="B124" s="2" t="inlineStr"/>
      <c r="C124" s="2" t="inlineStr"/>
      <c r="D124" s="2">
        <f>IF(A124="","",COUNTIFS(SALIDAS!$C$2:$C$1000,A124,SALIDAS!$E$2:$E$1000,B124,SALIDAS!$G$2:$G$1000,"OK*"))</f>
        <v/>
      </c>
      <c r="E124" s="2">
        <f>IF(A124="","",MAX(0,C124-D124))</f>
        <v/>
      </c>
      <c r="F124" s="2">
        <f>IF(A124="","",IF(E124=0,"COMPLETO","FALTA"))</f>
        <v/>
      </c>
    </row>
    <row r="125">
      <c r="A125" s="2" t="inlineStr"/>
      <c r="B125" s="2" t="inlineStr"/>
      <c r="C125" s="2" t="inlineStr"/>
      <c r="D125" s="2">
        <f>IF(A125="","",COUNTIFS(SALIDAS!$C$2:$C$1000,A125,SALIDAS!$E$2:$E$1000,B125,SALIDAS!$G$2:$G$1000,"OK*"))</f>
        <v/>
      </c>
      <c r="E125" s="2">
        <f>IF(A125="","",MAX(0,C125-D125))</f>
        <v/>
      </c>
      <c r="F125" s="2">
        <f>IF(A125="","",IF(E125=0,"COMPLETO","FALTA"))</f>
        <v/>
      </c>
    </row>
    <row r="126">
      <c r="A126" s="2" t="inlineStr"/>
      <c r="B126" s="2" t="inlineStr"/>
      <c r="C126" s="2" t="inlineStr"/>
      <c r="D126" s="2">
        <f>IF(A126="","",COUNTIFS(SALIDAS!$C$2:$C$1000,A126,SALIDAS!$E$2:$E$1000,B126,SALIDAS!$G$2:$G$1000,"OK*"))</f>
        <v/>
      </c>
      <c r="E126" s="2">
        <f>IF(A126="","",MAX(0,C126-D126))</f>
        <v/>
      </c>
      <c r="F126" s="2">
        <f>IF(A126="","",IF(E126=0,"COMPLETO","FALTA"))</f>
        <v/>
      </c>
    </row>
    <row r="127">
      <c r="A127" s="2" t="inlineStr"/>
      <c r="B127" s="2" t="inlineStr"/>
      <c r="C127" s="2" t="inlineStr"/>
      <c r="D127" s="2">
        <f>IF(A127="","",COUNTIFS(SALIDAS!$C$2:$C$1000,A127,SALIDAS!$E$2:$E$1000,B127,SALIDAS!$G$2:$G$1000,"OK*"))</f>
        <v/>
      </c>
      <c r="E127" s="2">
        <f>IF(A127="","",MAX(0,C127-D127))</f>
        <v/>
      </c>
      <c r="F127" s="2">
        <f>IF(A127="","",IF(E127=0,"COMPLETO","FALTA"))</f>
        <v/>
      </c>
    </row>
    <row r="128">
      <c r="A128" s="2" t="inlineStr"/>
      <c r="B128" s="2" t="inlineStr"/>
      <c r="C128" s="2" t="inlineStr"/>
      <c r="D128" s="2">
        <f>IF(A128="","",COUNTIFS(SALIDAS!$C$2:$C$1000,A128,SALIDAS!$E$2:$E$1000,B128,SALIDAS!$G$2:$G$1000,"OK*"))</f>
        <v/>
      </c>
      <c r="E128" s="2">
        <f>IF(A128="","",MAX(0,C128-D128))</f>
        <v/>
      </c>
      <c r="F128" s="2">
        <f>IF(A128="","",IF(E128=0,"COMPLETO","FALTA"))</f>
        <v/>
      </c>
    </row>
    <row r="129">
      <c r="A129" s="2" t="inlineStr"/>
      <c r="B129" s="2" t="inlineStr"/>
      <c r="C129" s="2" t="inlineStr"/>
      <c r="D129" s="2">
        <f>IF(A129="","",COUNTIFS(SALIDAS!$C$2:$C$1000,A129,SALIDAS!$E$2:$E$1000,B129,SALIDAS!$G$2:$G$1000,"OK*"))</f>
        <v/>
      </c>
      <c r="E129" s="2">
        <f>IF(A129="","",MAX(0,C129-D129))</f>
        <v/>
      </c>
      <c r="F129" s="2">
        <f>IF(A129="","",IF(E129=0,"COMPLETO","FALTA"))</f>
        <v/>
      </c>
    </row>
    <row r="130">
      <c r="A130" s="2" t="inlineStr"/>
      <c r="B130" s="2" t="inlineStr"/>
      <c r="C130" s="2" t="inlineStr"/>
      <c r="D130" s="2">
        <f>IF(A130="","",COUNTIFS(SALIDAS!$C$2:$C$1000,A130,SALIDAS!$E$2:$E$1000,B130,SALIDAS!$G$2:$G$1000,"OK*"))</f>
        <v/>
      </c>
      <c r="E130" s="2">
        <f>IF(A130="","",MAX(0,C130-D130))</f>
        <v/>
      </c>
      <c r="F130" s="2">
        <f>IF(A130="","",IF(E130=0,"COMPLETO","FALTA"))</f>
        <v/>
      </c>
    </row>
    <row r="131">
      <c r="A131" s="2" t="inlineStr"/>
      <c r="B131" s="2" t="inlineStr"/>
      <c r="C131" s="2" t="inlineStr"/>
      <c r="D131" s="2">
        <f>IF(A131="","",COUNTIFS(SALIDAS!$C$2:$C$1000,A131,SALIDAS!$E$2:$E$1000,B131,SALIDAS!$G$2:$G$1000,"OK*"))</f>
        <v/>
      </c>
      <c r="E131" s="2">
        <f>IF(A131="","",MAX(0,C131-D131))</f>
        <v/>
      </c>
      <c r="F131" s="2">
        <f>IF(A131="","",IF(E131=0,"COMPLETO","FALTA"))</f>
        <v/>
      </c>
    </row>
    <row r="132">
      <c r="A132" s="2" t="inlineStr"/>
      <c r="B132" s="2" t="inlineStr"/>
      <c r="C132" s="2" t="inlineStr"/>
      <c r="D132" s="2">
        <f>IF(A132="","",COUNTIFS(SALIDAS!$C$2:$C$1000,A132,SALIDAS!$E$2:$E$1000,B132,SALIDAS!$G$2:$G$1000,"OK*"))</f>
        <v/>
      </c>
      <c r="E132" s="2">
        <f>IF(A132="","",MAX(0,C132-D132))</f>
        <v/>
      </c>
      <c r="F132" s="2">
        <f>IF(A132="","",IF(E132=0,"COMPLETO","FALTA"))</f>
        <v/>
      </c>
    </row>
    <row r="133">
      <c r="A133" s="2" t="inlineStr"/>
      <c r="B133" s="2" t="inlineStr"/>
      <c r="C133" s="2" t="inlineStr"/>
      <c r="D133" s="2">
        <f>IF(A133="","",COUNTIFS(SALIDAS!$C$2:$C$1000,A133,SALIDAS!$E$2:$E$1000,B133,SALIDAS!$G$2:$G$1000,"OK*"))</f>
        <v/>
      </c>
      <c r="E133" s="2">
        <f>IF(A133="","",MAX(0,C133-D133))</f>
        <v/>
      </c>
      <c r="F133" s="2">
        <f>IF(A133="","",IF(E133=0,"COMPLETO","FALTA"))</f>
        <v/>
      </c>
    </row>
    <row r="134">
      <c r="A134" s="2" t="inlineStr"/>
      <c r="B134" s="2" t="inlineStr"/>
      <c r="C134" s="2" t="inlineStr"/>
      <c r="D134" s="2">
        <f>IF(A134="","",COUNTIFS(SALIDAS!$C$2:$C$1000,A134,SALIDAS!$E$2:$E$1000,B134,SALIDAS!$G$2:$G$1000,"OK*"))</f>
        <v/>
      </c>
      <c r="E134" s="2">
        <f>IF(A134="","",MAX(0,C134-D134))</f>
        <v/>
      </c>
      <c r="F134" s="2">
        <f>IF(A134="","",IF(E134=0,"COMPLETO","FALTA"))</f>
        <v/>
      </c>
    </row>
    <row r="135">
      <c r="A135" s="2" t="inlineStr"/>
      <c r="B135" s="2" t="inlineStr"/>
      <c r="C135" s="2" t="inlineStr"/>
      <c r="D135" s="2">
        <f>IF(A135="","",COUNTIFS(SALIDAS!$C$2:$C$1000,A135,SALIDAS!$E$2:$E$1000,B135,SALIDAS!$G$2:$G$1000,"OK*"))</f>
        <v/>
      </c>
      <c r="E135" s="2">
        <f>IF(A135="","",MAX(0,C135-D135))</f>
        <v/>
      </c>
      <c r="F135" s="2">
        <f>IF(A135="","",IF(E135=0,"COMPLETO","FALTA"))</f>
        <v/>
      </c>
    </row>
    <row r="136">
      <c r="A136" s="2" t="inlineStr"/>
      <c r="B136" s="2" t="inlineStr"/>
      <c r="C136" s="2" t="inlineStr"/>
      <c r="D136" s="2">
        <f>IF(A136="","",COUNTIFS(SALIDAS!$C$2:$C$1000,A136,SALIDAS!$E$2:$E$1000,B136,SALIDAS!$G$2:$G$1000,"OK*"))</f>
        <v/>
      </c>
      <c r="E136" s="2">
        <f>IF(A136="","",MAX(0,C136-D136))</f>
        <v/>
      </c>
      <c r="F136" s="2">
        <f>IF(A136="","",IF(E136=0,"COMPLETO","FALTA"))</f>
        <v/>
      </c>
    </row>
    <row r="137">
      <c r="A137" s="2" t="inlineStr"/>
      <c r="B137" s="2" t="inlineStr"/>
      <c r="C137" s="2" t="inlineStr"/>
      <c r="D137" s="2">
        <f>IF(A137="","",COUNTIFS(SALIDAS!$C$2:$C$1000,A137,SALIDAS!$E$2:$E$1000,B137,SALIDAS!$G$2:$G$1000,"OK*"))</f>
        <v/>
      </c>
      <c r="E137" s="2">
        <f>IF(A137="","",MAX(0,C137-D137))</f>
        <v/>
      </c>
      <c r="F137" s="2">
        <f>IF(A137="","",IF(E137=0,"COMPLETO","FALTA"))</f>
        <v/>
      </c>
    </row>
    <row r="138">
      <c r="A138" s="2" t="inlineStr"/>
      <c r="B138" s="2" t="inlineStr"/>
      <c r="C138" s="2" t="inlineStr"/>
      <c r="D138" s="2">
        <f>IF(A138="","",COUNTIFS(SALIDAS!$C$2:$C$1000,A138,SALIDAS!$E$2:$E$1000,B138,SALIDAS!$G$2:$G$1000,"OK*"))</f>
        <v/>
      </c>
      <c r="E138" s="2">
        <f>IF(A138="","",MAX(0,C138-D138))</f>
        <v/>
      </c>
      <c r="F138" s="2">
        <f>IF(A138="","",IF(E138=0,"COMPLETO","FALTA"))</f>
        <v/>
      </c>
    </row>
    <row r="139">
      <c r="A139" s="2" t="inlineStr"/>
      <c r="B139" s="2" t="inlineStr"/>
      <c r="C139" s="2" t="inlineStr"/>
      <c r="D139" s="2">
        <f>IF(A139="","",COUNTIFS(SALIDAS!$C$2:$C$1000,A139,SALIDAS!$E$2:$E$1000,B139,SALIDAS!$G$2:$G$1000,"OK*"))</f>
        <v/>
      </c>
      <c r="E139" s="2">
        <f>IF(A139="","",MAX(0,C139-D139))</f>
        <v/>
      </c>
      <c r="F139" s="2">
        <f>IF(A139="","",IF(E139=0,"COMPLETO","FALTA"))</f>
        <v/>
      </c>
    </row>
    <row r="140">
      <c r="A140" s="2" t="inlineStr"/>
      <c r="B140" s="2" t="inlineStr"/>
      <c r="C140" s="2" t="inlineStr"/>
      <c r="D140" s="2">
        <f>IF(A140="","",COUNTIFS(SALIDAS!$C$2:$C$1000,A140,SALIDAS!$E$2:$E$1000,B140,SALIDAS!$G$2:$G$1000,"OK*"))</f>
        <v/>
      </c>
      <c r="E140" s="2">
        <f>IF(A140="","",MAX(0,C140-D140))</f>
        <v/>
      </c>
      <c r="F140" s="2">
        <f>IF(A140="","",IF(E140=0,"COMPLETO","FALTA"))</f>
        <v/>
      </c>
    </row>
    <row r="141">
      <c r="A141" s="2" t="inlineStr"/>
      <c r="B141" s="2" t="inlineStr"/>
      <c r="C141" s="2" t="inlineStr"/>
      <c r="D141" s="2">
        <f>IF(A141="","",COUNTIFS(SALIDAS!$C$2:$C$1000,A141,SALIDAS!$E$2:$E$1000,B141,SALIDAS!$G$2:$G$1000,"OK*"))</f>
        <v/>
      </c>
      <c r="E141" s="2">
        <f>IF(A141="","",MAX(0,C141-D141))</f>
        <v/>
      </c>
      <c r="F141" s="2">
        <f>IF(A141="","",IF(E141=0,"COMPLETO","FALTA"))</f>
        <v/>
      </c>
    </row>
    <row r="142">
      <c r="A142" s="2" t="inlineStr"/>
      <c r="B142" s="2" t="inlineStr"/>
      <c r="C142" s="2" t="inlineStr"/>
      <c r="D142" s="2">
        <f>IF(A142="","",COUNTIFS(SALIDAS!$C$2:$C$1000,A142,SALIDAS!$E$2:$E$1000,B142,SALIDAS!$G$2:$G$1000,"OK*"))</f>
        <v/>
      </c>
      <c r="E142" s="2">
        <f>IF(A142="","",MAX(0,C142-D142))</f>
        <v/>
      </c>
      <c r="F142" s="2">
        <f>IF(A142="","",IF(E142=0,"COMPLETO","FALTA"))</f>
        <v/>
      </c>
    </row>
    <row r="143">
      <c r="A143" s="2" t="inlineStr"/>
      <c r="B143" s="2" t="inlineStr"/>
      <c r="C143" s="2" t="inlineStr"/>
      <c r="D143" s="2">
        <f>IF(A143="","",COUNTIFS(SALIDAS!$C$2:$C$1000,A143,SALIDAS!$E$2:$E$1000,B143,SALIDAS!$G$2:$G$1000,"OK*"))</f>
        <v/>
      </c>
      <c r="E143" s="2">
        <f>IF(A143="","",MAX(0,C143-D143))</f>
        <v/>
      </c>
      <c r="F143" s="2">
        <f>IF(A143="","",IF(E143=0,"COMPLETO","FALTA"))</f>
        <v/>
      </c>
    </row>
    <row r="144">
      <c r="A144" s="2" t="inlineStr"/>
      <c r="B144" s="2" t="inlineStr"/>
      <c r="C144" s="2" t="inlineStr"/>
      <c r="D144" s="2">
        <f>IF(A144="","",COUNTIFS(SALIDAS!$C$2:$C$1000,A144,SALIDAS!$E$2:$E$1000,B144,SALIDAS!$G$2:$G$1000,"OK*"))</f>
        <v/>
      </c>
      <c r="E144" s="2">
        <f>IF(A144="","",MAX(0,C144-D144))</f>
        <v/>
      </c>
      <c r="F144" s="2">
        <f>IF(A144="","",IF(E144=0,"COMPLETO","FALTA"))</f>
        <v/>
      </c>
    </row>
    <row r="145">
      <c r="A145" s="2" t="inlineStr"/>
      <c r="B145" s="2" t="inlineStr"/>
      <c r="C145" s="2" t="inlineStr"/>
      <c r="D145" s="2">
        <f>IF(A145="","",COUNTIFS(SALIDAS!$C$2:$C$1000,A145,SALIDAS!$E$2:$E$1000,B145,SALIDAS!$G$2:$G$1000,"OK*"))</f>
        <v/>
      </c>
      <c r="E145" s="2">
        <f>IF(A145="","",MAX(0,C145-D145))</f>
        <v/>
      </c>
      <c r="F145" s="2">
        <f>IF(A145="","",IF(E145=0,"COMPLETO","FALTA"))</f>
        <v/>
      </c>
    </row>
    <row r="146">
      <c r="A146" s="2" t="inlineStr"/>
      <c r="B146" s="2" t="inlineStr"/>
      <c r="C146" s="2" t="inlineStr"/>
      <c r="D146" s="2">
        <f>IF(A146="","",COUNTIFS(SALIDAS!$C$2:$C$1000,A146,SALIDAS!$E$2:$E$1000,B146,SALIDAS!$G$2:$G$1000,"OK*"))</f>
        <v/>
      </c>
      <c r="E146" s="2">
        <f>IF(A146="","",MAX(0,C146-D146))</f>
        <v/>
      </c>
      <c r="F146" s="2">
        <f>IF(A146="","",IF(E146=0,"COMPLETO","FALTA"))</f>
        <v/>
      </c>
    </row>
    <row r="147">
      <c r="A147" s="2" t="inlineStr"/>
      <c r="B147" s="2" t="inlineStr"/>
      <c r="C147" s="2" t="inlineStr"/>
      <c r="D147" s="2">
        <f>IF(A147="","",COUNTIFS(SALIDAS!$C$2:$C$1000,A147,SALIDAS!$E$2:$E$1000,B147,SALIDAS!$G$2:$G$1000,"OK*"))</f>
        <v/>
      </c>
      <c r="E147" s="2">
        <f>IF(A147="","",MAX(0,C147-D147))</f>
        <v/>
      </c>
      <c r="F147" s="2">
        <f>IF(A147="","",IF(E147=0,"COMPLETO","FALTA"))</f>
        <v/>
      </c>
    </row>
    <row r="148">
      <c r="A148" s="2" t="inlineStr"/>
      <c r="B148" s="2" t="inlineStr"/>
      <c r="C148" s="2" t="inlineStr"/>
      <c r="D148" s="2">
        <f>IF(A148="","",COUNTIFS(SALIDAS!$C$2:$C$1000,A148,SALIDAS!$E$2:$E$1000,B148,SALIDAS!$G$2:$G$1000,"OK*"))</f>
        <v/>
      </c>
      <c r="E148" s="2">
        <f>IF(A148="","",MAX(0,C148-D148))</f>
        <v/>
      </c>
      <c r="F148" s="2">
        <f>IF(A148="","",IF(E148=0,"COMPLETO","FALTA"))</f>
        <v/>
      </c>
    </row>
    <row r="149">
      <c r="A149" s="2" t="inlineStr"/>
      <c r="B149" s="2" t="inlineStr"/>
      <c r="C149" s="2" t="inlineStr"/>
      <c r="D149" s="2">
        <f>IF(A149="","",COUNTIFS(SALIDAS!$C$2:$C$1000,A149,SALIDAS!$E$2:$E$1000,B149,SALIDAS!$G$2:$G$1000,"OK*"))</f>
        <v/>
      </c>
      <c r="E149" s="2">
        <f>IF(A149="","",MAX(0,C149-D149))</f>
        <v/>
      </c>
      <c r="F149" s="2">
        <f>IF(A149="","",IF(E149=0,"COMPLETO","FALTA"))</f>
        <v/>
      </c>
    </row>
    <row r="150">
      <c r="A150" s="2" t="inlineStr"/>
      <c r="B150" s="2" t="inlineStr"/>
      <c r="C150" s="2" t="inlineStr"/>
      <c r="D150" s="2">
        <f>IF(A150="","",COUNTIFS(SALIDAS!$C$2:$C$1000,A150,SALIDAS!$E$2:$E$1000,B150,SALIDAS!$G$2:$G$1000,"OK*"))</f>
        <v/>
      </c>
      <c r="E150" s="2">
        <f>IF(A150="","",MAX(0,C150-D150))</f>
        <v/>
      </c>
      <c r="F150" s="2">
        <f>IF(A150="","",IF(E150=0,"COMPLETO","FALTA"))</f>
        <v/>
      </c>
    </row>
    <row r="151">
      <c r="A151" s="2" t="inlineStr"/>
      <c r="B151" s="2" t="inlineStr"/>
      <c r="C151" s="2" t="inlineStr"/>
      <c r="D151" s="2">
        <f>IF(A151="","",COUNTIFS(SALIDAS!$C$2:$C$1000,A151,SALIDAS!$E$2:$E$1000,B151,SALIDAS!$G$2:$G$1000,"OK*"))</f>
        <v/>
      </c>
      <c r="E151" s="2">
        <f>IF(A151="","",MAX(0,C151-D151))</f>
        <v/>
      </c>
      <c r="F151" s="2">
        <f>IF(A151="","",IF(E151=0,"COMPLETO","FALTA"))</f>
        <v/>
      </c>
    </row>
    <row r="152">
      <c r="A152" s="2" t="inlineStr"/>
      <c r="B152" s="2" t="inlineStr"/>
      <c r="C152" s="2" t="inlineStr"/>
      <c r="D152" s="2">
        <f>IF(A152="","",COUNTIFS(SALIDAS!$C$2:$C$1000,A152,SALIDAS!$E$2:$E$1000,B152,SALIDAS!$G$2:$G$1000,"OK*"))</f>
        <v/>
      </c>
      <c r="E152" s="2">
        <f>IF(A152="","",MAX(0,C152-D152))</f>
        <v/>
      </c>
      <c r="F152" s="2">
        <f>IF(A152="","",IF(E152=0,"COMPLETO","FALTA"))</f>
        <v/>
      </c>
    </row>
    <row r="153">
      <c r="A153" s="2" t="inlineStr"/>
      <c r="B153" s="2" t="inlineStr"/>
      <c r="C153" s="2" t="inlineStr"/>
      <c r="D153" s="2">
        <f>IF(A153="","",COUNTIFS(SALIDAS!$C$2:$C$1000,A153,SALIDAS!$E$2:$E$1000,B153,SALIDAS!$G$2:$G$1000,"OK*"))</f>
        <v/>
      </c>
      <c r="E153" s="2">
        <f>IF(A153="","",MAX(0,C153-D153))</f>
        <v/>
      </c>
      <c r="F153" s="2">
        <f>IF(A153="","",IF(E153=0,"COMPLETO","FALTA"))</f>
        <v/>
      </c>
    </row>
    <row r="154">
      <c r="A154" s="2" t="inlineStr"/>
      <c r="B154" s="2" t="inlineStr"/>
      <c r="C154" s="2" t="inlineStr"/>
      <c r="D154" s="2">
        <f>IF(A154="","",COUNTIFS(SALIDAS!$C$2:$C$1000,A154,SALIDAS!$E$2:$E$1000,B154,SALIDAS!$G$2:$G$1000,"OK*"))</f>
        <v/>
      </c>
      <c r="E154" s="2">
        <f>IF(A154="","",MAX(0,C154-D154))</f>
        <v/>
      </c>
      <c r="F154" s="2">
        <f>IF(A154="","",IF(E154=0,"COMPLETO","FALTA"))</f>
        <v/>
      </c>
    </row>
    <row r="155">
      <c r="A155" s="2" t="inlineStr"/>
      <c r="B155" s="2" t="inlineStr"/>
      <c r="C155" s="2" t="inlineStr"/>
      <c r="D155" s="2">
        <f>IF(A155="","",COUNTIFS(SALIDAS!$C$2:$C$1000,A155,SALIDAS!$E$2:$E$1000,B155,SALIDAS!$G$2:$G$1000,"OK*"))</f>
        <v/>
      </c>
      <c r="E155" s="2">
        <f>IF(A155="","",MAX(0,C155-D155))</f>
        <v/>
      </c>
      <c r="F155" s="2">
        <f>IF(A155="","",IF(E155=0,"COMPLETO","FALTA"))</f>
        <v/>
      </c>
    </row>
    <row r="156">
      <c r="A156" s="2" t="inlineStr"/>
      <c r="B156" s="2" t="inlineStr"/>
      <c r="C156" s="2" t="inlineStr"/>
      <c r="D156" s="2">
        <f>IF(A156="","",COUNTIFS(SALIDAS!$C$2:$C$1000,A156,SALIDAS!$E$2:$E$1000,B156,SALIDAS!$G$2:$G$1000,"OK*"))</f>
        <v/>
      </c>
      <c r="E156" s="2">
        <f>IF(A156="","",MAX(0,C156-D156))</f>
        <v/>
      </c>
      <c r="F156" s="2">
        <f>IF(A156="","",IF(E156=0,"COMPLETO","FALTA"))</f>
        <v/>
      </c>
    </row>
    <row r="157">
      <c r="A157" s="2" t="inlineStr"/>
      <c r="B157" s="2" t="inlineStr"/>
      <c r="C157" s="2" t="inlineStr"/>
      <c r="D157" s="2">
        <f>IF(A157="","",COUNTIFS(SALIDAS!$C$2:$C$1000,A157,SALIDAS!$E$2:$E$1000,B157,SALIDAS!$G$2:$G$1000,"OK*"))</f>
        <v/>
      </c>
      <c r="E157" s="2">
        <f>IF(A157="","",MAX(0,C157-D157))</f>
        <v/>
      </c>
      <c r="F157" s="2">
        <f>IF(A157="","",IF(E157=0,"COMPLETO","FALTA"))</f>
        <v/>
      </c>
    </row>
    <row r="158">
      <c r="A158" s="2" t="inlineStr"/>
      <c r="B158" s="2" t="inlineStr"/>
      <c r="C158" s="2" t="inlineStr"/>
      <c r="D158" s="2">
        <f>IF(A158="","",COUNTIFS(SALIDAS!$C$2:$C$1000,A158,SALIDAS!$E$2:$E$1000,B158,SALIDAS!$G$2:$G$1000,"OK*"))</f>
        <v/>
      </c>
      <c r="E158" s="2">
        <f>IF(A158="","",MAX(0,C158-D158))</f>
        <v/>
      </c>
      <c r="F158" s="2">
        <f>IF(A158="","",IF(E158=0,"COMPLETO","FALTA"))</f>
        <v/>
      </c>
    </row>
    <row r="159">
      <c r="A159" s="2" t="inlineStr"/>
      <c r="B159" s="2" t="inlineStr"/>
      <c r="C159" s="2" t="inlineStr"/>
      <c r="D159" s="2">
        <f>IF(A159="","",COUNTIFS(SALIDAS!$C$2:$C$1000,A159,SALIDAS!$E$2:$E$1000,B159,SALIDAS!$G$2:$G$1000,"OK*"))</f>
        <v/>
      </c>
      <c r="E159" s="2">
        <f>IF(A159="","",MAX(0,C159-D159))</f>
        <v/>
      </c>
      <c r="F159" s="2">
        <f>IF(A159="","",IF(E159=0,"COMPLETO","FALTA"))</f>
        <v/>
      </c>
    </row>
    <row r="160">
      <c r="A160" s="2" t="inlineStr"/>
      <c r="B160" s="2" t="inlineStr"/>
      <c r="C160" s="2" t="inlineStr"/>
      <c r="D160" s="2">
        <f>IF(A160="","",COUNTIFS(SALIDAS!$C$2:$C$1000,A160,SALIDAS!$E$2:$E$1000,B160,SALIDAS!$G$2:$G$1000,"OK*"))</f>
        <v/>
      </c>
      <c r="E160" s="2">
        <f>IF(A160="","",MAX(0,C160-D160))</f>
        <v/>
      </c>
      <c r="F160" s="2">
        <f>IF(A160="","",IF(E160=0,"COMPLETO","FALTA"))</f>
        <v/>
      </c>
    </row>
    <row r="161">
      <c r="A161" s="2" t="inlineStr"/>
      <c r="B161" s="2" t="inlineStr"/>
      <c r="C161" s="2" t="inlineStr"/>
      <c r="D161" s="2">
        <f>IF(A161="","",COUNTIFS(SALIDAS!$C$2:$C$1000,A161,SALIDAS!$E$2:$E$1000,B161,SALIDAS!$G$2:$G$1000,"OK*"))</f>
        <v/>
      </c>
      <c r="E161" s="2">
        <f>IF(A161="","",MAX(0,C161-D161))</f>
        <v/>
      </c>
      <c r="F161" s="2">
        <f>IF(A161="","",IF(E161=0,"COMPLETO","FALTA"))</f>
        <v/>
      </c>
    </row>
    <row r="162">
      <c r="A162" s="2" t="inlineStr"/>
      <c r="B162" s="2" t="inlineStr"/>
      <c r="C162" s="2" t="inlineStr"/>
      <c r="D162" s="2">
        <f>IF(A162="","",COUNTIFS(SALIDAS!$C$2:$C$1000,A162,SALIDAS!$E$2:$E$1000,B162,SALIDAS!$G$2:$G$1000,"OK*"))</f>
        <v/>
      </c>
      <c r="E162" s="2">
        <f>IF(A162="","",MAX(0,C162-D162))</f>
        <v/>
      </c>
      <c r="F162" s="2">
        <f>IF(A162="","",IF(E162=0,"COMPLETO","FALTA"))</f>
        <v/>
      </c>
    </row>
    <row r="163">
      <c r="A163" s="2" t="inlineStr"/>
      <c r="B163" s="2" t="inlineStr"/>
      <c r="C163" s="2" t="inlineStr"/>
      <c r="D163" s="2">
        <f>IF(A163="","",COUNTIFS(SALIDAS!$C$2:$C$1000,A163,SALIDAS!$E$2:$E$1000,B163,SALIDAS!$G$2:$G$1000,"OK*"))</f>
        <v/>
      </c>
      <c r="E163" s="2">
        <f>IF(A163="","",MAX(0,C163-D163))</f>
        <v/>
      </c>
      <c r="F163" s="2">
        <f>IF(A163="","",IF(E163=0,"COMPLETO","FALTA"))</f>
        <v/>
      </c>
    </row>
    <row r="164">
      <c r="A164" s="2" t="inlineStr"/>
      <c r="B164" s="2" t="inlineStr"/>
      <c r="C164" s="2" t="inlineStr"/>
      <c r="D164" s="2">
        <f>IF(A164="","",COUNTIFS(SALIDAS!$C$2:$C$1000,A164,SALIDAS!$E$2:$E$1000,B164,SALIDAS!$G$2:$G$1000,"OK*"))</f>
        <v/>
      </c>
      <c r="E164" s="2">
        <f>IF(A164="","",MAX(0,C164-D164))</f>
        <v/>
      </c>
      <c r="F164" s="2">
        <f>IF(A164="","",IF(E164=0,"COMPLETO","FALTA"))</f>
        <v/>
      </c>
    </row>
    <row r="165">
      <c r="A165" s="2" t="inlineStr"/>
      <c r="B165" s="2" t="inlineStr"/>
      <c r="C165" s="2" t="inlineStr"/>
      <c r="D165" s="2">
        <f>IF(A165="","",COUNTIFS(SALIDAS!$C$2:$C$1000,A165,SALIDAS!$E$2:$E$1000,B165,SALIDAS!$G$2:$G$1000,"OK*"))</f>
        <v/>
      </c>
      <c r="E165" s="2">
        <f>IF(A165="","",MAX(0,C165-D165))</f>
        <v/>
      </c>
      <c r="F165" s="2">
        <f>IF(A165="","",IF(E165=0,"COMPLETO","FALTA"))</f>
        <v/>
      </c>
    </row>
    <row r="166">
      <c r="A166" s="2" t="inlineStr"/>
      <c r="B166" s="2" t="inlineStr"/>
      <c r="C166" s="2" t="inlineStr"/>
      <c r="D166" s="2">
        <f>IF(A166="","",COUNTIFS(SALIDAS!$C$2:$C$1000,A166,SALIDAS!$E$2:$E$1000,B166,SALIDAS!$G$2:$G$1000,"OK*"))</f>
        <v/>
      </c>
      <c r="E166" s="2">
        <f>IF(A166="","",MAX(0,C166-D166))</f>
        <v/>
      </c>
      <c r="F166" s="2">
        <f>IF(A166="","",IF(E166=0,"COMPLETO","FALTA"))</f>
        <v/>
      </c>
    </row>
    <row r="167">
      <c r="A167" s="2" t="inlineStr"/>
      <c r="B167" s="2" t="inlineStr"/>
      <c r="C167" s="2" t="inlineStr"/>
      <c r="D167" s="2">
        <f>IF(A167="","",COUNTIFS(SALIDAS!$C$2:$C$1000,A167,SALIDAS!$E$2:$E$1000,B167,SALIDAS!$G$2:$G$1000,"OK*"))</f>
        <v/>
      </c>
      <c r="E167" s="2">
        <f>IF(A167="","",MAX(0,C167-D167))</f>
        <v/>
      </c>
      <c r="F167" s="2">
        <f>IF(A167="","",IF(E167=0,"COMPLETO","FALTA"))</f>
        <v/>
      </c>
    </row>
    <row r="168">
      <c r="A168" s="2" t="inlineStr"/>
      <c r="B168" s="2" t="inlineStr"/>
      <c r="C168" s="2" t="inlineStr"/>
      <c r="D168" s="2">
        <f>IF(A168="","",COUNTIFS(SALIDAS!$C$2:$C$1000,A168,SALIDAS!$E$2:$E$1000,B168,SALIDAS!$G$2:$G$1000,"OK*"))</f>
        <v/>
      </c>
      <c r="E168" s="2">
        <f>IF(A168="","",MAX(0,C168-D168))</f>
        <v/>
      </c>
      <c r="F168" s="2">
        <f>IF(A168="","",IF(E168=0,"COMPLETO","FALTA"))</f>
        <v/>
      </c>
    </row>
    <row r="169">
      <c r="A169" s="2" t="inlineStr"/>
      <c r="B169" s="2" t="inlineStr"/>
      <c r="C169" s="2" t="inlineStr"/>
      <c r="D169" s="2">
        <f>IF(A169="","",COUNTIFS(SALIDAS!$C$2:$C$1000,A169,SALIDAS!$E$2:$E$1000,B169,SALIDAS!$G$2:$G$1000,"OK*"))</f>
        <v/>
      </c>
      <c r="E169" s="2">
        <f>IF(A169="","",MAX(0,C169-D169))</f>
        <v/>
      </c>
      <c r="F169" s="2">
        <f>IF(A169="","",IF(E169=0,"COMPLETO","FALTA"))</f>
        <v/>
      </c>
    </row>
    <row r="170">
      <c r="A170" s="2" t="inlineStr"/>
      <c r="B170" s="2" t="inlineStr"/>
      <c r="C170" s="2" t="inlineStr"/>
      <c r="D170" s="2">
        <f>IF(A170="","",COUNTIFS(SALIDAS!$C$2:$C$1000,A170,SALIDAS!$E$2:$E$1000,B170,SALIDAS!$G$2:$G$1000,"OK*"))</f>
        <v/>
      </c>
      <c r="E170" s="2">
        <f>IF(A170="","",MAX(0,C170-D170))</f>
        <v/>
      </c>
      <c r="F170" s="2">
        <f>IF(A170="","",IF(E170=0,"COMPLETO","FALTA"))</f>
        <v/>
      </c>
    </row>
    <row r="171">
      <c r="A171" s="2" t="inlineStr"/>
      <c r="B171" s="2" t="inlineStr"/>
      <c r="C171" s="2" t="inlineStr"/>
      <c r="D171" s="2">
        <f>IF(A171="","",COUNTIFS(SALIDAS!$C$2:$C$1000,A171,SALIDAS!$E$2:$E$1000,B171,SALIDAS!$G$2:$G$1000,"OK*"))</f>
        <v/>
      </c>
      <c r="E171" s="2">
        <f>IF(A171="","",MAX(0,C171-D171))</f>
        <v/>
      </c>
      <c r="F171" s="2">
        <f>IF(A171="","",IF(E171=0,"COMPLETO","FALTA"))</f>
        <v/>
      </c>
    </row>
    <row r="172">
      <c r="A172" s="2" t="inlineStr"/>
      <c r="B172" s="2" t="inlineStr"/>
      <c r="C172" s="2" t="inlineStr"/>
      <c r="D172" s="2">
        <f>IF(A172="","",COUNTIFS(SALIDAS!$C$2:$C$1000,A172,SALIDAS!$E$2:$E$1000,B172,SALIDAS!$G$2:$G$1000,"OK*"))</f>
        <v/>
      </c>
      <c r="E172" s="2">
        <f>IF(A172="","",MAX(0,C172-D172))</f>
        <v/>
      </c>
      <c r="F172" s="2">
        <f>IF(A172="","",IF(E172=0,"COMPLETO","FALTA"))</f>
        <v/>
      </c>
    </row>
    <row r="173">
      <c r="A173" s="2" t="inlineStr"/>
      <c r="B173" s="2" t="inlineStr"/>
      <c r="C173" s="2" t="inlineStr"/>
      <c r="D173" s="2">
        <f>IF(A173="","",COUNTIFS(SALIDAS!$C$2:$C$1000,A173,SALIDAS!$E$2:$E$1000,B173,SALIDAS!$G$2:$G$1000,"OK*"))</f>
        <v/>
      </c>
      <c r="E173" s="2">
        <f>IF(A173="","",MAX(0,C173-D173))</f>
        <v/>
      </c>
      <c r="F173" s="2">
        <f>IF(A173="","",IF(E173=0,"COMPLETO","FALTA"))</f>
        <v/>
      </c>
    </row>
    <row r="174">
      <c r="A174" s="2" t="inlineStr"/>
      <c r="B174" s="2" t="inlineStr"/>
      <c r="C174" s="2" t="inlineStr"/>
      <c r="D174" s="2">
        <f>IF(A174="","",COUNTIFS(SALIDAS!$C$2:$C$1000,A174,SALIDAS!$E$2:$E$1000,B174,SALIDAS!$G$2:$G$1000,"OK*"))</f>
        <v/>
      </c>
      <c r="E174" s="2">
        <f>IF(A174="","",MAX(0,C174-D174))</f>
        <v/>
      </c>
      <c r="F174" s="2">
        <f>IF(A174="","",IF(E174=0,"COMPLETO","FALTA"))</f>
        <v/>
      </c>
    </row>
    <row r="175">
      <c r="A175" s="2" t="inlineStr"/>
      <c r="B175" s="2" t="inlineStr"/>
      <c r="C175" s="2" t="inlineStr"/>
      <c r="D175" s="2">
        <f>IF(A175="","",COUNTIFS(SALIDAS!$C$2:$C$1000,A175,SALIDAS!$E$2:$E$1000,B175,SALIDAS!$G$2:$G$1000,"OK*"))</f>
        <v/>
      </c>
      <c r="E175" s="2">
        <f>IF(A175="","",MAX(0,C175-D175))</f>
        <v/>
      </c>
      <c r="F175" s="2">
        <f>IF(A175="","",IF(E175=0,"COMPLETO","FALTA"))</f>
        <v/>
      </c>
    </row>
    <row r="176">
      <c r="A176" s="2" t="inlineStr"/>
      <c r="B176" s="2" t="inlineStr"/>
      <c r="C176" s="2" t="inlineStr"/>
      <c r="D176" s="2">
        <f>IF(A176="","",COUNTIFS(SALIDAS!$C$2:$C$1000,A176,SALIDAS!$E$2:$E$1000,B176,SALIDAS!$G$2:$G$1000,"OK*"))</f>
        <v/>
      </c>
      <c r="E176" s="2">
        <f>IF(A176="","",MAX(0,C176-D176))</f>
        <v/>
      </c>
      <c r="F176" s="2">
        <f>IF(A176="","",IF(E176=0,"COMPLETO","FALTA"))</f>
        <v/>
      </c>
    </row>
    <row r="177">
      <c r="A177" s="2" t="inlineStr"/>
      <c r="B177" s="2" t="inlineStr"/>
      <c r="C177" s="2" t="inlineStr"/>
      <c r="D177" s="2">
        <f>IF(A177="","",COUNTIFS(SALIDAS!$C$2:$C$1000,A177,SALIDAS!$E$2:$E$1000,B177,SALIDAS!$G$2:$G$1000,"OK*"))</f>
        <v/>
      </c>
      <c r="E177" s="2">
        <f>IF(A177="","",MAX(0,C177-D177))</f>
        <v/>
      </c>
      <c r="F177" s="2">
        <f>IF(A177="","",IF(E177=0,"COMPLETO","FALTA"))</f>
        <v/>
      </c>
    </row>
    <row r="178">
      <c r="A178" s="2" t="inlineStr"/>
      <c r="B178" s="2" t="inlineStr"/>
      <c r="C178" s="2" t="inlineStr"/>
      <c r="D178" s="2">
        <f>IF(A178="","",COUNTIFS(SALIDAS!$C$2:$C$1000,A178,SALIDAS!$E$2:$E$1000,B178,SALIDAS!$G$2:$G$1000,"OK*"))</f>
        <v/>
      </c>
      <c r="E178" s="2">
        <f>IF(A178="","",MAX(0,C178-D178))</f>
        <v/>
      </c>
      <c r="F178" s="2">
        <f>IF(A178="","",IF(E178=0,"COMPLETO","FALTA"))</f>
        <v/>
      </c>
    </row>
    <row r="179">
      <c r="A179" s="2" t="inlineStr"/>
      <c r="B179" s="2" t="inlineStr"/>
      <c r="C179" s="2" t="inlineStr"/>
      <c r="D179" s="2">
        <f>IF(A179="","",COUNTIFS(SALIDAS!$C$2:$C$1000,A179,SALIDAS!$E$2:$E$1000,B179,SALIDAS!$G$2:$G$1000,"OK*"))</f>
        <v/>
      </c>
      <c r="E179" s="2">
        <f>IF(A179="","",MAX(0,C179-D179))</f>
        <v/>
      </c>
      <c r="F179" s="2">
        <f>IF(A179="","",IF(E179=0,"COMPLETO","FALTA"))</f>
        <v/>
      </c>
    </row>
    <row r="180">
      <c r="A180" s="2" t="inlineStr"/>
      <c r="B180" s="2" t="inlineStr"/>
      <c r="C180" s="2" t="inlineStr"/>
      <c r="D180" s="2">
        <f>IF(A180="","",COUNTIFS(SALIDAS!$C$2:$C$1000,A180,SALIDAS!$E$2:$E$1000,B180,SALIDAS!$G$2:$G$1000,"OK*"))</f>
        <v/>
      </c>
      <c r="E180" s="2">
        <f>IF(A180="","",MAX(0,C180-D180))</f>
        <v/>
      </c>
      <c r="F180" s="2">
        <f>IF(A180="","",IF(E180=0,"COMPLETO","FALTA"))</f>
        <v/>
      </c>
    </row>
    <row r="181">
      <c r="A181" s="2" t="inlineStr"/>
      <c r="B181" s="2" t="inlineStr"/>
      <c r="C181" s="2" t="inlineStr"/>
      <c r="D181" s="2">
        <f>IF(A181="","",COUNTIFS(SALIDAS!$C$2:$C$1000,A181,SALIDAS!$E$2:$E$1000,B181,SALIDAS!$G$2:$G$1000,"OK*"))</f>
        <v/>
      </c>
      <c r="E181" s="2">
        <f>IF(A181="","",MAX(0,C181-D181))</f>
        <v/>
      </c>
      <c r="F181" s="2">
        <f>IF(A181="","",IF(E181=0,"COMPLETO","FALTA"))</f>
        <v/>
      </c>
    </row>
    <row r="182">
      <c r="A182" s="2" t="inlineStr"/>
      <c r="B182" s="2" t="inlineStr"/>
      <c r="C182" s="2" t="inlineStr"/>
      <c r="D182" s="2">
        <f>IF(A182="","",COUNTIFS(SALIDAS!$C$2:$C$1000,A182,SALIDAS!$E$2:$E$1000,B182,SALIDAS!$G$2:$G$1000,"OK*"))</f>
        <v/>
      </c>
      <c r="E182" s="2">
        <f>IF(A182="","",MAX(0,C182-D182))</f>
        <v/>
      </c>
      <c r="F182" s="2">
        <f>IF(A182="","",IF(E182=0,"COMPLETO","FALTA"))</f>
        <v/>
      </c>
    </row>
    <row r="183">
      <c r="A183" s="2" t="inlineStr"/>
      <c r="B183" s="2" t="inlineStr"/>
      <c r="C183" s="2" t="inlineStr"/>
      <c r="D183" s="2">
        <f>IF(A183="","",COUNTIFS(SALIDAS!$C$2:$C$1000,A183,SALIDAS!$E$2:$E$1000,B183,SALIDAS!$G$2:$G$1000,"OK*"))</f>
        <v/>
      </c>
      <c r="E183" s="2">
        <f>IF(A183="","",MAX(0,C183-D183))</f>
        <v/>
      </c>
      <c r="F183" s="2">
        <f>IF(A183="","",IF(E183=0,"COMPLETO","FALTA"))</f>
        <v/>
      </c>
    </row>
    <row r="184">
      <c r="A184" s="2" t="inlineStr"/>
      <c r="B184" s="2" t="inlineStr"/>
      <c r="C184" s="2" t="inlineStr"/>
      <c r="D184" s="2">
        <f>IF(A184="","",COUNTIFS(SALIDAS!$C$2:$C$1000,A184,SALIDAS!$E$2:$E$1000,B184,SALIDAS!$G$2:$G$1000,"OK*"))</f>
        <v/>
      </c>
      <c r="E184" s="2">
        <f>IF(A184="","",MAX(0,C184-D184))</f>
        <v/>
      </c>
      <c r="F184" s="2">
        <f>IF(A184="","",IF(E184=0,"COMPLETO","FALTA"))</f>
        <v/>
      </c>
    </row>
    <row r="185">
      <c r="A185" s="2" t="inlineStr"/>
      <c r="B185" s="2" t="inlineStr"/>
      <c r="C185" s="2" t="inlineStr"/>
      <c r="D185" s="2">
        <f>IF(A185="","",COUNTIFS(SALIDAS!$C$2:$C$1000,A185,SALIDAS!$E$2:$E$1000,B185,SALIDAS!$G$2:$G$1000,"OK*"))</f>
        <v/>
      </c>
      <c r="E185" s="2">
        <f>IF(A185="","",MAX(0,C185-D185))</f>
        <v/>
      </c>
      <c r="F185" s="2">
        <f>IF(A185="","",IF(E185=0,"COMPLETO","FALTA"))</f>
        <v/>
      </c>
    </row>
    <row r="186">
      <c r="A186" s="2" t="inlineStr"/>
      <c r="B186" s="2" t="inlineStr"/>
      <c r="C186" s="2" t="inlineStr"/>
      <c r="D186" s="2">
        <f>IF(A186="","",COUNTIFS(SALIDAS!$C$2:$C$1000,A186,SALIDAS!$E$2:$E$1000,B186,SALIDAS!$G$2:$G$1000,"OK*"))</f>
        <v/>
      </c>
      <c r="E186" s="2">
        <f>IF(A186="","",MAX(0,C186-D186))</f>
        <v/>
      </c>
      <c r="F186" s="2">
        <f>IF(A186="","",IF(E186=0,"COMPLETO","FALTA"))</f>
        <v/>
      </c>
    </row>
    <row r="187">
      <c r="A187" s="2" t="inlineStr"/>
      <c r="B187" s="2" t="inlineStr"/>
      <c r="C187" s="2" t="inlineStr"/>
      <c r="D187" s="2">
        <f>IF(A187="","",COUNTIFS(SALIDAS!$C$2:$C$1000,A187,SALIDAS!$E$2:$E$1000,B187,SALIDAS!$G$2:$G$1000,"OK*"))</f>
        <v/>
      </c>
      <c r="E187" s="2">
        <f>IF(A187="","",MAX(0,C187-D187))</f>
        <v/>
      </c>
      <c r="F187" s="2">
        <f>IF(A187="","",IF(E187=0,"COMPLETO","FALTA"))</f>
        <v/>
      </c>
    </row>
    <row r="188">
      <c r="A188" s="2" t="inlineStr"/>
      <c r="B188" s="2" t="inlineStr"/>
      <c r="C188" s="2" t="inlineStr"/>
      <c r="D188" s="2">
        <f>IF(A188="","",COUNTIFS(SALIDAS!$C$2:$C$1000,A188,SALIDAS!$E$2:$E$1000,B188,SALIDAS!$G$2:$G$1000,"OK*"))</f>
        <v/>
      </c>
      <c r="E188" s="2">
        <f>IF(A188="","",MAX(0,C188-D188))</f>
        <v/>
      </c>
      <c r="F188" s="2">
        <f>IF(A188="","",IF(E188=0,"COMPLETO","FALTA"))</f>
        <v/>
      </c>
    </row>
    <row r="189">
      <c r="A189" s="2" t="inlineStr"/>
      <c r="B189" s="2" t="inlineStr"/>
      <c r="C189" s="2" t="inlineStr"/>
      <c r="D189" s="2">
        <f>IF(A189="","",COUNTIFS(SALIDAS!$C$2:$C$1000,A189,SALIDAS!$E$2:$E$1000,B189,SALIDAS!$G$2:$G$1000,"OK*"))</f>
        <v/>
      </c>
      <c r="E189" s="2">
        <f>IF(A189="","",MAX(0,C189-D189))</f>
        <v/>
      </c>
      <c r="F189" s="2">
        <f>IF(A189="","",IF(E189=0,"COMPLETO","FALTA"))</f>
        <v/>
      </c>
    </row>
    <row r="190">
      <c r="A190" s="2" t="inlineStr"/>
      <c r="B190" s="2" t="inlineStr"/>
      <c r="C190" s="2" t="inlineStr"/>
      <c r="D190" s="2">
        <f>IF(A190="","",COUNTIFS(SALIDAS!$C$2:$C$1000,A190,SALIDAS!$E$2:$E$1000,B190,SALIDAS!$G$2:$G$1000,"OK*"))</f>
        <v/>
      </c>
      <c r="E190" s="2">
        <f>IF(A190="","",MAX(0,C190-D190))</f>
        <v/>
      </c>
      <c r="F190" s="2">
        <f>IF(A190="","",IF(E190=0,"COMPLETO","FALTA"))</f>
        <v/>
      </c>
    </row>
    <row r="191">
      <c r="A191" s="2" t="inlineStr"/>
      <c r="B191" s="2" t="inlineStr"/>
      <c r="C191" s="2" t="inlineStr"/>
      <c r="D191" s="2">
        <f>IF(A191="","",COUNTIFS(SALIDAS!$C$2:$C$1000,A191,SALIDAS!$E$2:$E$1000,B191,SALIDAS!$G$2:$G$1000,"OK*"))</f>
        <v/>
      </c>
      <c r="E191" s="2">
        <f>IF(A191="","",MAX(0,C191-D191))</f>
        <v/>
      </c>
      <c r="F191" s="2">
        <f>IF(A191="","",IF(E191=0,"COMPLETO","FALTA"))</f>
        <v/>
      </c>
    </row>
    <row r="192">
      <c r="A192" s="2" t="inlineStr"/>
      <c r="B192" s="2" t="inlineStr"/>
      <c r="C192" s="2" t="inlineStr"/>
      <c r="D192" s="2">
        <f>IF(A192="","",COUNTIFS(SALIDAS!$C$2:$C$1000,A192,SALIDAS!$E$2:$E$1000,B192,SALIDAS!$G$2:$G$1000,"OK*"))</f>
        <v/>
      </c>
      <c r="E192" s="2">
        <f>IF(A192="","",MAX(0,C192-D192))</f>
        <v/>
      </c>
      <c r="F192" s="2">
        <f>IF(A192="","",IF(E192=0,"COMPLETO","FALTA"))</f>
        <v/>
      </c>
    </row>
    <row r="193">
      <c r="A193" s="2" t="inlineStr"/>
      <c r="B193" s="2" t="inlineStr"/>
      <c r="C193" s="2" t="inlineStr"/>
      <c r="D193" s="2">
        <f>IF(A193="","",COUNTIFS(SALIDAS!$C$2:$C$1000,A193,SALIDAS!$E$2:$E$1000,B193,SALIDAS!$G$2:$G$1000,"OK*"))</f>
        <v/>
      </c>
      <c r="E193" s="2">
        <f>IF(A193="","",MAX(0,C193-D193))</f>
        <v/>
      </c>
      <c r="F193" s="2">
        <f>IF(A193="","",IF(E193=0,"COMPLETO","FALTA"))</f>
        <v/>
      </c>
    </row>
    <row r="194">
      <c r="A194" s="2" t="inlineStr"/>
      <c r="B194" s="2" t="inlineStr"/>
      <c r="C194" s="2" t="inlineStr"/>
      <c r="D194" s="2">
        <f>IF(A194="","",COUNTIFS(SALIDAS!$C$2:$C$1000,A194,SALIDAS!$E$2:$E$1000,B194,SALIDAS!$G$2:$G$1000,"OK*"))</f>
        <v/>
      </c>
      <c r="E194" s="2">
        <f>IF(A194="","",MAX(0,C194-D194))</f>
        <v/>
      </c>
      <c r="F194" s="2">
        <f>IF(A194="","",IF(E194=0,"COMPLETO","FALTA"))</f>
        <v/>
      </c>
    </row>
    <row r="195">
      <c r="A195" s="2" t="inlineStr"/>
      <c r="B195" s="2" t="inlineStr"/>
      <c r="C195" s="2" t="inlineStr"/>
      <c r="D195" s="2">
        <f>IF(A195="","",COUNTIFS(SALIDAS!$C$2:$C$1000,A195,SALIDAS!$E$2:$E$1000,B195,SALIDAS!$G$2:$G$1000,"OK*"))</f>
        <v/>
      </c>
      <c r="E195" s="2">
        <f>IF(A195="","",MAX(0,C195-D195))</f>
        <v/>
      </c>
      <c r="F195" s="2">
        <f>IF(A195="","",IF(E195=0,"COMPLETO","FALTA"))</f>
        <v/>
      </c>
    </row>
    <row r="196">
      <c r="A196" s="2" t="inlineStr"/>
      <c r="B196" s="2" t="inlineStr"/>
      <c r="C196" s="2" t="inlineStr"/>
      <c r="D196" s="2">
        <f>IF(A196="","",COUNTIFS(SALIDAS!$C$2:$C$1000,A196,SALIDAS!$E$2:$E$1000,B196,SALIDAS!$G$2:$G$1000,"OK*"))</f>
        <v/>
      </c>
      <c r="E196" s="2">
        <f>IF(A196="","",MAX(0,C196-D196))</f>
        <v/>
      </c>
      <c r="F196" s="2">
        <f>IF(A196="","",IF(E196=0,"COMPLETO","FALTA"))</f>
        <v/>
      </c>
    </row>
    <row r="197">
      <c r="A197" s="2" t="inlineStr"/>
      <c r="B197" s="2" t="inlineStr"/>
      <c r="C197" s="2" t="inlineStr"/>
      <c r="D197" s="2">
        <f>IF(A197="","",COUNTIFS(SALIDAS!$C$2:$C$1000,A197,SALIDAS!$E$2:$E$1000,B197,SALIDAS!$G$2:$G$1000,"OK*"))</f>
        <v/>
      </c>
      <c r="E197" s="2">
        <f>IF(A197="","",MAX(0,C197-D197))</f>
        <v/>
      </c>
      <c r="F197" s="2">
        <f>IF(A197="","",IF(E197=0,"COMPLETO","FALTA"))</f>
        <v/>
      </c>
    </row>
    <row r="198">
      <c r="A198" s="2" t="inlineStr"/>
      <c r="B198" s="2" t="inlineStr"/>
      <c r="C198" s="2" t="inlineStr"/>
      <c r="D198" s="2">
        <f>IF(A198="","",COUNTIFS(SALIDAS!$C$2:$C$1000,A198,SALIDAS!$E$2:$E$1000,B198,SALIDAS!$G$2:$G$1000,"OK*"))</f>
        <v/>
      </c>
      <c r="E198" s="2">
        <f>IF(A198="","",MAX(0,C198-D198))</f>
        <v/>
      </c>
      <c r="F198" s="2">
        <f>IF(A198="","",IF(E198=0,"COMPLETO","FALTA"))</f>
        <v/>
      </c>
    </row>
    <row r="199">
      <c r="A199" s="2" t="inlineStr"/>
      <c r="B199" s="2" t="inlineStr"/>
      <c r="C199" s="2" t="inlineStr"/>
      <c r="D199" s="2">
        <f>IF(A199="","",COUNTIFS(SALIDAS!$C$2:$C$1000,A199,SALIDAS!$E$2:$E$1000,B199,SALIDAS!$G$2:$G$1000,"OK*"))</f>
        <v/>
      </c>
      <c r="E199" s="2">
        <f>IF(A199="","",MAX(0,C199-D199))</f>
        <v/>
      </c>
      <c r="F199" s="2">
        <f>IF(A199="","",IF(E199=0,"COMPLETO","FALTA"))</f>
        <v/>
      </c>
    </row>
    <row r="200">
      <c r="A200" s="2" t="inlineStr"/>
      <c r="B200" s="2" t="inlineStr"/>
      <c r="C200" s="2" t="inlineStr"/>
      <c r="D200" s="2">
        <f>IF(A200="","",COUNTIFS(SALIDAS!$C$2:$C$1000,A200,SALIDAS!$E$2:$E$1000,B200,SALIDAS!$G$2:$G$1000,"OK*"))</f>
        <v/>
      </c>
      <c r="E200" s="2">
        <f>IF(A200="","",MAX(0,C200-D200))</f>
        <v/>
      </c>
      <c r="F200" s="2">
        <f>IF(A200="","",IF(E200=0,"COMPLETO","FALTA"))</f>
        <v/>
      </c>
    </row>
    <row r="201">
      <c r="A201" s="2" t="inlineStr"/>
      <c r="B201" s="2" t="inlineStr"/>
      <c r="C201" s="2" t="inlineStr"/>
      <c r="D201" s="2">
        <f>IF(A201="","",COUNTIFS(SALIDAS!$C$2:$C$1000,A201,SALIDAS!$E$2:$E$1000,B201,SALIDAS!$G$2:$G$1000,"OK*"))</f>
        <v/>
      </c>
      <c r="E201" s="2">
        <f>IF(A201="","",MAX(0,C201-D201))</f>
        <v/>
      </c>
      <c r="F201" s="2">
        <f>IF(A201="","",IF(E201=0,"COMPLETO","FALTA"))</f>
        <v/>
      </c>
    </row>
    <row r="202">
      <c r="A202" s="2" t="inlineStr"/>
      <c r="B202" s="2" t="inlineStr"/>
      <c r="C202" s="2" t="inlineStr"/>
      <c r="D202" s="2">
        <f>IF(A202="","",COUNTIFS(SALIDAS!$C$2:$C$1000,A202,SALIDAS!$E$2:$E$1000,B202,SALIDAS!$G$2:$G$1000,"OK*"))</f>
        <v/>
      </c>
      <c r="E202" s="2">
        <f>IF(A202="","",MAX(0,C202-D202))</f>
        <v/>
      </c>
      <c r="F202" s="2">
        <f>IF(A202="","",IF(E202=0,"COMPLETO","FALTA"))</f>
        <v/>
      </c>
    </row>
    <row r="203">
      <c r="A203" s="2" t="inlineStr"/>
      <c r="B203" s="2" t="inlineStr"/>
      <c r="C203" s="2" t="inlineStr"/>
      <c r="D203" s="2">
        <f>IF(A203="","",COUNTIFS(SALIDAS!$C$2:$C$1000,A203,SALIDAS!$E$2:$E$1000,B203,SALIDAS!$G$2:$G$1000,"OK*"))</f>
        <v/>
      </c>
      <c r="E203" s="2">
        <f>IF(A203="","",MAX(0,C203-D203))</f>
        <v/>
      </c>
      <c r="F203" s="2">
        <f>IF(A203="","",IF(E203=0,"COMPLETO","FALTA"))</f>
        <v/>
      </c>
    </row>
    <row r="204">
      <c r="A204" s="2" t="inlineStr"/>
      <c r="B204" s="2" t="inlineStr"/>
      <c r="C204" s="2" t="inlineStr"/>
      <c r="D204" s="2">
        <f>IF(A204="","",COUNTIFS(SALIDAS!$C$2:$C$1000,A204,SALIDAS!$E$2:$E$1000,B204,SALIDAS!$G$2:$G$1000,"OK*"))</f>
        <v/>
      </c>
      <c r="E204" s="2">
        <f>IF(A204="","",MAX(0,C204-D204))</f>
        <v/>
      </c>
      <c r="F204" s="2">
        <f>IF(A204="","",IF(E204=0,"COMPLETO","FALTA"))</f>
        <v/>
      </c>
    </row>
    <row r="205">
      <c r="A205" s="2" t="inlineStr"/>
      <c r="B205" s="2" t="inlineStr"/>
      <c r="C205" s="2" t="inlineStr"/>
      <c r="D205" s="2">
        <f>IF(A205="","",COUNTIFS(SALIDAS!$C$2:$C$1000,A205,SALIDAS!$E$2:$E$1000,B205,SALIDAS!$G$2:$G$1000,"OK*"))</f>
        <v/>
      </c>
      <c r="E205" s="2">
        <f>IF(A205="","",MAX(0,C205-D205))</f>
        <v/>
      </c>
      <c r="F205" s="2">
        <f>IF(A205="","",IF(E205=0,"COMPLETO","FALTA"))</f>
        <v/>
      </c>
    </row>
    <row r="206">
      <c r="A206" s="2" t="inlineStr"/>
      <c r="B206" s="2" t="inlineStr"/>
      <c r="C206" s="2" t="inlineStr"/>
      <c r="D206" s="2">
        <f>IF(A206="","",COUNTIFS(SALIDAS!$C$2:$C$1000,A206,SALIDAS!$E$2:$E$1000,B206,SALIDAS!$G$2:$G$1000,"OK*"))</f>
        <v/>
      </c>
      <c r="E206" s="2">
        <f>IF(A206="","",MAX(0,C206-D206))</f>
        <v/>
      </c>
      <c r="F206" s="2">
        <f>IF(A206="","",IF(E206=0,"COMPLETO","FALTA"))</f>
        <v/>
      </c>
    </row>
    <row r="207">
      <c r="A207" s="2" t="inlineStr"/>
      <c r="B207" s="2" t="inlineStr"/>
      <c r="C207" s="2" t="inlineStr"/>
      <c r="D207" s="2">
        <f>IF(A207="","",COUNTIFS(SALIDAS!$C$2:$C$1000,A207,SALIDAS!$E$2:$E$1000,B207,SALIDAS!$G$2:$G$1000,"OK*"))</f>
        <v/>
      </c>
      <c r="E207" s="2">
        <f>IF(A207="","",MAX(0,C207-D207))</f>
        <v/>
      </c>
      <c r="F207" s="2">
        <f>IF(A207="","",IF(E207=0,"COMPLETO","FALTA"))</f>
        <v/>
      </c>
    </row>
    <row r="208">
      <c r="A208" s="2" t="inlineStr"/>
      <c r="B208" s="2" t="inlineStr"/>
      <c r="C208" s="2" t="inlineStr"/>
      <c r="D208" s="2">
        <f>IF(A208="","",COUNTIFS(SALIDAS!$C$2:$C$1000,A208,SALIDAS!$E$2:$E$1000,B208,SALIDAS!$G$2:$G$1000,"OK*"))</f>
        <v/>
      </c>
      <c r="E208" s="2">
        <f>IF(A208="","",MAX(0,C208-D208))</f>
        <v/>
      </c>
      <c r="F208" s="2">
        <f>IF(A208="","",IF(E208=0,"COMPLETO","FALTA"))</f>
        <v/>
      </c>
    </row>
    <row r="209">
      <c r="A209" s="2" t="inlineStr"/>
      <c r="B209" s="2" t="inlineStr"/>
      <c r="C209" s="2" t="inlineStr"/>
      <c r="D209" s="2">
        <f>IF(A209="","",COUNTIFS(SALIDAS!$C$2:$C$1000,A209,SALIDAS!$E$2:$E$1000,B209,SALIDAS!$G$2:$G$1000,"OK*"))</f>
        <v/>
      </c>
      <c r="E209" s="2">
        <f>IF(A209="","",MAX(0,C209-D209))</f>
        <v/>
      </c>
      <c r="F209" s="2">
        <f>IF(A209="","",IF(E209=0,"COMPLETO","FALTA"))</f>
        <v/>
      </c>
    </row>
    <row r="210">
      <c r="A210" s="2" t="inlineStr"/>
      <c r="B210" s="2" t="inlineStr"/>
      <c r="C210" s="2" t="inlineStr"/>
      <c r="D210" s="2">
        <f>IF(A210="","",COUNTIFS(SALIDAS!$C$2:$C$1000,A210,SALIDAS!$E$2:$E$1000,B210,SALIDAS!$G$2:$G$1000,"OK*"))</f>
        <v/>
      </c>
      <c r="E210" s="2">
        <f>IF(A210="","",MAX(0,C210-D210))</f>
        <v/>
      </c>
      <c r="F210" s="2">
        <f>IF(A210="","",IF(E210=0,"COMPLETO","FALTA"))</f>
        <v/>
      </c>
    </row>
    <row r="211">
      <c r="A211" s="2" t="inlineStr"/>
      <c r="B211" s="2" t="inlineStr"/>
      <c r="C211" s="2" t="inlineStr"/>
      <c r="D211" s="2">
        <f>IF(A211="","",COUNTIFS(SALIDAS!$C$2:$C$1000,A211,SALIDAS!$E$2:$E$1000,B211,SALIDAS!$G$2:$G$1000,"OK*"))</f>
        <v/>
      </c>
      <c r="E211" s="2">
        <f>IF(A211="","",MAX(0,C211-D211))</f>
        <v/>
      </c>
      <c r="F211" s="2">
        <f>IF(A211="","",IF(E211=0,"COMPLETO","FALTA"))</f>
        <v/>
      </c>
    </row>
    <row r="212">
      <c r="A212" s="2" t="inlineStr"/>
      <c r="B212" s="2" t="inlineStr"/>
      <c r="C212" s="2" t="inlineStr"/>
      <c r="D212" s="2">
        <f>IF(A212="","",COUNTIFS(SALIDAS!$C$2:$C$1000,A212,SALIDAS!$E$2:$E$1000,B212,SALIDAS!$G$2:$G$1000,"OK*"))</f>
        <v/>
      </c>
      <c r="E212" s="2">
        <f>IF(A212="","",MAX(0,C212-D212))</f>
        <v/>
      </c>
      <c r="F212" s="2">
        <f>IF(A212="","",IF(E212=0,"COMPLETO","FALTA"))</f>
        <v/>
      </c>
    </row>
    <row r="213">
      <c r="A213" s="2" t="inlineStr"/>
      <c r="B213" s="2" t="inlineStr"/>
      <c r="C213" s="2" t="inlineStr"/>
      <c r="D213" s="2">
        <f>IF(A213="","",COUNTIFS(SALIDAS!$C$2:$C$1000,A213,SALIDAS!$E$2:$E$1000,B213,SALIDAS!$G$2:$G$1000,"OK*"))</f>
        <v/>
      </c>
      <c r="E213" s="2">
        <f>IF(A213="","",MAX(0,C213-D213))</f>
        <v/>
      </c>
      <c r="F213" s="2">
        <f>IF(A213="","",IF(E213=0,"COMPLETO","FALTA"))</f>
        <v/>
      </c>
    </row>
    <row r="214">
      <c r="A214" s="2" t="inlineStr"/>
      <c r="B214" s="2" t="inlineStr"/>
      <c r="C214" s="2" t="inlineStr"/>
      <c r="D214" s="2">
        <f>IF(A214="","",COUNTIFS(SALIDAS!$C$2:$C$1000,A214,SALIDAS!$E$2:$E$1000,B214,SALIDAS!$G$2:$G$1000,"OK*"))</f>
        <v/>
      </c>
      <c r="E214" s="2">
        <f>IF(A214="","",MAX(0,C214-D214))</f>
        <v/>
      </c>
      <c r="F214" s="2">
        <f>IF(A214="","",IF(E214=0,"COMPLETO","FALTA"))</f>
        <v/>
      </c>
    </row>
    <row r="215">
      <c r="A215" s="2" t="inlineStr"/>
      <c r="B215" s="2" t="inlineStr"/>
      <c r="C215" s="2" t="inlineStr"/>
      <c r="D215" s="2">
        <f>IF(A215="","",COUNTIFS(SALIDAS!$C$2:$C$1000,A215,SALIDAS!$E$2:$E$1000,B215,SALIDAS!$G$2:$G$1000,"OK*"))</f>
        <v/>
      </c>
      <c r="E215" s="2">
        <f>IF(A215="","",MAX(0,C215-D215))</f>
        <v/>
      </c>
      <c r="F215" s="2">
        <f>IF(A215="","",IF(E215=0,"COMPLETO","FALTA"))</f>
        <v/>
      </c>
    </row>
    <row r="216">
      <c r="A216" s="2" t="inlineStr"/>
      <c r="B216" s="2" t="inlineStr"/>
      <c r="C216" s="2" t="inlineStr"/>
      <c r="D216" s="2">
        <f>IF(A216="","",COUNTIFS(SALIDAS!$C$2:$C$1000,A216,SALIDAS!$E$2:$E$1000,B216,SALIDAS!$G$2:$G$1000,"OK*"))</f>
        <v/>
      </c>
      <c r="E216" s="2">
        <f>IF(A216="","",MAX(0,C216-D216))</f>
        <v/>
      </c>
      <c r="F216" s="2">
        <f>IF(A216="","",IF(E216=0,"COMPLETO","FALTA"))</f>
        <v/>
      </c>
    </row>
    <row r="217">
      <c r="A217" s="2" t="inlineStr"/>
      <c r="B217" s="2" t="inlineStr"/>
      <c r="C217" s="2" t="inlineStr"/>
      <c r="D217" s="2">
        <f>IF(A217="","",COUNTIFS(SALIDAS!$C$2:$C$1000,A217,SALIDAS!$E$2:$E$1000,B217,SALIDAS!$G$2:$G$1000,"OK*"))</f>
        <v/>
      </c>
      <c r="E217" s="2">
        <f>IF(A217="","",MAX(0,C217-D217))</f>
        <v/>
      </c>
      <c r="F217" s="2">
        <f>IF(A217="","",IF(E217=0,"COMPLETO","FALTA"))</f>
        <v/>
      </c>
    </row>
    <row r="218">
      <c r="A218" s="2" t="inlineStr"/>
      <c r="B218" s="2" t="inlineStr"/>
      <c r="C218" s="2" t="inlineStr"/>
      <c r="D218" s="2">
        <f>IF(A218="","",COUNTIFS(SALIDAS!$C$2:$C$1000,A218,SALIDAS!$E$2:$E$1000,B218,SALIDAS!$G$2:$G$1000,"OK*"))</f>
        <v/>
      </c>
      <c r="E218" s="2">
        <f>IF(A218="","",MAX(0,C218-D218))</f>
        <v/>
      </c>
      <c r="F218" s="2">
        <f>IF(A218="","",IF(E218=0,"COMPLETO","FALTA"))</f>
        <v/>
      </c>
    </row>
    <row r="219">
      <c r="A219" s="2" t="inlineStr"/>
      <c r="B219" s="2" t="inlineStr"/>
      <c r="C219" s="2" t="inlineStr"/>
      <c r="D219" s="2">
        <f>IF(A219="","",COUNTIFS(SALIDAS!$C$2:$C$1000,A219,SALIDAS!$E$2:$E$1000,B219,SALIDAS!$G$2:$G$1000,"OK*"))</f>
        <v/>
      </c>
      <c r="E219" s="2">
        <f>IF(A219="","",MAX(0,C219-D219))</f>
        <v/>
      </c>
      <c r="F219" s="2">
        <f>IF(A219="","",IF(E219=0,"COMPLETO","FALTA"))</f>
        <v/>
      </c>
    </row>
    <row r="220">
      <c r="A220" s="2" t="inlineStr"/>
      <c r="B220" s="2" t="inlineStr"/>
      <c r="C220" s="2" t="inlineStr"/>
      <c r="D220" s="2">
        <f>IF(A220="","",COUNTIFS(SALIDAS!$C$2:$C$1000,A220,SALIDAS!$E$2:$E$1000,B220,SALIDAS!$G$2:$G$1000,"OK*"))</f>
        <v/>
      </c>
      <c r="E220" s="2">
        <f>IF(A220="","",MAX(0,C220-D220))</f>
        <v/>
      </c>
      <c r="F220" s="2">
        <f>IF(A220="","",IF(E220=0,"COMPLETO","FALTA"))</f>
        <v/>
      </c>
    </row>
    <row r="221">
      <c r="A221" s="2" t="inlineStr"/>
      <c r="B221" s="2" t="inlineStr"/>
      <c r="C221" s="2" t="inlineStr"/>
      <c r="D221" s="2">
        <f>IF(A221="","",COUNTIFS(SALIDAS!$C$2:$C$1000,A221,SALIDAS!$E$2:$E$1000,B221,SALIDAS!$G$2:$G$1000,"OK*"))</f>
        <v/>
      </c>
      <c r="E221" s="2">
        <f>IF(A221="","",MAX(0,C221-D221))</f>
        <v/>
      </c>
      <c r="F221" s="2">
        <f>IF(A221="","",IF(E221=0,"COMPLETO","FALTA"))</f>
        <v/>
      </c>
    </row>
    <row r="222">
      <c r="A222" s="2" t="inlineStr"/>
      <c r="B222" s="2" t="inlineStr"/>
      <c r="C222" s="2" t="inlineStr"/>
      <c r="D222" s="2">
        <f>IF(A222="","",COUNTIFS(SALIDAS!$C$2:$C$1000,A222,SALIDAS!$E$2:$E$1000,B222,SALIDAS!$G$2:$G$1000,"OK*"))</f>
        <v/>
      </c>
      <c r="E222" s="2">
        <f>IF(A222="","",MAX(0,C222-D222))</f>
        <v/>
      </c>
      <c r="F222" s="2">
        <f>IF(A222="","",IF(E222=0,"COMPLETO","FALTA"))</f>
        <v/>
      </c>
    </row>
    <row r="223">
      <c r="A223" s="2" t="inlineStr"/>
      <c r="B223" s="2" t="inlineStr"/>
      <c r="C223" s="2" t="inlineStr"/>
      <c r="D223" s="2">
        <f>IF(A223="","",COUNTIFS(SALIDAS!$C$2:$C$1000,A223,SALIDAS!$E$2:$E$1000,B223,SALIDAS!$G$2:$G$1000,"OK*"))</f>
        <v/>
      </c>
      <c r="E223" s="2">
        <f>IF(A223="","",MAX(0,C223-D223))</f>
        <v/>
      </c>
      <c r="F223" s="2">
        <f>IF(A223="","",IF(E223=0,"COMPLETO","FALTA"))</f>
        <v/>
      </c>
    </row>
    <row r="224">
      <c r="A224" s="2" t="inlineStr"/>
      <c r="B224" s="2" t="inlineStr"/>
      <c r="C224" s="2" t="inlineStr"/>
      <c r="D224" s="2">
        <f>IF(A224="","",COUNTIFS(SALIDAS!$C$2:$C$1000,A224,SALIDAS!$E$2:$E$1000,B224,SALIDAS!$G$2:$G$1000,"OK*"))</f>
        <v/>
      </c>
      <c r="E224" s="2">
        <f>IF(A224="","",MAX(0,C224-D224))</f>
        <v/>
      </c>
      <c r="F224" s="2">
        <f>IF(A224="","",IF(E224=0,"COMPLETO","FALTA"))</f>
        <v/>
      </c>
    </row>
    <row r="225">
      <c r="A225" s="2" t="inlineStr"/>
      <c r="B225" s="2" t="inlineStr"/>
      <c r="C225" s="2" t="inlineStr"/>
      <c r="D225" s="2">
        <f>IF(A225="","",COUNTIFS(SALIDAS!$C$2:$C$1000,A225,SALIDAS!$E$2:$E$1000,B225,SALIDAS!$G$2:$G$1000,"OK*"))</f>
        <v/>
      </c>
      <c r="E225" s="2">
        <f>IF(A225="","",MAX(0,C225-D225))</f>
        <v/>
      </c>
      <c r="F225" s="2">
        <f>IF(A225="","",IF(E225=0,"COMPLETO","FALTA"))</f>
        <v/>
      </c>
    </row>
    <row r="226">
      <c r="A226" s="2" t="inlineStr"/>
      <c r="B226" s="2" t="inlineStr"/>
      <c r="C226" s="2" t="inlineStr"/>
      <c r="D226" s="2">
        <f>IF(A226="","",COUNTIFS(SALIDAS!$C$2:$C$1000,A226,SALIDAS!$E$2:$E$1000,B226,SALIDAS!$G$2:$G$1000,"OK*"))</f>
        <v/>
      </c>
      <c r="E226" s="2">
        <f>IF(A226="","",MAX(0,C226-D226))</f>
        <v/>
      </c>
      <c r="F226" s="2">
        <f>IF(A226="","",IF(E226=0,"COMPLETO","FALTA"))</f>
        <v/>
      </c>
    </row>
    <row r="227">
      <c r="A227" s="2" t="inlineStr"/>
      <c r="B227" s="2" t="inlineStr"/>
      <c r="C227" s="2" t="inlineStr"/>
      <c r="D227" s="2">
        <f>IF(A227="","",COUNTIFS(SALIDAS!$C$2:$C$1000,A227,SALIDAS!$E$2:$E$1000,B227,SALIDAS!$G$2:$G$1000,"OK*"))</f>
        <v/>
      </c>
      <c r="E227" s="2">
        <f>IF(A227="","",MAX(0,C227-D227))</f>
        <v/>
      </c>
      <c r="F227" s="2">
        <f>IF(A227="","",IF(E227=0,"COMPLETO","FALTA"))</f>
        <v/>
      </c>
    </row>
    <row r="228">
      <c r="A228" s="2" t="inlineStr"/>
      <c r="B228" s="2" t="inlineStr"/>
      <c r="C228" s="2" t="inlineStr"/>
      <c r="D228" s="2">
        <f>IF(A228="","",COUNTIFS(SALIDAS!$C$2:$C$1000,A228,SALIDAS!$E$2:$E$1000,B228,SALIDAS!$G$2:$G$1000,"OK*"))</f>
        <v/>
      </c>
      <c r="E228" s="2">
        <f>IF(A228="","",MAX(0,C228-D228))</f>
        <v/>
      </c>
      <c r="F228" s="2">
        <f>IF(A228="","",IF(E228=0,"COMPLETO","FALTA"))</f>
        <v/>
      </c>
    </row>
    <row r="229">
      <c r="A229" s="2" t="inlineStr"/>
      <c r="B229" s="2" t="inlineStr"/>
      <c r="C229" s="2" t="inlineStr"/>
      <c r="D229" s="2">
        <f>IF(A229="","",COUNTIFS(SALIDAS!$C$2:$C$1000,A229,SALIDAS!$E$2:$E$1000,B229,SALIDAS!$G$2:$G$1000,"OK*"))</f>
        <v/>
      </c>
      <c r="E229" s="2">
        <f>IF(A229="","",MAX(0,C229-D229))</f>
        <v/>
      </c>
      <c r="F229" s="2">
        <f>IF(A229="","",IF(E229=0,"COMPLETO","FALTA"))</f>
        <v/>
      </c>
    </row>
    <row r="230">
      <c r="A230" s="2" t="inlineStr"/>
      <c r="B230" s="2" t="inlineStr"/>
      <c r="C230" s="2" t="inlineStr"/>
      <c r="D230" s="2">
        <f>IF(A230="","",COUNTIFS(SALIDAS!$C$2:$C$1000,A230,SALIDAS!$E$2:$E$1000,B230,SALIDAS!$G$2:$G$1000,"OK*"))</f>
        <v/>
      </c>
      <c r="E230" s="2">
        <f>IF(A230="","",MAX(0,C230-D230))</f>
        <v/>
      </c>
      <c r="F230" s="2">
        <f>IF(A230="","",IF(E230=0,"COMPLETO","FALTA"))</f>
        <v/>
      </c>
    </row>
    <row r="231">
      <c r="A231" s="2" t="inlineStr"/>
      <c r="B231" s="2" t="inlineStr"/>
      <c r="C231" s="2" t="inlineStr"/>
      <c r="D231" s="2">
        <f>IF(A231="","",COUNTIFS(SALIDAS!$C$2:$C$1000,A231,SALIDAS!$E$2:$E$1000,B231,SALIDAS!$G$2:$G$1000,"OK*"))</f>
        <v/>
      </c>
      <c r="E231" s="2">
        <f>IF(A231="","",MAX(0,C231-D231))</f>
        <v/>
      </c>
      <c r="F231" s="2">
        <f>IF(A231="","",IF(E231=0,"COMPLETO","FALTA"))</f>
        <v/>
      </c>
    </row>
    <row r="232">
      <c r="A232" s="2" t="inlineStr"/>
      <c r="B232" s="2" t="inlineStr"/>
      <c r="C232" s="2" t="inlineStr"/>
      <c r="D232" s="2">
        <f>IF(A232="","",COUNTIFS(SALIDAS!$C$2:$C$1000,A232,SALIDAS!$E$2:$E$1000,B232,SALIDAS!$G$2:$G$1000,"OK*"))</f>
        <v/>
      </c>
      <c r="E232" s="2">
        <f>IF(A232="","",MAX(0,C232-D232))</f>
        <v/>
      </c>
      <c r="F232" s="2">
        <f>IF(A232="","",IF(E232=0,"COMPLETO","FALTA"))</f>
        <v/>
      </c>
    </row>
    <row r="233">
      <c r="A233" s="2" t="inlineStr"/>
      <c r="B233" s="2" t="inlineStr"/>
      <c r="C233" s="2" t="inlineStr"/>
      <c r="D233" s="2">
        <f>IF(A233="","",COUNTIFS(SALIDAS!$C$2:$C$1000,A233,SALIDAS!$E$2:$E$1000,B233,SALIDAS!$G$2:$G$1000,"OK*"))</f>
        <v/>
      </c>
      <c r="E233" s="2">
        <f>IF(A233="","",MAX(0,C233-D233))</f>
        <v/>
      </c>
      <c r="F233" s="2">
        <f>IF(A233="","",IF(E233=0,"COMPLETO","FALTA"))</f>
        <v/>
      </c>
    </row>
    <row r="234">
      <c r="A234" s="2" t="inlineStr"/>
      <c r="B234" s="2" t="inlineStr"/>
      <c r="C234" s="2" t="inlineStr"/>
      <c r="D234" s="2">
        <f>IF(A234="","",COUNTIFS(SALIDAS!$C$2:$C$1000,A234,SALIDAS!$E$2:$E$1000,B234,SALIDAS!$G$2:$G$1000,"OK*"))</f>
        <v/>
      </c>
      <c r="E234" s="2">
        <f>IF(A234="","",MAX(0,C234-D234))</f>
        <v/>
      </c>
      <c r="F234" s="2">
        <f>IF(A234="","",IF(E234=0,"COMPLETO","FALTA"))</f>
        <v/>
      </c>
    </row>
    <row r="235">
      <c r="A235" s="2" t="inlineStr"/>
      <c r="B235" s="2" t="inlineStr"/>
      <c r="C235" s="2" t="inlineStr"/>
      <c r="D235" s="2">
        <f>IF(A235="","",COUNTIFS(SALIDAS!$C$2:$C$1000,A235,SALIDAS!$E$2:$E$1000,B235,SALIDAS!$G$2:$G$1000,"OK*"))</f>
        <v/>
      </c>
      <c r="E235" s="2">
        <f>IF(A235="","",MAX(0,C235-D235))</f>
        <v/>
      </c>
      <c r="F235" s="2">
        <f>IF(A235="","",IF(E235=0,"COMPLETO","FALTA"))</f>
        <v/>
      </c>
    </row>
    <row r="236">
      <c r="A236" s="2" t="inlineStr"/>
      <c r="B236" s="2" t="inlineStr"/>
      <c r="C236" s="2" t="inlineStr"/>
      <c r="D236" s="2">
        <f>IF(A236="","",COUNTIFS(SALIDAS!$C$2:$C$1000,A236,SALIDAS!$E$2:$E$1000,B236,SALIDAS!$G$2:$G$1000,"OK*"))</f>
        <v/>
      </c>
      <c r="E236" s="2">
        <f>IF(A236="","",MAX(0,C236-D236))</f>
        <v/>
      </c>
      <c r="F236" s="2">
        <f>IF(A236="","",IF(E236=0,"COMPLETO","FALTA"))</f>
        <v/>
      </c>
    </row>
    <row r="237">
      <c r="A237" s="2" t="inlineStr"/>
      <c r="B237" s="2" t="inlineStr"/>
      <c r="C237" s="2" t="inlineStr"/>
      <c r="D237" s="2">
        <f>IF(A237="","",COUNTIFS(SALIDAS!$C$2:$C$1000,A237,SALIDAS!$E$2:$E$1000,B237,SALIDAS!$G$2:$G$1000,"OK*"))</f>
        <v/>
      </c>
      <c r="E237" s="2">
        <f>IF(A237="","",MAX(0,C237-D237))</f>
        <v/>
      </c>
      <c r="F237" s="2">
        <f>IF(A237="","",IF(E237=0,"COMPLETO","FALTA"))</f>
        <v/>
      </c>
    </row>
    <row r="238">
      <c r="A238" s="2" t="inlineStr"/>
      <c r="B238" s="2" t="inlineStr"/>
      <c r="C238" s="2" t="inlineStr"/>
      <c r="D238" s="2">
        <f>IF(A238="","",COUNTIFS(SALIDAS!$C$2:$C$1000,A238,SALIDAS!$E$2:$E$1000,B238,SALIDAS!$G$2:$G$1000,"OK*"))</f>
        <v/>
      </c>
      <c r="E238" s="2">
        <f>IF(A238="","",MAX(0,C238-D238))</f>
        <v/>
      </c>
      <c r="F238" s="2">
        <f>IF(A238="","",IF(E238=0,"COMPLETO","FALTA"))</f>
        <v/>
      </c>
    </row>
    <row r="239">
      <c r="A239" s="2" t="inlineStr"/>
      <c r="B239" s="2" t="inlineStr"/>
      <c r="C239" s="2" t="inlineStr"/>
      <c r="D239" s="2">
        <f>IF(A239="","",COUNTIFS(SALIDAS!$C$2:$C$1000,A239,SALIDAS!$E$2:$E$1000,B239,SALIDAS!$G$2:$G$1000,"OK*"))</f>
        <v/>
      </c>
      <c r="E239" s="2">
        <f>IF(A239="","",MAX(0,C239-D239))</f>
        <v/>
      </c>
      <c r="F239" s="2">
        <f>IF(A239="","",IF(E239=0,"COMPLETO","FALTA"))</f>
        <v/>
      </c>
    </row>
    <row r="240">
      <c r="A240" s="2" t="inlineStr"/>
      <c r="B240" s="2" t="inlineStr"/>
      <c r="C240" s="2" t="inlineStr"/>
      <c r="D240" s="2">
        <f>IF(A240="","",COUNTIFS(SALIDAS!$C$2:$C$1000,A240,SALIDAS!$E$2:$E$1000,B240,SALIDAS!$G$2:$G$1000,"OK*"))</f>
        <v/>
      </c>
      <c r="E240" s="2">
        <f>IF(A240="","",MAX(0,C240-D240))</f>
        <v/>
      </c>
      <c r="F240" s="2">
        <f>IF(A240="","",IF(E240=0,"COMPLETO","FALTA"))</f>
        <v/>
      </c>
    </row>
    <row r="241">
      <c r="A241" s="2" t="inlineStr"/>
      <c r="B241" s="2" t="inlineStr"/>
      <c r="C241" s="2" t="inlineStr"/>
      <c r="D241" s="2">
        <f>IF(A241="","",COUNTIFS(SALIDAS!$C$2:$C$1000,A241,SALIDAS!$E$2:$E$1000,B241,SALIDAS!$G$2:$G$1000,"OK*"))</f>
        <v/>
      </c>
      <c r="E241" s="2">
        <f>IF(A241="","",MAX(0,C241-D241))</f>
        <v/>
      </c>
      <c r="F241" s="2">
        <f>IF(A241="","",IF(E241=0,"COMPLETO","FALTA"))</f>
        <v/>
      </c>
    </row>
    <row r="242">
      <c r="A242" s="2" t="inlineStr"/>
      <c r="B242" s="2" t="inlineStr"/>
      <c r="C242" s="2" t="inlineStr"/>
      <c r="D242" s="2">
        <f>IF(A242="","",COUNTIFS(SALIDAS!$C$2:$C$1000,A242,SALIDAS!$E$2:$E$1000,B242,SALIDAS!$G$2:$G$1000,"OK*"))</f>
        <v/>
      </c>
      <c r="E242" s="2">
        <f>IF(A242="","",MAX(0,C242-D242))</f>
        <v/>
      </c>
      <c r="F242" s="2">
        <f>IF(A242="","",IF(E242=0,"COMPLETO","FALTA"))</f>
        <v/>
      </c>
    </row>
    <row r="243">
      <c r="A243" s="2" t="inlineStr"/>
      <c r="B243" s="2" t="inlineStr"/>
      <c r="C243" s="2" t="inlineStr"/>
      <c r="D243" s="2">
        <f>IF(A243="","",COUNTIFS(SALIDAS!$C$2:$C$1000,A243,SALIDAS!$E$2:$E$1000,B243,SALIDAS!$G$2:$G$1000,"OK*"))</f>
        <v/>
      </c>
      <c r="E243" s="2">
        <f>IF(A243="","",MAX(0,C243-D243))</f>
        <v/>
      </c>
      <c r="F243" s="2">
        <f>IF(A243="","",IF(E243=0,"COMPLETO","FALTA"))</f>
        <v/>
      </c>
    </row>
    <row r="244">
      <c r="A244" s="2" t="inlineStr"/>
      <c r="B244" s="2" t="inlineStr"/>
      <c r="C244" s="2" t="inlineStr"/>
      <c r="D244" s="2">
        <f>IF(A244="","",COUNTIFS(SALIDAS!$C$2:$C$1000,A244,SALIDAS!$E$2:$E$1000,B244,SALIDAS!$G$2:$G$1000,"OK*"))</f>
        <v/>
      </c>
      <c r="E244" s="2">
        <f>IF(A244="","",MAX(0,C244-D244))</f>
        <v/>
      </c>
      <c r="F244" s="2">
        <f>IF(A244="","",IF(E244=0,"COMPLETO","FALTA"))</f>
        <v/>
      </c>
    </row>
    <row r="245">
      <c r="A245" s="2" t="inlineStr"/>
      <c r="B245" s="2" t="inlineStr"/>
      <c r="C245" s="2" t="inlineStr"/>
      <c r="D245" s="2">
        <f>IF(A245="","",COUNTIFS(SALIDAS!$C$2:$C$1000,A245,SALIDAS!$E$2:$E$1000,B245,SALIDAS!$G$2:$G$1000,"OK*"))</f>
        <v/>
      </c>
      <c r="E245" s="2">
        <f>IF(A245="","",MAX(0,C245-D245))</f>
        <v/>
      </c>
      <c r="F245" s="2">
        <f>IF(A245="","",IF(E245=0,"COMPLETO","FALTA"))</f>
        <v/>
      </c>
    </row>
    <row r="246">
      <c r="A246" s="2" t="inlineStr"/>
      <c r="B246" s="2" t="inlineStr"/>
      <c r="C246" s="2" t="inlineStr"/>
      <c r="D246" s="2">
        <f>IF(A246="","",COUNTIFS(SALIDAS!$C$2:$C$1000,A246,SALIDAS!$E$2:$E$1000,B246,SALIDAS!$G$2:$G$1000,"OK*"))</f>
        <v/>
      </c>
      <c r="E246" s="2">
        <f>IF(A246="","",MAX(0,C246-D246))</f>
        <v/>
      </c>
      <c r="F246" s="2">
        <f>IF(A246="","",IF(E246=0,"COMPLETO","FALTA"))</f>
        <v/>
      </c>
    </row>
    <row r="247">
      <c r="A247" s="2" t="inlineStr"/>
      <c r="B247" s="2" t="inlineStr"/>
      <c r="C247" s="2" t="inlineStr"/>
      <c r="D247" s="2">
        <f>IF(A247="","",COUNTIFS(SALIDAS!$C$2:$C$1000,A247,SALIDAS!$E$2:$E$1000,B247,SALIDAS!$G$2:$G$1000,"OK*"))</f>
        <v/>
      </c>
      <c r="E247" s="2">
        <f>IF(A247="","",MAX(0,C247-D247))</f>
        <v/>
      </c>
      <c r="F247" s="2">
        <f>IF(A247="","",IF(E247=0,"COMPLETO","FALTA"))</f>
        <v/>
      </c>
    </row>
    <row r="248">
      <c r="A248" s="2" t="inlineStr"/>
      <c r="B248" s="2" t="inlineStr"/>
      <c r="C248" s="2" t="inlineStr"/>
      <c r="D248" s="2">
        <f>IF(A248="","",COUNTIFS(SALIDAS!$C$2:$C$1000,A248,SALIDAS!$E$2:$E$1000,B248,SALIDAS!$G$2:$G$1000,"OK*"))</f>
        <v/>
      </c>
      <c r="E248" s="2">
        <f>IF(A248="","",MAX(0,C248-D248))</f>
        <v/>
      </c>
      <c r="F248" s="2">
        <f>IF(A248="","",IF(E248=0,"COMPLETO","FALTA"))</f>
        <v/>
      </c>
    </row>
    <row r="249">
      <c r="A249" s="2" t="inlineStr"/>
      <c r="B249" s="2" t="inlineStr"/>
      <c r="C249" s="2" t="inlineStr"/>
      <c r="D249" s="2">
        <f>IF(A249="","",COUNTIFS(SALIDAS!$C$2:$C$1000,A249,SALIDAS!$E$2:$E$1000,B249,SALIDAS!$G$2:$G$1000,"OK*"))</f>
        <v/>
      </c>
      <c r="E249" s="2">
        <f>IF(A249="","",MAX(0,C249-D249))</f>
        <v/>
      </c>
      <c r="F249" s="2">
        <f>IF(A249="","",IF(E249=0,"COMPLETO","FALTA"))</f>
        <v/>
      </c>
    </row>
    <row r="250">
      <c r="A250" s="2" t="inlineStr"/>
      <c r="B250" s="2" t="inlineStr"/>
      <c r="C250" s="2" t="inlineStr"/>
      <c r="D250" s="2">
        <f>IF(A250="","",COUNTIFS(SALIDAS!$C$2:$C$1000,A250,SALIDAS!$E$2:$E$1000,B250,SALIDAS!$G$2:$G$1000,"OK*"))</f>
        <v/>
      </c>
      <c r="E250" s="2">
        <f>IF(A250="","",MAX(0,C250-D250))</f>
        <v/>
      </c>
      <c r="F250" s="2">
        <f>IF(A250="","",IF(E250=0,"COMPLETO","FALTA"))</f>
        <v/>
      </c>
    </row>
    <row r="251">
      <c r="A251" s="2" t="inlineStr"/>
      <c r="B251" s="2" t="inlineStr"/>
      <c r="C251" s="2" t="inlineStr"/>
      <c r="D251" s="2">
        <f>IF(A251="","",COUNTIFS(SALIDAS!$C$2:$C$1000,A251,SALIDAS!$E$2:$E$1000,B251,SALIDAS!$G$2:$G$1000,"OK*"))</f>
        <v/>
      </c>
      <c r="E251" s="2">
        <f>IF(A251="","",MAX(0,C251-D251))</f>
        <v/>
      </c>
      <c r="F251" s="2">
        <f>IF(A251="","",IF(E251=0,"COMPLETO","FALTA"))</f>
        <v/>
      </c>
    </row>
    <row r="252">
      <c r="A252" s="2" t="inlineStr"/>
      <c r="B252" s="2" t="inlineStr"/>
      <c r="C252" s="2" t="inlineStr"/>
      <c r="D252" s="2">
        <f>IF(A252="","",COUNTIFS(SALIDAS!$C$2:$C$1000,A252,SALIDAS!$E$2:$E$1000,B252,SALIDAS!$G$2:$G$1000,"OK*"))</f>
        <v/>
      </c>
      <c r="E252" s="2">
        <f>IF(A252="","",MAX(0,C252-D252))</f>
        <v/>
      </c>
      <c r="F252" s="2">
        <f>IF(A252="","",IF(E252=0,"COMPLETO","FALTA"))</f>
        <v/>
      </c>
    </row>
    <row r="253">
      <c r="A253" s="2" t="inlineStr"/>
      <c r="B253" s="2" t="inlineStr"/>
      <c r="C253" s="2" t="inlineStr"/>
      <c r="D253" s="2">
        <f>IF(A253="","",COUNTIFS(SALIDAS!$C$2:$C$1000,A253,SALIDAS!$E$2:$E$1000,B253,SALIDAS!$G$2:$G$1000,"OK*"))</f>
        <v/>
      </c>
      <c r="E253" s="2">
        <f>IF(A253="","",MAX(0,C253-D253))</f>
        <v/>
      </c>
      <c r="F253" s="2">
        <f>IF(A253="","",IF(E253=0,"COMPLETO","FALTA"))</f>
        <v/>
      </c>
    </row>
    <row r="254">
      <c r="A254" s="2" t="inlineStr"/>
      <c r="B254" s="2" t="inlineStr"/>
      <c r="C254" s="2" t="inlineStr"/>
      <c r="D254" s="2">
        <f>IF(A254="","",COUNTIFS(SALIDAS!$C$2:$C$1000,A254,SALIDAS!$E$2:$E$1000,B254,SALIDAS!$G$2:$G$1000,"OK*"))</f>
        <v/>
      </c>
      <c r="E254" s="2">
        <f>IF(A254="","",MAX(0,C254-D254))</f>
        <v/>
      </c>
      <c r="F254" s="2">
        <f>IF(A254="","",IF(E254=0,"COMPLETO","FALTA"))</f>
        <v/>
      </c>
    </row>
    <row r="255">
      <c r="A255" s="2" t="inlineStr"/>
      <c r="B255" s="2" t="inlineStr"/>
      <c r="C255" s="2" t="inlineStr"/>
      <c r="D255" s="2">
        <f>IF(A255="","",COUNTIFS(SALIDAS!$C$2:$C$1000,A255,SALIDAS!$E$2:$E$1000,B255,SALIDAS!$G$2:$G$1000,"OK*"))</f>
        <v/>
      </c>
      <c r="E255" s="2">
        <f>IF(A255="","",MAX(0,C255-D255))</f>
        <v/>
      </c>
      <c r="F255" s="2">
        <f>IF(A255="","",IF(E255=0,"COMPLETO","FALTA"))</f>
        <v/>
      </c>
    </row>
    <row r="256">
      <c r="A256" s="2" t="inlineStr"/>
      <c r="B256" s="2" t="inlineStr"/>
      <c r="C256" s="2" t="inlineStr"/>
      <c r="D256" s="2">
        <f>IF(A256="","",COUNTIFS(SALIDAS!$C$2:$C$1000,A256,SALIDAS!$E$2:$E$1000,B256,SALIDAS!$G$2:$G$1000,"OK*"))</f>
        <v/>
      </c>
      <c r="E256" s="2">
        <f>IF(A256="","",MAX(0,C256-D256))</f>
        <v/>
      </c>
      <c r="F256" s="2">
        <f>IF(A256="","",IF(E256=0,"COMPLETO","FALTA"))</f>
        <v/>
      </c>
    </row>
    <row r="257">
      <c r="A257" s="2" t="inlineStr"/>
      <c r="B257" s="2" t="inlineStr"/>
      <c r="C257" s="2" t="inlineStr"/>
      <c r="D257" s="2">
        <f>IF(A257="","",COUNTIFS(SALIDAS!$C$2:$C$1000,A257,SALIDAS!$E$2:$E$1000,B257,SALIDAS!$G$2:$G$1000,"OK*"))</f>
        <v/>
      </c>
      <c r="E257" s="2">
        <f>IF(A257="","",MAX(0,C257-D257))</f>
        <v/>
      </c>
      <c r="F257" s="2">
        <f>IF(A257="","",IF(E257=0,"COMPLETO","FALTA"))</f>
        <v/>
      </c>
    </row>
    <row r="258">
      <c r="A258" s="2" t="inlineStr"/>
      <c r="B258" s="2" t="inlineStr"/>
      <c r="C258" s="2" t="inlineStr"/>
      <c r="D258" s="2">
        <f>IF(A258="","",COUNTIFS(SALIDAS!$C$2:$C$1000,A258,SALIDAS!$E$2:$E$1000,B258,SALIDAS!$G$2:$G$1000,"OK*"))</f>
        <v/>
      </c>
      <c r="E258" s="2">
        <f>IF(A258="","",MAX(0,C258-D258))</f>
        <v/>
      </c>
      <c r="F258" s="2">
        <f>IF(A258="","",IF(E258=0,"COMPLETO","FALTA"))</f>
        <v/>
      </c>
    </row>
    <row r="259">
      <c r="A259" s="2" t="inlineStr"/>
      <c r="B259" s="2" t="inlineStr"/>
      <c r="C259" s="2" t="inlineStr"/>
      <c r="D259" s="2">
        <f>IF(A259="","",COUNTIFS(SALIDAS!$C$2:$C$1000,A259,SALIDAS!$E$2:$E$1000,B259,SALIDAS!$G$2:$G$1000,"OK*"))</f>
        <v/>
      </c>
      <c r="E259" s="2">
        <f>IF(A259="","",MAX(0,C259-D259))</f>
        <v/>
      </c>
      <c r="F259" s="2">
        <f>IF(A259="","",IF(E259=0,"COMPLETO","FALTA"))</f>
        <v/>
      </c>
    </row>
    <row r="260">
      <c r="A260" s="2" t="inlineStr"/>
      <c r="B260" s="2" t="inlineStr"/>
      <c r="C260" s="2" t="inlineStr"/>
      <c r="D260" s="2">
        <f>IF(A260="","",COUNTIFS(SALIDAS!$C$2:$C$1000,A260,SALIDAS!$E$2:$E$1000,B260,SALIDAS!$G$2:$G$1000,"OK*"))</f>
        <v/>
      </c>
      <c r="E260" s="2">
        <f>IF(A260="","",MAX(0,C260-D260))</f>
        <v/>
      </c>
      <c r="F260" s="2">
        <f>IF(A260="","",IF(E260=0,"COMPLETO","FALTA"))</f>
        <v/>
      </c>
    </row>
    <row r="261">
      <c r="A261" s="2" t="inlineStr"/>
      <c r="B261" s="2" t="inlineStr"/>
      <c r="C261" s="2" t="inlineStr"/>
      <c r="D261" s="2">
        <f>IF(A261="","",COUNTIFS(SALIDAS!$C$2:$C$1000,A261,SALIDAS!$E$2:$E$1000,B261,SALIDAS!$G$2:$G$1000,"OK*"))</f>
        <v/>
      </c>
      <c r="E261" s="2">
        <f>IF(A261="","",MAX(0,C261-D261))</f>
        <v/>
      </c>
      <c r="F261" s="2">
        <f>IF(A261="","",IF(E261=0,"COMPLETO","FALTA"))</f>
        <v/>
      </c>
    </row>
    <row r="262">
      <c r="A262" s="2" t="inlineStr"/>
      <c r="B262" s="2" t="inlineStr"/>
      <c r="C262" s="2" t="inlineStr"/>
      <c r="D262" s="2">
        <f>IF(A262="","",COUNTIFS(SALIDAS!$C$2:$C$1000,A262,SALIDAS!$E$2:$E$1000,B262,SALIDAS!$G$2:$G$1000,"OK*"))</f>
        <v/>
      </c>
      <c r="E262" s="2">
        <f>IF(A262="","",MAX(0,C262-D262))</f>
        <v/>
      </c>
      <c r="F262" s="2">
        <f>IF(A262="","",IF(E262=0,"COMPLETO","FALTA"))</f>
        <v/>
      </c>
    </row>
    <row r="263">
      <c r="A263" s="2" t="inlineStr"/>
      <c r="B263" s="2" t="inlineStr"/>
      <c r="C263" s="2" t="inlineStr"/>
      <c r="D263" s="2">
        <f>IF(A263="","",COUNTIFS(SALIDAS!$C$2:$C$1000,A263,SALIDAS!$E$2:$E$1000,B263,SALIDAS!$G$2:$G$1000,"OK*"))</f>
        <v/>
      </c>
      <c r="E263" s="2">
        <f>IF(A263="","",MAX(0,C263-D263))</f>
        <v/>
      </c>
      <c r="F263" s="2">
        <f>IF(A263="","",IF(E263=0,"COMPLETO","FALTA"))</f>
        <v/>
      </c>
    </row>
    <row r="264">
      <c r="A264" s="2" t="inlineStr"/>
      <c r="B264" s="2" t="inlineStr"/>
      <c r="C264" s="2" t="inlineStr"/>
      <c r="D264" s="2">
        <f>IF(A264="","",COUNTIFS(SALIDAS!$C$2:$C$1000,A264,SALIDAS!$E$2:$E$1000,B264,SALIDAS!$G$2:$G$1000,"OK*"))</f>
        <v/>
      </c>
      <c r="E264" s="2">
        <f>IF(A264="","",MAX(0,C264-D264))</f>
        <v/>
      </c>
      <c r="F264" s="2">
        <f>IF(A264="","",IF(E264=0,"COMPLETO","FALTA"))</f>
        <v/>
      </c>
    </row>
    <row r="265">
      <c r="A265" s="2" t="inlineStr"/>
      <c r="B265" s="2" t="inlineStr"/>
      <c r="C265" s="2" t="inlineStr"/>
      <c r="D265" s="2">
        <f>IF(A265="","",COUNTIFS(SALIDAS!$C$2:$C$1000,A265,SALIDAS!$E$2:$E$1000,B265,SALIDAS!$G$2:$G$1000,"OK*"))</f>
        <v/>
      </c>
      <c r="E265" s="2">
        <f>IF(A265="","",MAX(0,C265-D265))</f>
        <v/>
      </c>
      <c r="F265" s="2">
        <f>IF(A265="","",IF(E265=0,"COMPLETO","FALTA"))</f>
        <v/>
      </c>
    </row>
    <row r="266">
      <c r="A266" s="2" t="inlineStr"/>
      <c r="B266" s="2" t="inlineStr"/>
      <c r="C266" s="2" t="inlineStr"/>
      <c r="D266" s="2">
        <f>IF(A266="","",COUNTIFS(SALIDAS!$C$2:$C$1000,A266,SALIDAS!$E$2:$E$1000,B266,SALIDAS!$G$2:$G$1000,"OK*"))</f>
        <v/>
      </c>
      <c r="E266" s="2">
        <f>IF(A266="","",MAX(0,C266-D266))</f>
        <v/>
      </c>
      <c r="F266" s="2">
        <f>IF(A266="","",IF(E266=0,"COMPLETO","FALTA"))</f>
        <v/>
      </c>
    </row>
    <row r="267">
      <c r="A267" s="2" t="inlineStr"/>
      <c r="B267" s="2" t="inlineStr"/>
      <c r="C267" s="2" t="inlineStr"/>
      <c r="D267" s="2">
        <f>IF(A267="","",COUNTIFS(SALIDAS!$C$2:$C$1000,A267,SALIDAS!$E$2:$E$1000,B267,SALIDAS!$G$2:$G$1000,"OK*"))</f>
        <v/>
      </c>
      <c r="E267" s="2">
        <f>IF(A267="","",MAX(0,C267-D267))</f>
        <v/>
      </c>
      <c r="F267" s="2">
        <f>IF(A267="","",IF(E267=0,"COMPLETO","FALTA"))</f>
        <v/>
      </c>
    </row>
    <row r="268">
      <c r="A268" s="2" t="inlineStr"/>
      <c r="B268" s="2" t="inlineStr"/>
      <c r="C268" s="2" t="inlineStr"/>
      <c r="D268" s="2">
        <f>IF(A268="","",COUNTIFS(SALIDAS!$C$2:$C$1000,A268,SALIDAS!$E$2:$E$1000,B268,SALIDAS!$G$2:$G$1000,"OK*"))</f>
        <v/>
      </c>
      <c r="E268" s="2">
        <f>IF(A268="","",MAX(0,C268-D268))</f>
        <v/>
      </c>
      <c r="F268" s="2">
        <f>IF(A268="","",IF(E268=0,"COMPLETO","FALTA"))</f>
        <v/>
      </c>
    </row>
    <row r="269">
      <c r="A269" s="2" t="inlineStr"/>
      <c r="B269" s="2" t="inlineStr"/>
      <c r="C269" s="2" t="inlineStr"/>
      <c r="D269" s="2">
        <f>IF(A269="","",COUNTIFS(SALIDAS!$C$2:$C$1000,A269,SALIDAS!$E$2:$E$1000,B269,SALIDAS!$G$2:$G$1000,"OK*"))</f>
        <v/>
      </c>
      <c r="E269" s="2">
        <f>IF(A269="","",MAX(0,C269-D269))</f>
        <v/>
      </c>
      <c r="F269" s="2">
        <f>IF(A269="","",IF(E269=0,"COMPLETO","FALTA"))</f>
        <v/>
      </c>
    </row>
    <row r="270">
      <c r="A270" s="2" t="inlineStr"/>
      <c r="B270" s="2" t="inlineStr"/>
      <c r="C270" s="2" t="inlineStr"/>
      <c r="D270" s="2">
        <f>IF(A270="","",COUNTIFS(SALIDAS!$C$2:$C$1000,A270,SALIDAS!$E$2:$E$1000,B270,SALIDAS!$G$2:$G$1000,"OK*"))</f>
        <v/>
      </c>
      <c r="E270" s="2">
        <f>IF(A270="","",MAX(0,C270-D270))</f>
        <v/>
      </c>
      <c r="F270" s="2">
        <f>IF(A270="","",IF(E270=0,"COMPLETO","FALTA"))</f>
        <v/>
      </c>
    </row>
    <row r="271">
      <c r="A271" s="2" t="inlineStr"/>
      <c r="B271" s="2" t="inlineStr"/>
      <c r="C271" s="2" t="inlineStr"/>
      <c r="D271" s="2">
        <f>IF(A271="","",COUNTIFS(SALIDAS!$C$2:$C$1000,A271,SALIDAS!$E$2:$E$1000,B271,SALIDAS!$G$2:$G$1000,"OK*"))</f>
        <v/>
      </c>
      <c r="E271" s="2">
        <f>IF(A271="","",MAX(0,C271-D271))</f>
        <v/>
      </c>
      <c r="F271" s="2">
        <f>IF(A271="","",IF(E271=0,"COMPLETO","FALTA"))</f>
        <v/>
      </c>
    </row>
    <row r="272">
      <c r="A272" s="2" t="inlineStr"/>
      <c r="B272" s="2" t="inlineStr"/>
      <c r="C272" s="2" t="inlineStr"/>
      <c r="D272" s="2">
        <f>IF(A272="","",COUNTIFS(SALIDAS!$C$2:$C$1000,A272,SALIDAS!$E$2:$E$1000,B272,SALIDAS!$G$2:$G$1000,"OK*"))</f>
        <v/>
      </c>
      <c r="E272" s="2">
        <f>IF(A272="","",MAX(0,C272-D272))</f>
        <v/>
      </c>
      <c r="F272" s="2">
        <f>IF(A272="","",IF(E272=0,"COMPLETO","FALTA"))</f>
        <v/>
      </c>
    </row>
    <row r="273">
      <c r="A273" s="2" t="inlineStr"/>
      <c r="B273" s="2" t="inlineStr"/>
      <c r="C273" s="2" t="inlineStr"/>
      <c r="D273" s="2">
        <f>IF(A273="","",COUNTIFS(SALIDAS!$C$2:$C$1000,A273,SALIDAS!$E$2:$E$1000,B273,SALIDAS!$G$2:$G$1000,"OK*"))</f>
        <v/>
      </c>
      <c r="E273" s="2">
        <f>IF(A273="","",MAX(0,C273-D273))</f>
        <v/>
      </c>
      <c r="F273" s="2">
        <f>IF(A273="","",IF(E273=0,"COMPLETO","FALTA"))</f>
        <v/>
      </c>
    </row>
    <row r="274">
      <c r="A274" s="2" t="inlineStr"/>
      <c r="B274" s="2" t="inlineStr"/>
      <c r="C274" s="2" t="inlineStr"/>
      <c r="D274" s="2">
        <f>IF(A274="","",COUNTIFS(SALIDAS!$C$2:$C$1000,A274,SALIDAS!$E$2:$E$1000,B274,SALIDAS!$G$2:$G$1000,"OK*"))</f>
        <v/>
      </c>
      <c r="E274" s="2">
        <f>IF(A274="","",MAX(0,C274-D274))</f>
        <v/>
      </c>
      <c r="F274" s="2">
        <f>IF(A274="","",IF(E274=0,"COMPLETO","FALTA"))</f>
        <v/>
      </c>
    </row>
    <row r="275">
      <c r="A275" s="2" t="inlineStr"/>
      <c r="B275" s="2" t="inlineStr"/>
      <c r="C275" s="2" t="inlineStr"/>
      <c r="D275" s="2">
        <f>IF(A275="","",COUNTIFS(SALIDAS!$C$2:$C$1000,A275,SALIDAS!$E$2:$E$1000,B275,SALIDAS!$G$2:$G$1000,"OK*"))</f>
        <v/>
      </c>
      <c r="E275" s="2">
        <f>IF(A275="","",MAX(0,C275-D275))</f>
        <v/>
      </c>
      <c r="F275" s="2">
        <f>IF(A275="","",IF(E275=0,"COMPLETO","FALTA"))</f>
        <v/>
      </c>
    </row>
    <row r="276">
      <c r="A276" s="2" t="inlineStr"/>
      <c r="B276" s="2" t="inlineStr"/>
      <c r="C276" s="2" t="inlineStr"/>
      <c r="D276" s="2">
        <f>IF(A276="","",COUNTIFS(SALIDAS!$C$2:$C$1000,A276,SALIDAS!$E$2:$E$1000,B276,SALIDAS!$G$2:$G$1000,"OK*"))</f>
        <v/>
      </c>
      <c r="E276" s="2">
        <f>IF(A276="","",MAX(0,C276-D276))</f>
        <v/>
      </c>
      <c r="F276" s="2">
        <f>IF(A276="","",IF(E276=0,"COMPLETO","FALTA"))</f>
        <v/>
      </c>
    </row>
    <row r="277">
      <c r="A277" s="2" t="inlineStr"/>
      <c r="B277" s="2" t="inlineStr"/>
      <c r="C277" s="2" t="inlineStr"/>
      <c r="D277" s="2">
        <f>IF(A277="","",COUNTIFS(SALIDAS!$C$2:$C$1000,A277,SALIDAS!$E$2:$E$1000,B277,SALIDAS!$G$2:$G$1000,"OK*"))</f>
        <v/>
      </c>
      <c r="E277" s="2">
        <f>IF(A277="","",MAX(0,C277-D277))</f>
        <v/>
      </c>
      <c r="F277" s="2">
        <f>IF(A277="","",IF(E277=0,"COMPLETO","FALTA"))</f>
        <v/>
      </c>
    </row>
    <row r="278">
      <c r="A278" s="2" t="inlineStr"/>
      <c r="B278" s="2" t="inlineStr"/>
      <c r="C278" s="2" t="inlineStr"/>
      <c r="D278" s="2">
        <f>IF(A278="","",COUNTIFS(SALIDAS!$C$2:$C$1000,A278,SALIDAS!$E$2:$E$1000,B278,SALIDAS!$G$2:$G$1000,"OK*"))</f>
        <v/>
      </c>
      <c r="E278" s="2">
        <f>IF(A278="","",MAX(0,C278-D278))</f>
        <v/>
      </c>
      <c r="F278" s="2">
        <f>IF(A278="","",IF(E278=0,"COMPLETO","FALTA"))</f>
        <v/>
      </c>
    </row>
    <row r="279">
      <c r="A279" s="2" t="inlineStr"/>
      <c r="B279" s="2" t="inlineStr"/>
      <c r="C279" s="2" t="inlineStr"/>
      <c r="D279" s="2">
        <f>IF(A279="","",COUNTIFS(SALIDAS!$C$2:$C$1000,A279,SALIDAS!$E$2:$E$1000,B279,SALIDAS!$G$2:$G$1000,"OK*"))</f>
        <v/>
      </c>
      <c r="E279" s="2">
        <f>IF(A279="","",MAX(0,C279-D279))</f>
        <v/>
      </c>
      <c r="F279" s="2">
        <f>IF(A279="","",IF(E279=0,"COMPLETO","FALTA"))</f>
        <v/>
      </c>
    </row>
    <row r="280">
      <c r="A280" s="2" t="inlineStr"/>
      <c r="B280" s="2" t="inlineStr"/>
      <c r="C280" s="2" t="inlineStr"/>
      <c r="D280" s="2">
        <f>IF(A280="","",COUNTIFS(SALIDAS!$C$2:$C$1000,A280,SALIDAS!$E$2:$E$1000,B280,SALIDAS!$G$2:$G$1000,"OK*"))</f>
        <v/>
      </c>
      <c r="E280" s="2">
        <f>IF(A280="","",MAX(0,C280-D280))</f>
        <v/>
      </c>
      <c r="F280" s="2">
        <f>IF(A280="","",IF(E280=0,"COMPLETO","FALTA"))</f>
        <v/>
      </c>
    </row>
    <row r="281">
      <c r="A281" s="2" t="inlineStr"/>
      <c r="B281" s="2" t="inlineStr"/>
      <c r="C281" s="2" t="inlineStr"/>
      <c r="D281" s="2">
        <f>IF(A281="","",COUNTIFS(SALIDAS!$C$2:$C$1000,A281,SALIDAS!$E$2:$E$1000,B281,SALIDAS!$G$2:$G$1000,"OK*"))</f>
        <v/>
      </c>
      <c r="E281" s="2">
        <f>IF(A281="","",MAX(0,C281-D281))</f>
        <v/>
      </c>
      <c r="F281" s="2">
        <f>IF(A281="","",IF(E281=0,"COMPLETO","FALTA"))</f>
        <v/>
      </c>
    </row>
    <row r="282">
      <c r="A282" s="2" t="inlineStr"/>
      <c r="B282" s="2" t="inlineStr"/>
      <c r="C282" s="2" t="inlineStr"/>
      <c r="D282" s="2">
        <f>IF(A282="","",COUNTIFS(SALIDAS!$C$2:$C$1000,A282,SALIDAS!$E$2:$E$1000,B282,SALIDAS!$G$2:$G$1000,"OK*"))</f>
        <v/>
      </c>
      <c r="E282" s="2">
        <f>IF(A282="","",MAX(0,C282-D282))</f>
        <v/>
      </c>
      <c r="F282" s="2">
        <f>IF(A282="","",IF(E282=0,"COMPLETO","FALTA"))</f>
        <v/>
      </c>
    </row>
    <row r="283">
      <c r="A283" s="2" t="inlineStr"/>
      <c r="B283" s="2" t="inlineStr"/>
      <c r="C283" s="2" t="inlineStr"/>
      <c r="D283" s="2">
        <f>IF(A283="","",COUNTIFS(SALIDAS!$C$2:$C$1000,A283,SALIDAS!$E$2:$E$1000,B283,SALIDAS!$G$2:$G$1000,"OK*"))</f>
        <v/>
      </c>
      <c r="E283" s="2">
        <f>IF(A283="","",MAX(0,C283-D283))</f>
        <v/>
      </c>
      <c r="F283" s="2">
        <f>IF(A283="","",IF(E283=0,"COMPLETO","FALTA"))</f>
        <v/>
      </c>
    </row>
    <row r="284">
      <c r="A284" s="2" t="inlineStr"/>
      <c r="B284" s="2" t="inlineStr"/>
      <c r="C284" s="2" t="inlineStr"/>
      <c r="D284" s="2">
        <f>IF(A284="","",COUNTIFS(SALIDAS!$C$2:$C$1000,A284,SALIDAS!$E$2:$E$1000,B284,SALIDAS!$G$2:$G$1000,"OK*"))</f>
        <v/>
      </c>
      <c r="E284" s="2">
        <f>IF(A284="","",MAX(0,C284-D284))</f>
        <v/>
      </c>
      <c r="F284" s="2">
        <f>IF(A284="","",IF(E284=0,"COMPLETO","FALTA"))</f>
        <v/>
      </c>
    </row>
    <row r="285">
      <c r="A285" s="2" t="inlineStr"/>
      <c r="B285" s="2" t="inlineStr"/>
      <c r="C285" s="2" t="inlineStr"/>
      <c r="D285" s="2">
        <f>IF(A285="","",COUNTIFS(SALIDAS!$C$2:$C$1000,A285,SALIDAS!$E$2:$E$1000,B285,SALIDAS!$G$2:$G$1000,"OK*"))</f>
        <v/>
      </c>
      <c r="E285" s="2">
        <f>IF(A285="","",MAX(0,C285-D285))</f>
        <v/>
      </c>
      <c r="F285" s="2">
        <f>IF(A285="","",IF(E285=0,"COMPLETO","FALTA"))</f>
        <v/>
      </c>
    </row>
    <row r="286">
      <c r="A286" s="2" t="inlineStr"/>
      <c r="B286" s="2" t="inlineStr"/>
      <c r="C286" s="2" t="inlineStr"/>
      <c r="D286" s="2">
        <f>IF(A286="","",COUNTIFS(SALIDAS!$C$2:$C$1000,A286,SALIDAS!$E$2:$E$1000,B286,SALIDAS!$G$2:$G$1000,"OK*"))</f>
        <v/>
      </c>
      <c r="E286" s="2">
        <f>IF(A286="","",MAX(0,C286-D286))</f>
        <v/>
      </c>
      <c r="F286" s="2">
        <f>IF(A286="","",IF(E286=0,"COMPLETO","FALTA"))</f>
        <v/>
      </c>
    </row>
    <row r="287">
      <c r="A287" s="2" t="inlineStr"/>
      <c r="B287" s="2" t="inlineStr"/>
      <c r="C287" s="2" t="inlineStr"/>
      <c r="D287" s="2">
        <f>IF(A287="","",COUNTIFS(SALIDAS!$C$2:$C$1000,A287,SALIDAS!$E$2:$E$1000,B287,SALIDAS!$G$2:$G$1000,"OK*"))</f>
        <v/>
      </c>
      <c r="E287" s="2">
        <f>IF(A287="","",MAX(0,C287-D287))</f>
        <v/>
      </c>
      <c r="F287" s="2">
        <f>IF(A287="","",IF(E287=0,"COMPLETO","FALTA"))</f>
        <v/>
      </c>
    </row>
    <row r="288">
      <c r="A288" s="2" t="inlineStr"/>
      <c r="B288" s="2" t="inlineStr"/>
      <c r="C288" s="2" t="inlineStr"/>
      <c r="D288" s="2">
        <f>IF(A288="","",COUNTIFS(SALIDAS!$C$2:$C$1000,A288,SALIDAS!$E$2:$E$1000,B288,SALIDAS!$G$2:$G$1000,"OK*"))</f>
        <v/>
      </c>
      <c r="E288" s="2">
        <f>IF(A288="","",MAX(0,C288-D288))</f>
        <v/>
      </c>
      <c r="F288" s="2">
        <f>IF(A288="","",IF(E288=0,"COMPLETO","FALTA"))</f>
        <v/>
      </c>
    </row>
    <row r="289">
      <c r="A289" s="2" t="inlineStr"/>
      <c r="B289" s="2" t="inlineStr"/>
      <c r="C289" s="2" t="inlineStr"/>
      <c r="D289" s="2">
        <f>IF(A289="","",COUNTIFS(SALIDAS!$C$2:$C$1000,A289,SALIDAS!$E$2:$E$1000,B289,SALIDAS!$G$2:$G$1000,"OK*"))</f>
        <v/>
      </c>
      <c r="E289" s="2">
        <f>IF(A289="","",MAX(0,C289-D289))</f>
        <v/>
      </c>
      <c r="F289" s="2">
        <f>IF(A289="","",IF(E289=0,"COMPLETO","FALTA"))</f>
        <v/>
      </c>
    </row>
    <row r="290">
      <c r="A290" s="2" t="inlineStr"/>
      <c r="B290" s="2" t="inlineStr"/>
      <c r="C290" s="2" t="inlineStr"/>
      <c r="D290" s="2">
        <f>IF(A290="","",COUNTIFS(SALIDAS!$C$2:$C$1000,A290,SALIDAS!$E$2:$E$1000,B290,SALIDAS!$G$2:$G$1000,"OK*"))</f>
        <v/>
      </c>
      <c r="E290" s="2">
        <f>IF(A290="","",MAX(0,C290-D290))</f>
        <v/>
      </c>
      <c r="F290" s="2">
        <f>IF(A290="","",IF(E290=0,"COMPLETO","FALTA"))</f>
        <v/>
      </c>
    </row>
    <row r="291">
      <c r="A291" s="2" t="inlineStr"/>
      <c r="B291" s="2" t="inlineStr"/>
      <c r="C291" s="2" t="inlineStr"/>
      <c r="D291" s="2">
        <f>IF(A291="","",COUNTIFS(SALIDAS!$C$2:$C$1000,A291,SALIDAS!$E$2:$E$1000,B291,SALIDAS!$G$2:$G$1000,"OK*"))</f>
        <v/>
      </c>
      <c r="E291" s="2">
        <f>IF(A291="","",MAX(0,C291-D291))</f>
        <v/>
      </c>
      <c r="F291" s="2">
        <f>IF(A291="","",IF(E291=0,"COMPLETO","FALTA"))</f>
        <v/>
      </c>
    </row>
    <row r="292">
      <c r="A292" s="2" t="inlineStr"/>
      <c r="B292" s="2" t="inlineStr"/>
      <c r="C292" s="2" t="inlineStr"/>
      <c r="D292" s="2">
        <f>IF(A292="","",COUNTIFS(SALIDAS!$C$2:$C$1000,A292,SALIDAS!$E$2:$E$1000,B292,SALIDAS!$G$2:$G$1000,"OK*"))</f>
        <v/>
      </c>
      <c r="E292" s="2">
        <f>IF(A292="","",MAX(0,C292-D292))</f>
        <v/>
      </c>
      <c r="F292" s="2">
        <f>IF(A292="","",IF(E292=0,"COMPLETO","FALTA"))</f>
        <v/>
      </c>
    </row>
    <row r="293">
      <c r="A293" s="2" t="inlineStr"/>
      <c r="B293" s="2" t="inlineStr"/>
      <c r="C293" s="2" t="inlineStr"/>
      <c r="D293" s="2">
        <f>IF(A293="","",COUNTIFS(SALIDAS!$C$2:$C$1000,A293,SALIDAS!$E$2:$E$1000,B293,SALIDAS!$G$2:$G$1000,"OK*"))</f>
        <v/>
      </c>
      <c r="E293" s="2">
        <f>IF(A293="","",MAX(0,C293-D293))</f>
        <v/>
      </c>
      <c r="F293" s="2">
        <f>IF(A293="","",IF(E293=0,"COMPLETO","FALTA"))</f>
        <v/>
      </c>
    </row>
    <row r="294">
      <c r="A294" s="2" t="inlineStr"/>
      <c r="B294" s="2" t="inlineStr"/>
      <c r="C294" s="2" t="inlineStr"/>
      <c r="D294" s="2">
        <f>IF(A294="","",COUNTIFS(SALIDAS!$C$2:$C$1000,A294,SALIDAS!$E$2:$E$1000,B294,SALIDAS!$G$2:$G$1000,"OK*"))</f>
        <v/>
      </c>
      <c r="E294" s="2">
        <f>IF(A294="","",MAX(0,C294-D294))</f>
        <v/>
      </c>
      <c r="F294" s="2">
        <f>IF(A294="","",IF(E294=0,"COMPLETO","FALTA"))</f>
        <v/>
      </c>
    </row>
    <row r="295">
      <c r="A295" s="2" t="inlineStr"/>
      <c r="B295" s="2" t="inlineStr"/>
      <c r="C295" s="2" t="inlineStr"/>
      <c r="D295" s="2">
        <f>IF(A295="","",COUNTIFS(SALIDAS!$C$2:$C$1000,A295,SALIDAS!$E$2:$E$1000,B295,SALIDAS!$G$2:$G$1000,"OK*"))</f>
        <v/>
      </c>
      <c r="E295" s="2">
        <f>IF(A295="","",MAX(0,C295-D295))</f>
        <v/>
      </c>
      <c r="F295" s="2">
        <f>IF(A295="","",IF(E295=0,"COMPLETO","FALTA"))</f>
        <v/>
      </c>
    </row>
    <row r="296">
      <c r="A296" s="2" t="inlineStr"/>
      <c r="B296" s="2" t="inlineStr"/>
      <c r="C296" s="2" t="inlineStr"/>
      <c r="D296" s="2">
        <f>IF(A296="","",COUNTIFS(SALIDAS!$C$2:$C$1000,A296,SALIDAS!$E$2:$E$1000,B296,SALIDAS!$G$2:$G$1000,"OK*"))</f>
        <v/>
      </c>
      <c r="E296" s="2">
        <f>IF(A296="","",MAX(0,C296-D296))</f>
        <v/>
      </c>
      <c r="F296" s="2">
        <f>IF(A296="","",IF(E296=0,"COMPLETO","FALTA"))</f>
        <v/>
      </c>
    </row>
    <row r="297">
      <c r="A297" s="2" t="inlineStr"/>
      <c r="B297" s="2" t="inlineStr"/>
      <c r="C297" s="2" t="inlineStr"/>
      <c r="D297" s="2">
        <f>IF(A297="","",COUNTIFS(SALIDAS!$C$2:$C$1000,A297,SALIDAS!$E$2:$E$1000,B297,SALIDAS!$G$2:$G$1000,"OK*"))</f>
        <v/>
      </c>
      <c r="E297" s="2">
        <f>IF(A297="","",MAX(0,C297-D297))</f>
        <v/>
      </c>
      <c r="F297" s="2">
        <f>IF(A297="","",IF(E297=0,"COMPLETO","FALTA"))</f>
        <v/>
      </c>
    </row>
    <row r="298">
      <c r="A298" s="2" t="inlineStr"/>
      <c r="B298" s="2" t="inlineStr"/>
      <c r="C298" s="2" t="inlineStr"/>
      <c r="D298" s="2">
        <f>IF(A298="","",COUNTIFS(SALIDAS!$C$2:$C$1000,A298,SALIDAS!$E$2:$E$1000,B298,SALIDAS!$G$2:$G$1000,"OK*"))</f>
        <v/>
      </c>
      <c r="E298" s="2">
        <f>IF(A298="","",MAX(0,C298-D298))</f>
        <v/>
      </c>
      <c r="F298" s="2">
        <f>IF(A298="","",IF(E298=0,"COMPLETO","FALTA"))</f>
        <v/>
      </c>
    </row>
    <row r="299">
      <c r="A299" s="2" t="inlineStr"/>
      <c r="B299" s="2" t="inlineStr"/>
      <c r="C299" s="2" t="inlineStr"/>
      <c r="D299" s="2">
        <f>IF(A299="","",COUNTIFS(SALIDAS!$C$2:$C$1000,A299,SALIDAS!$E$2:$E$1000,B299,SALIDAS!$G$2:$G$1000,"OK*"))</f>
        <v/>
      </c>
      <c r="E299" s="2">
        <f>IF(A299="","",MAX(0,C299-D299))</f>
        <v/>
      </c>
      <c r="F299" s="2">
        <f>IF(A299="","",IF(E299=0,"COMPLETO","FALTA"))</f>
        <v/>
      </c>
    </row>
    <row r="300">
      <c r="A300" s="2" t="inlineStr"/>
      <c r="B300" s="2" t="inlineStr"/>
      <c r="C300" s="2" t="inlineStr"/>
      <c r="D300" s="2">
        <f>IF(A300="","",COUNTIFS(SALIDAS!$C$2:$C$1000,A300,SALIDAS!$E$2:$E$1000,B300,SALIDAS!$G$2:$G$1000,"OK*"))</f>
        <v/>
      </c>
      <c r="E300" s="2">
        <f>IF(A300="","",MAX(0,C300-D300))</f>
        <v/>
      </c>
      <c r="F300" s="2">
        <f>IF(A300="","",IF(E300=0,"COMPLETO","FALTA"))</f>
        <v/>
      </c>
    </row>
    <row r="301">
      <c r="A301" s="2" t="inlineStr"/>
      <c r="B301" s="2" t="inlineStr"/>
      <c r="C301" s="2" t="inlineStr"/>
      <c r="D301" s="2">
        <f>IF(A301="","",COUNTIFS(SALIDAS!$C$2:$C$1000,A301,SALIDAS!$E$2:$E$1000,B301,SALIDAS!$G$2:$G$1000,"OK*"))</f>
        <v/>
      </c>
      <c r="E301" s="2">
        <f>IF(A301="","",MAX(0,C301-D301))</f>
        <v/>
      </c>
      <c r="F301" s="2">
        <f>IF(A301="","",IF(E301=0,"COMPLETO","FALTA"))</f>
        <v/>
      </c>
    </row>
    <row r="302">
      <c r="A302" s="2" t="inlineStr"/>
      <c r="B302" s="2" t="inlineStr"/>
      <c r="C302" s="2" t="inlineStr"/>
      <c r="D302" s="2">
        <f>IF(A302="","",COUNTIFS(SALIDAS!$C$2:$C$1000,A302,SALIDAS!$E$2:$E$1000,B302,SALIDAS!$G$2:$G$1000,"OK*"))</f>
        <v/>
      </c>
      <c r="E302" s="2">
        <f>IF(A302="","",MAX(0,C302-D302))</f>
        <v/>
      </c>
      <c r="F302" s="2">
        <f>IF(A302="","",IF(E302=0,"COMPLETO","FALTA"))</f>
        <v/>
      </c>
    </row>
    <row r="303">
      <c r="A303" s="2" t="inlineStr"/>
      <c r="B303" s="2" t="inlineStr"/>
      <c r="C303" s="2" t="inlineStr"/>
      <c r="D303" s="2">
        <f>IF(A303="","",COUNTIFS(SALIDAS!$C$2:$C$1000,A303,SALIDAS!$E$2:$E$1000,B303,SALIDAS!$G$2:$G$1000,"OK*"))</f>
        <v/>
      </c>
      <c r="E303" s="2">
        <f>IF(A303="","",MAX(0,C303-D303))</f>
        <v/>
      </c>
      <c r="F303" s="2">
        <f>IF(A303="","",IF(E303=0,"COMPLETO","FALTA"))</f>
        <v/>
      </c>
    </row>
    <row r="304">
      <c r="A304" s="2" t="inlineStr"/>
      <c r="B304" s="2" t="inlineStr"/>
      <c r="C304" s="2" t="inlineStr"/>
      <c r="D304" s="2">
        <f>IF(A304="","",COUNTIFS(SALIDAS!$C$2:$C$1000,A304,SALIDAS!$E$2:$E$1000,B304,SALIDAS!$G$2:$G$1000,"OK*"))</f>
        <v/>
      </c>
      <c r="E304" s="2">
        <f>IF(A304="","",MAX(0,C304-D304))</f>
        <v/>
      </c>
      <c r="F304" s="2">
        <f>IF(A304="","",IF(E304=0,"COMPLETO","FALTA"))</f>
        <v/>
      </c>
    </row>
    <row r="305">
      <c r="A305" s="2" t="inlineStr"/>
      <c r="B305" s="2" t="inlineStr"/>
      <c r="C305" s="2" t="inlineStr"/>
      <c r="D305" s="2">
        <f>IF(A305="","",COUNTIFS(SALIDAS!$C$2:$C$1000,A305,SALIDAS!$E$2:$E$1000,B305,SALIDAS!$G$2:$G$1000,"OK*"))</f>
        <v/>
      </c>
      <c r="E305" s="2">
        <f>IF(A305="","",MAX(0,C305-D305))</f>
        <v/>
      </c>
      <c r="F305" s="2">
        <f>IF(A305="","",IF(E305=0,"COMPLETO","FALTA"))</f>
        <v/>
      </c>
    </row>
    <row r="306">
      <c r="A306" s="2" t="inlineStr"/>
      <c r="B306" s="2" t="inlineStr"/>
      <c r="C306" s="2" t="inlineStr"/>
      <c r="D306" s="2">
        <f>IF(A306="","",COUNTIFS(SALIDAS!$C$2:$C$1000,A306,SALIDAS!$E$2:$E$1000,B306,SALIDAS!$G$2:$G$1000,"OK*"))</f>
        <v/>
      </c>
      <c r="E306" s="2">
        <f>IF(A306="","",MAX(0,C306-D306))</f>
        <v/>
      </c>
      <c r="F306" s="2">
        <f>IF(A306="","",IF(E306=0,"COMPLETO","FALTA"))</f>
        <v/>
      </c>
    </row>
    <row r="307">
      <c r="A307" s="2" t="inlineStr"/>
      <c r="B307" s="2" t="inlineStr"/>
      <c r="C307" s="2" t="inlineStr"/>
      <c r="D307" s="2">
        <f>IF(A307="","",COUNTIFS(SALIDAS!$C$2:$C$1000,A307,SALIDAS!$E$2:$E$1000,B307,SALIDAS!$G$2:$G$1000,"OK*"))</f>
        <v/>
      </c>
      <c r="E307" s="2">
        <f>IF(A307="","",MAX(0,C307-D307))</f>
        <v/>
      </c>
      <c r="F307" s="2">
        <f>IF(A307="","",IF(E307=0,"COMPLETO","FALTA"))</f>
        <v/>
      </c>
    </row>
    <row r="308">
      <c r="A308" s="2" t="inlineStr"/>
      <c r="B308" s="2" t="inlineStr"/>
      <c r="C308" s="2" t="inlineStr"/>
      <c r="D308" s="2">
        <f>IF(A308="","",COUNTIFS(SALIDAS!$C$2:$C$1000,A308,SALIDAS!$E$2:$E$1000,B308,SALIDAS!$G$2:$G$1000,"OK*"))</f>
        <v/>
      </c>
      <c r="E308" s="2">
        <f>IF(A308="","",MAX(0,C308-D308))</f>
        <v/>
      </c>
      <c r="F308" s="2">
        <f>IF(A308="","",IF(E308=0,"COMPLETO","FALTA"))</f>
        <v/>
      </c>
    </row>
    <row r="309">
      <c r="A309" s="2" t="inlineStr"/>
      <c r="B309" s="2" t="inlineStr"/>
      <c r="C309" s="2" t="inlineStr"/>
      <c r="D309" s="2">
        <f>IF(A309="","",COUNTIFS(SALIDAS!$C$2:$C$1000,A309,SALIDAS!$E$2:$E$1000,B309,SALIDAS!$G$2:$G$1000,"OK*"))</f>
        <v/>
      </c>
      <c r="E309" s="2">
        <f>IF(A309="","",MAX(0,C309-D309))</f>
        <v/>
      </c>
      <c r="F309" s="2">
        <f>IF(A309="","",IF(E309=0,"COMPLETO","FALTA"))</f>
        <v/>
      </c>
    </row>
    <row r="310">
      <c r="A310" s="2" t="inlineStr"/>
      <c r="B310" s="2" t="inlineStr"/>
      <c r="C310" s="2" t="inlineStr"/>
      <c r="D310" s="2">
        <f>IF(A310="","",COUNTIFS(SALIDAS!$C$2:$C$1000,A310,SALIDAS!$E$2:$E$1000,B310,SALIDAS!$G$2:$G$1000,"OK*"))</f>
        <v/>
      </c>
      <c r="E310" s="2">
        <f>IF(A310="","",MAX(0,C310-D310))</f>
        <v/>
      </c>
      <c r="F310" s="2">
        <f>IF(A310="","",IF(E310=0,"COMPLETO","FALTA"))</f>
        <v/>
      </c>
    </row>
    <row r="311">
      <c r="A311" s="2" t="inlineStr"/>
      <c r="B311" s="2" t="inlineStr"/>
      <c r="C311" s="2" t="inlineStr"/>
      <c r="D311" s="2">
        <f>IF(A311="","",COUNTIFS(SALIDAS!$C$2:$C$1000,A311,SALIDAS!$E$2:$E$1000,B311,SALIDAS!$G$2:$G$1000,"OK*"))</f>
        <v/>
      </c>
      <c r="E311" s="2">
        <f>IF(A311="","",MAX(0,C311-D311))</f>
        <v/>
      </c>
      <c r="F311" s="2">
        <f>IF(A311="","",IF(E311=0,"COMPLETO","FALTA"))</f>
        <v/>
      </c>
    </row>
    <row r="312">
      <c r="A312" s="2" t="inlineStr"/>
      <c r="B312" s="2" t="inlineStr"/>
      <c r="C312" s="2" t="inlineStr"/>
      <c r="D312" s="2">
        <f>IF(A312="","",COUNTIFS(SALIDAS!$C$2:$C$1000,A312,SALIDAS!$E$2:$E$1000,B312,SALIDAS!$G$2:$G$1000,"OK*"))</f>
        <v/>
      </c>
      <c r="E312" s="2">
        <f>IF(A312="","",MAX(0,C312-D312))</f>
        <v/>
      </c>
      <c r="F312" s="2">
        <f>IF(A312="","",IF(E312=0,"COMPLETO","FALTA"))</f>
        <v/>
      </c>
    </row>
    <row r="313">
      <c r="A313" s="2" t="inlineStr"/>
      <c r="B313" s="2" t="inlineStr"/>
      <c r="C313" s="2" t="inlineStr"/>
      <c r="D313" s="2">
        <f>IF(A313="","",COUNTIFS(SALIDAS!$C$2:$C$1000,A313,SALIDAS!$E$2:$E$1000,B313,SALIDAS!$G$2:$G$1000,"OK*"))</f>
        <v/>
      </c>
      <c r="E313" s="2">
        <f>IF(A313="","",MAX(0,C313-D313))</f>
        <v/>
      </c>
      <c r="F313" s="2">
        <f>IF(A313="","",IF(E313=0,"COMPLETO","FALTA"))</f>
        <v/>
      </c>
    </row>
    <row r="314">
      <c r="A314" s="2" t="inlineStr"/>
      <c r="B314" s="2" t="inlineStr"/>
      <c r="C314" s="2" t="inlineStr"/>
      <c r="D314" s="2">
        <f>IF(A314="","",COUNTIFS(SALIDAS!$C$2:$C$1000,A314,SALIDAS!$E$2:$E$1000,B314,SALIDAS!$G$2:$G$1000,"OK*"))</f>
        <v/>
      </c>
      <c r="E314" s="2">
        <f>IF(A314="","",MAX(0,C314-D314))</f>
        <v/>
      </c>
      <c r="F314" s="2">
        <f>IF(A314="","",IF(E314=0,"COMPLETO","FALTA"))</f>
        <v/>
      </c>
    </row>
    <row r="315">
      <c r="A315" s="2" t="inlineStr"/>
      <c r="B315" s="2" t="inlineStr"/>
      <c r="C315" s="2" t="inlineStr"/>
      <c r="D315" s="2">
        <f>IF(A315="","",COUNTIFS(SALIDAS!$C$2:$C$1000,A315,SALIDAS!$E$2:$E$1000,B315,SALIDAS!$G$2:$G$1000,"OK*"))</f>
        <v/>
      </c>
      <c r="E315" s="2">
        <f>IF(A315="","",MAX(0,C315-D315))</f>
        <v/>
      </c>
      <c r="F315" s="2">
        <f>IF(A315="","",IF(E315=0,"COMPLETO","FALTA"))</f>
        <v/>
      </c>
    </row>
    <row r="316">
      <c r="A316" s="2" t="inlineStr"/>
      <c r="B316" s="2" t="inlineStr"/>
      <c r="C316" s="2" t="inlineStr"/>
      <c r="D316" s="2">
        <f>IF(A316="","",COUNTIFS(SALIDAS!$C$2:$C$1000,A316,SALIDAS!$E$2:$E$1000,B316,SALIDAS!$G$2:$G$1000,"OK*"))</f>
        <v/>
      </c>
      <c r="E316" s="2">
        <f>IF(A316="","",MAX(0,C316-D316))</f>
        <v/>
      </c>
      <c r="F316" s="2">
        <f>IF(A316="","",IF(E316=0,"COMPLETO","FALTA"))</f>
        <v/>
      </c>
    </row>
    <row r="317">
      <c r="A317" s="2" t="inlineStr"/>
      <c r="B317" s="2" t="inlineStr"/>
      <c r="C317" s="2" t="inlineStr"/>
      <c r="D317" s="2">
        <f>IF(A317="","",COUNTIFS(SALIDAS!$C$2:$C$1000,A317,SALIDAS!$E$2:$E$1000,B317,SALIDAS!$G$2:$G$1000,"OK*"))</f>
        <v/>
      </c>
      <c r="E317" s="2">
        <f>IF(A317="","",MAX(0,C317-D317))</f>
        <v/>
      </c>
      <c r="F317" s="2">
        <f>IF(A317="","",IF(E317=0,"COMPLETO","FALTA"))</f>
        <v/>
      </c>
    </row>
    <row r="318">
      <c r="A318" s="2" t="inlineStr"/>
      <c r="B318" s="2" t="inlineStr"/>
      <c r="C318" s="2" t="inlineStr"/>
      <c r="D318" s="2">
        <f>IF(A318="","",COUNTIFS(SALIDAS!$C$2:$C$1000,A318,SALIDAS!$E$2:$E$1000,B318,SALIDAS!$G$2:$G$1000,"OK*"))</f>
        <v/>
      </c>
      <c r="E318" s="2">
        <f>IF(A318="","",MAX(0,C318-D318))</f>
        <v/>
      </c>
      <c r="F318" s="2">
        <f>IF(A318="","",IF(E318=0,"COMPLETO","FALTA"))</f>
        <v/>
      </c>
    </row>
    <row r="319">
      <c r="A319" s="2" t="inlineStr"/>
      <c r="B319" s="2" t="inlineStr"/>
      <c r="C319" s="2" t="inlineStr"/>
      <c r="D319" s="2">
        <f>IF(A319="","",COUNTIFS(SALIDAS!$C$2:$C$1000,A319,SALIDAS!$E$2:$E$1000,B319,SALIDAS!$G$2:$G$1000,"OK*"))</f>
        <v/>
      </c>
      <c r="E319" s="2">
        <f>IF(A319="","",MAX(0,C319-D319))</f>
        <v/>
      </c>
      <c r="F319" s="2">
        <f>IF(A319="","",IF(E319=0,"COMPLETO","FALTA"))</f>
        <v/>
      </c>
    </row>
    <row r="320">
      <c r="A320" s="2" t="inlineStr"/>
      <c r="B320" s="2" t="inlineStr"/>
      <c r="C320" s="2" t="inlineStr"/>
      <c r="D320" s="2">
        <f>IF(A320="","",COUNTIFS(SALIDAS!$C$2:$C$1000,A320,SALIDAS!$E$2:$E$1000,B320,SALIDAS!$G$2:$G$1000,"OK*"))</f>
        <v/>
      </c>
      <c r="E320" s="2">
        <f>IF(A320="","",MAX(0,C320-D320))</f>
        <v/>
      </c>
      <c r="F320" s="2">
        <f>IF(A320="","",IF(E320=0,"COMPLETO","FALTA"))</f>
        <v/>
      </c>
    </row>
    <row r="321">
      <c r="A321" s="2" t="inlineStr"/>
      <c r="B321" s="2" t="inlineStr"/>
      <c r="C321" s="2" t="inlineStr"/>
      <c r="D321" s="2">
        <f>IF(A321="","",COUNTIFS(SALIDAS!$C$2:$C$1000,A321,SALIDAS!$E$2:$E$1000,B321,SALIDAS!$G$2:$G$1000,"OK*"))</f>
        <v/>
      </c>
      <c r="E321" s="2">
        <f>IF(A321="","",MAX(0,C321-D321))</f>
        <v/>
      </c>
      <c r="F321" s="2">
        <f>IF(A321="","",IF(E321=0,"COMPLETO","FALTA"))</f>
        <v/>
      </c>
    </row>
    <row r="322">
      <c r="A322" s="2" t="inlineStr"/>
      <c r="B322" s="2" t="inlineStr"/>
      <c r="C322" s="2" t="inlineStr"/>
      <c r="D322" s="2">
        <f>IF(A322="","",COUNTIFS(SALIDAS!$C$2:$C$1000,A322,SALIDAS!$E$2:$E$1000,B322,SALIDAS!$G$2:$G$1000,"OK*"))</f>
        <v/>
      </c>
      <c r="E322" s="2">
        <f>IF(A322="","",MAX(0,C322-D322))</f>
        <v/>
      </c>
      <c r="F322" s="2">
        <f>IF(A322="","",IF(E322=0,"COMPLETO","FALTA"))</f>
        <v/>
      </c>
    </row>
    <row r="323">
      <c r="A323" s="2" t="inlineStr"/>
      <c r="B323" s="2" t="inlineStr"/>
      <c r="C323" s="2" t="inlineStr"/>
      <c r="D323" s="2">
        <f>IF(A323="","",COUNTIFS(SALIDAS!$C$2:$C$1000,A323,SALIDAS!$E$2:$E$1000,B323,SALIDAS!$G$2:$G$1000,"OK*"))</f>
        <v/>
      </c>
      <c r="E323" s="2">
        <f>IF(A323="","",MAX(0,C323-D323))</f>
        <v/>
      </c>
      <c r="F323" s="2">
        <f>IF(A323="","",IF(E323=0,"COMPLETO","FALTA"))</f>
        <v/>
      </c>
    </row>
    <row r="324">
      <c r="A324" s="2" t="inlineStr"/>
      <c r="B324" s="2" t="inlineStr"/>
      <c r="C324" s="2" t="inlineStr"/>
      <c r="D324" s="2">
        <f>IF(A324="","",COUNTIFS(SALIDAS!$C$2:$C$1000,A324,SALIDAS!$E$2:$E$1000,B324,SALIDAS!$G$2:$G$1000,"OK*"))</f>
        <v/>
      </c>
      <c r="E324" s="2">
        <f>IF(A324="","",MAX(0,C324-D324))</f>
        <v/>
      </c>
      <c r="F324" s="2">
        <f>IF(A324="","",IF(E324=0,"COMPLETO","FALTA"))</f>
        <v/>
      </c>
    </row>
    <row r="325">
      <c r="A325" s="2" t="inlineStr"/>
      <c r="B325" s="2" t="inlineStr"/>
      <c r="C325" s="2" t="inlineStr"/>
      <c r="D325" s="2">
        <f>IF(A325="","",COUNTIFS(SALIDAS!$C$2:$C$1000,A325,SALIDAS!$E$2:$E$1000,B325,SALIDAS!$G$2:$G$1000,"OK*"))</f>
        <v/>
      </c>
      <c r="E325" s="2">
        <f>IF(A325="","",MAX(0,C325-D325))</f>
        <v/>
      </c>
      <c r="F325" s="2">
        <f>IF(A325="","",IF(E325=0,"COMPLETO","FALTA"))</f>
        <v/>
      </c>
    </row>
    <row r="326">
      <c r="A326" s="2" t="inlineStr"/>
      <c r="B326" s="2" t="inlineStr"/>
      <c r="C326" s="2" t="inlineStr"/>
      <c r="D326" s="2">
        <f>IF(A326="","",COUNTIFS(SALIDAS!$C$2:$C$1000,A326,SALIDAS!$E$2:$E$1000,B326,SALIDAS!$G$2:$G$1000,"OK*"))</f>
        <v/>
      </c>
      <c r="E326" s="2">
        <f>IF(A326="","",MAX(0,C326-D326))</f>
        <v/>
      </c>
      <c r="F326" s="2">
        <f>IF(A326="","",IF(E326=0,"COMPLETO","FALTA"))</f>
        <v/>
      </c>
    </row>
    <row r="327">
      <c r="A327" s="2" t="inlineStr"/>
      <c r="B327" s="2" t="inlineStr"/>
      <c r="C327" s="2" t="inlineStr"/>
      <c r="D327" s="2">
        <f>IF(A327="","",COUNTIFS(SALIDAS!$C$2:$C$1000,A327,SALIDAS!$E$2:$E$1000,B327,SALIDAS!$G$2:$G$1000,"OK*"))</f>
        <v/>
      </c>
      <c r="E327" s="2">
        <f>IF(A327="","",MAX(0,C327-D327))</f>
        <v/>
      </c>
      <c r="F327" s="2">
        <f>IF(A327="","",IF(E327=0,"COMPLETO","FALTA"))</f>
        <v/>
      </c>
    </row>
    <row r="328">
      <c r="A328" s="2" t="inlineStr"/>
      <c r="B328" s="2" t="inlineStr"/>
      <c r="C328" s="2" t="inlineStr"/>
      <c r="D328" s="2">
        <f>IF(A328="","",COUNTIFS(SALIDAS!$C$2:$C$1000,A328,SALIDAS!$E$2:$E$1000,B328,SALIDAS!$G$2:$G$1000,"OK*"))</f>
        <v/>
      </c>
      <c r="E328" s="2">
        <f>IF(A328="","",MAX(0,C328-D328))</f>
        <v/>
      </c>
      <c r="F328" s="2">
        <f>IF(A328="","",IF(E328=0,"COMPLETO","FALTA"))</f>
        <v/>
      </c>
    </row>
    <row r="329">
      <c r="A329" s="2" t="inlineStr"/>
      <c r="B329" s="2" t="inlineStr"/>
      <c r="C329" s="2" t="inlineStr"/>
      <c r="D329" s="2">
        <f>IF(A329="","",COUNTIFS(SALIDAS!$C$2:$C$1000,A329,SALIDAS!$E$2:$E$1000,B329,SALIDAS!$G$2:$G$1000,"OK*"))</f>
        <v/>
      </c>
      <c r="E329" s="2">
        <f>IF(A329="","",MAX(0,C329-D329))</f>
        <v/>
      </c>
      <c r="F329" s="2">
        <f>IF(A329="","",IF(E329=0,"COMPLETO","FALTA"))</f>
        <v/>
      </c>
    </row>
    <row r="330">
      <c r="A330" s="2" t="inlineStr"/>
      <c r="B330" s="2" t="inlineStr"/>
      <c r="C330" s="2" t="inlineStr"/>
      <c r="D330" s="2">
        <f>IF(A330="","",COUNTIFS(SALIDAS!$C$2:$C$1000,A330,SALIDAS!$E$2:$E$1000,B330,SALIDAS!$G$2:$G$1000,"OK*"))</f>
        <v/>
      </c>
      <c r="E330" s="2">
        <f>IF(A330="","",MAX(0,C330-D330))</f>
        <v/>
      </c>
      <c r="F330" s="2">
        <f>IF(A330="","",IF(E330=0,"COMPLETO","FALTA"))</f>
        <v/>
      </c>
    </row>
    <row r="331">
      <c r="A331" s="2" t="inlineStr"/>
      <c r="B331" s="2" t="inlineStr"/>
      <c r="C331" s="2" t="inlineStr"/>
      <c r="D331" s="2">
        <f>IF(A331="","",COUNTIFS(SALIDAS!$C$2:$C$1000,A331,SALIDAS!$E$2:$E$1000,B331,SALIDAS!$G$2:$G$1000,"OK*"))</f>
        <v/>
      </c>
      <c r="E331" s="2">
        <f>IF(A331="","",MAX(0,C331-D331))</f>
        <v/>
      </c>
      <c r="F331" s="2">
        <f>IF(A331="","",IF(E331=0,"COMPLETO","FALTA"))</f>
        <v/>
      </c>
    </row>
    <row r="332">
      <c r="A332" s="2" t="inlineStr"/>
      <c r="B332" s="2" t="inlineStr"/>
      <c r="C332" s="2" t="inlineStr"/>
      <c r="D332" s="2">
        <f>IF(A332="","",COUNTIFS(SALIDAS!$C$2:$C$1000,A332,SALIDAS!$E$2:$E$1000,B332,SALIDAS!$G$2:$G$1000,"OK*"))</f>
        <v/>
      </c>
      <c r="E332" s="2">
        <f>IF(A332="","",MAX(0,C332-D332))</f>
        <v/>
      </c>
      <c r="F332" s="2">
        <f>IF(A332="","",IF(E332=0,"COMPLETO","FALTA"))</f>
        <v/>
      </c>
    </row>
    <row r="333">
      <c r="A333" s="2" t="inlineStr"/>
      <c r="B333" s="2" t="inlineStr"/>
      <c r="C333" s="2" t="inlineStr"/>
      <c r="D333" s="2">
        <f>IF(A333="","",COUNTIFS(SALIDAS!$C$2:$C$1000,A333,SALIDAS!$E$2:$E$1000,B333,SALIDAS!$G$2:$G$1000,"OK*"))</f>
        <v/>
      </c>
      <c r="E333" s="2">
        <f>IF(A333="","",MAX(0,C333-D333))</f>
        <v/>
      </c>
      <c r="F333" s="2">
        <f>IF(A333="","",IF(E333=0,"COMPLETO","FALTA"))</f>
        <v/>
      </c>
    </row>
    <row r="334">
      <c r="A334" s="2" t="inlineStr"/>
      <c r="B334" s="2" t="inlineStr"/>
      <c r="C334" s="2" t="inlineStr"/>
      <c r="D334" s="2">
        <f>IF(A334="","",COUNTIFS(SALIDAS!$C$2:$C$1000,A334,SALIDAS!$E$2:$E$1000,B334,SALIDAS!$G$2:$G$1000,"OK*"))</f>
        <v/>
      </c>
      <c r="E334" s="2">
        <f>IF(A334="","",MAX(0,C334-D334))</f>
        <v/>
      </c>
      <c r="F334" s="2">
        <f>IF(A334="","",IF(E334=0,"COMPLETO","FALTA"))</f>
        <v/>
      </c>
    </row>
    <row r="335">
      <c r="A335" s="2" t="inlineStr"/>
      <c r="B335" s="2" t="inlineStr"/>
      <c r="C335" s="2" t="inlineStr"/>
      <c r="D335" s="2">
        <f>IF(A335="","",COUNTIFS(SALIDAS!$C$2:$C$1000,A335,SALIDAS!$E$2:$E$1000,B335,SALIDAS!$G$2:$G$1000,"OK*"))</f>
        <v/>
      </c>
      <c r="E335" s="2">
        <f>IF(A335="","",MAX(0,C335-D335))</f>
        <v/>
      </c>
      <c r="F335" s="2">
        <f>IF(A335="","",IF(E335=0,"COMPLETO","FALTA"))</f>
        <v/>
      </c>
    </row>
    <row r="336">
      <c r="A336" s="2" t="inlineStr"/>
      <c r="B336" s="2" t="inlineStr"/>
      <c r="C336" s="2" t="inlineStr"/>
      <c r="D336" s="2">
        <f>IF(A336="","",COUNTIFS(SALIDAS!$C$2:$C$1000,A336,SALIDAS!$E$2:$E$1000,B336,SALIDAS!$G$2:$G$1000,"OK*"))</f>
        <v/>
      </c>
      <c r="E336" s="2">
        <f>IF(A336="","",MAX(0,C336-D336))</f>
        <v/>
      </c>
      <c r="F336" s="2">
        <f>IF(A336="","",IF(E336=0,"COMPLETO","FALTA"))</f>
        <v/>
      </c>
    </row>
    <row r="337">
      <c r="A337" s="2" t="inlineStr"/>
      <c r="B337" s="2" t="inlineStr"/>
      <c r="C337" s="2" t="inlineStr"/>
      <c r="D337" s="2">
        <f>IF(A337="","",COUNTIFS(SALIDAS!$C$2:$C$1000,A337,SALIDAS!$E$2:$E$1000,B337,SALIDAS!$G$2:$G$1000,"OK*"))</f>
        <v/>
      </c>
      <c r="E337" s="2">
        <f>IF(A337="","",MAX(0,C337-D337))</f>
        <v/>
      </c>
      <c r="F337" s="2">
        <f>IF(A337="","",IF(E337=0,"COMPLETO","FALTA"))</f>
        <v/>
      </c>
    </row>
    <row r="338">
      <c r="A338" s="2" t="inlineStr"/>
      <c r="B338" s="2" t="inlineStr"/>
      <c r="C338" s="2" t="inlineStr"/>
      <c r="D338" s="2">
        <f>IF(A338="","",COUNTIFS(SALIDAS!$C$2:$C$1000,A338,SALIDAS!$E$2:$E$1000,B338,SALIDAS!$G$2:$G$1000,"OK*"))</f>
        <v/>
      </c>
      <c r="E338" s="2">
        <f>IF(A338="","",MAX(0,C338-D338))</f>
        <v/>
      </c>
      <c r="F338" s="2">
        <f>IF(A338="","",IF(E338=0,"COMPLETO","FALTA"))</f>
        <v/>
      </c>
    </row>
    <row r="339">
      <c r="A339" s="2" t="inlineStr"/>
      <c r="B339" s="2" t="inlineStr"/>
      <c r="C339" s="2" t="inlineStr"/>
      <c r="D339" s="2">
        <f>IF(A339="","",COUNTIFS(SALIDAS!$C$2:$C$1000,A339,SALIDAS!$E$2:$E$1000,B339,SALIDAS!$G$2:$G$1000,"OK*"))</f>
        <v/>
      </c>
      <c r="E339" s="2">
        <f>IF(A339="","",MAX(0,C339-D339))</f>
        <v/>
      </c>
      <c r="F339" s="2">
        <f>IF(A339="","",IF(E339=0,"COMPLETO","FALTA"))</f>
        <v/>
      </c>
    </row>
    <row r="340">
      <c r="A340" s="2" t="inlineStr"/>
      <c r="B340" s="2" t="inlineStr"/>
      <c r="C340" s="2" t="inlineStr"/>
      <c r="D340" s="2">
        <f>IF(A340="","",COUNTIFS(SALIDAS!$C$2:$C$1000,A340,SALIDAS!$E$2:$E$1000,B340,SALIDAS!$G$2:$G$1000,"OK*"))</f>
        <v/>
      </c>
      <c r="E340" s="2">
        <f>IF(A340="","",MAX(0,C340-D340))</f>
        <v/>
      </c>
      <c r="F340" s="2">
        <f>IF(A340="","",IF(E340=0,"COMPLETO","FALTA"))</f>
        <v/>
      </c>
    </row>
    <row r="341">
      <c r="A341" s="2" t="inlineStr"/>
      <c r="B341" s="2" t="inlineStr"/>
      <c r="C341" s="2" t="inlineStr"/>
      <c r="D341" s="2">
        <f>IF(A341="","",COUNTIFS(SALIDAS!$C$2:$C$1000,A341,SALIDAS!$E$2:$E$1000,B341,SALIDAS!$G$2:$G$1000,"OK*"))</f>
        <v/>
      </c>
      <c r="E341" s="2">
        <f>IF(A341="","",MAX(0,C341-D341))</f>
        <v/>
      </c>
      <c r="F341" s="2">
        <f>IF(A341="","",IF(E341=0,"COMPLETO","FALTA"))</f>
        <v/>
      </c>
    </row>
    <row r="342">
      <c r="A342" s="2" t="inlineStr"/>
      <c r="B342" s="2" t="inlineStr"/>
      <c r="C342" s="2" t="inlineStr"/>
      <c r="D342" s="2">
        <f>IF(A342="","",COUNTIFS(SALIDAS!$C$2:$C$1000,A342,SALIDAS!$E$2:$E$1000,B342,SALIDAS!$G$2:$G$1000,"OK*"))</f>
        <v/>
      </c>
      <c r="E342" s="2">
        <f>IF(A342="","",MAX(0,C342-D342))</f>
        <v/>
      </c>
      <c r="F342" s="2">
        <f>IF(A342="","",IF(E342=0,"COMPLETO","FALTA"))</f>
        <v/>
      </c>
    </row>
    <row r="343">
      <c r="A343" s="2" t="inlineStr"/>
      <c r="B343" s="2" t="inlineStr"/>
      <c r="C343" s="2" t="inlineStr"/>
      <c r="D343" s="2">
        <f>IF(A343="","",COUNTIFS(SALIDAS!$C$2:$C$1000,A343,SALIDAS!$E$2:$E$1000,B343,SALIDAS!$G$2:$G$1000,"OK*"))</f>
        <v/>
      </c>
      <c r="E343" s="2">
        <f>IF(A343="","",MAX(0,C343-D343))</f>
        <v/>
      </c>
      <c r="F343" s="2">
        <f>IF(A343="","",IF(E343=0,"COMPLETO","FALTA"))</f>
        <v/>
      </c>
    </row>
    <row r="344">
      <c r="A344" s="2" t="inlineStr"/>
      <c r="B344" s="2" t="inlineStr"/>
      <c r="C344" s="2" t="inlineStr"/>
      <c r="D344" s="2">
        <f>IF(A344="","",COUNTIFS(SALIDAS!$C$2:$C$1000,A344,SALIDAS!$E$2:$E$1000,B344,SALIDAS!$G$2:$G$1000,"OK*"))</f>
        <v/>
      </c>
      <c r="E344" s="2">
        <f>IF(A344="","",MAX(0,C344-D344))</f>
        <v/>
      </c>
      <c r="F344" s="2">
        <f>IF(A344="","",IF(E344=0,"COMPLETO","FALTA"))</f>
        <v/>
      </c>
    </row>
    <row r="345">
      <c r="A345" s="2" t="inlineStr"/>
      <c r="B345" s="2" t="inlineStr"/>
      <c r="C345" s="2" t="inlineStr"/>
      <c r="D345" s="2">
        <f>IF(A345="","",COUNTIFS(SALIDAS!$C$2:$C$1000,A345,SALIDAS!$E$2:$E$1000,B345,SALIDAS!$G$2:$G$1000,"OK*"))</f>
        <v/>
      </c>
      <c r="E345" s="2">
        <f>IF(A345="","",MAX(0,C345-D345))</f>
        <v/>
      </c>
      <c r="F345" s="2">
        <f>IF(A345="","",IF(E345=0,"COMPLETO","FALTA"))</f>
        <v/>
      </c>
    </row>
    <row r="346">
      <c r="A346" s="2" t="inlineStr"/>
      <c r="B346" s="2" t="inlineStr"/>
      <c r="C346" s="2" t="inlineStr"/>
      <c r="D346" s="2">
        <f>IF(A346="","",COUNTIFS(SALIDAS!$C$2:$C$1000,A346,SALIDAS!$E$2:$E$1000,B346,SALIDAS!$G$2:$G$1000,"OK*"))</f>
        <v/>
      </c>
      <c r="E346" s="2">
        <f>IF(A346="","",MAX(0,C346-D346))</f>
        <v/>
      </c>
      <c r="F346" s="2">
        <f>IF(A346="","",IF(E346=0,"COMPLETO","FALTA"))</f>
        <v/>
      </c>
    </row>
    <row r="347">
      <c r="A347" s="2" t="inlineStr"/>
      <c r="B347" s="2" t="inlineStr"/>
      <c r="C347" s="2" t="inlineStr"/>
      <c r="D347" s="2">
        <f>IF(A347="","",COUNTIFS(SALIDAS!$C$2:$C$1000,A347,SALIDAS!$E$2:$E$1000,B347,SALIDAS!$G$2:$G$1000,"OK*"))</f>
        <v/>
      </c>
      <c r="E347" s="2">
        <f>IF(A347="","",MAX(0,C347-D347))</f>
        <v/>
      </c>
      <c r="F347" s="2">
        <f>IF(A347="","",IF(E347=0,"COMPLETO","FALTA"))</f>
        <v/>
      </c>
    </row>
    <row r="348">
      <c r="A348" s="2" t="inlineStr"/>
      <c r="B348" s="2" t="inlineStr"/>
      <c r="C348" s="2" t="inlineStr"/>
      <c r="D348" s="2">
        <f>IF(A348="","",COUNTIFS(SALIDAS!$C$2:$C$1000,A348,SALIDAS!$E$2:$E$1000,B348,SALIDAS!$G$2:$G$1000,"OK*"))</f>
        <v/>
      </c>
      <c r="E348" s="2">
        <f>IF(A348="","",MAX(0,C348-D348))</f>
        <v/>
      </c>
      <c r="F348" s="2">
        <f>IF(A348="","",IF(E348=0,"COMPLETO","FALTA"))</f>
        <v/>
      </c>
    </row>
    <row r="349">
      <c r="A349" s="2" t="inlineStr"/>
      <c r="B349" s="2" t="inlineStr"/>
      <c r="C349" s="2" t="inlineStr"/>
      <c r="D349" s="2">
        <f>IF(A349="","",COUNTIFS(SALIDAS!$C$2:$C$1000,A349,SALIDAS!$E$2:$E$1000,B349,SALIDAS!$G$2:$G$1000,"OK*"))</f>
        <v/>
      </c>
      <c r="E349" s="2">
        <f>IF(A349="","",MAX(0,C349-D349))</f>
        <v/>
      </c>
      <c r="F349" s="2">
        <f>IF(A349="","",IF(E349=0,"COMPLETO","FALTA"))</f>
        <v/>
      </c>
    </row>
    <row r="350">
      <c r="A350" s="2" t="inlineStr"/>
      <c r="B350" s="2" t="inlineStr"/>
      <c r="C350" s="2" t="inlineStr"/>
      <c r="D350" s="2">
        <f>IF(A350="","",COUNTIFS(SALIDAS!$C$2:$C$1000,A350,SALIDAS!$E$2:$E$1000,B350,SALIDAS!$G$2:$G$1000,"OK*"))</f>
        <v/>
      </c>
      <c r="E350" s="2">
        <f>IF(A350="","",MAX(0,C350-D350))</f>
        <v/>
      </c>
      <c r="F350" s="2">
        <f>IF(A350="","",IF(E350=0,"COMPLETO","FALTA"))</f>
        <v/>
      </c>
    </row>
    <row r="351">
      <c r="A351" s="2" t="inlineStr"/>
      <c r="B351" s="2" t="inlineStr"/>
      <c r="C351" s="2" t="inlineStr"/>
      <c r="D351" s="2">
        <f>IF(A351="","",COUNTIFS(SALIDAS!$C$2:$C$1000,A351,SALIDAS!$E$2:$E$1000,B351,SALIDAS!$G$2:$G$1000,"OK*"))</f>
        <v/>
      </c>
      <c r="E351" s="2">
        <f>IF(A351="","",MAX(0,C351-D351))</f>
        <v/>
      </c>
      <c r="F351" s="2">
        <f>IF(A351="","",IF(E351=0,"COMPLETO","FALTA"))</f>
        <v/>
      </c>
    </row>
    <row r="352">
      <c r="A352" s="2" t="inlineStr"/>
      <c r="B352" s="2" t="inlineStr"/>
      <c r="C352" s="2" t="inlineStr"/>
      <c r="D352" s="2">
        <f>IF(A352="","",COUNTIFS(SALIDAS!$C$2:$C$1000,A352,SALIDAS!$E$2:$E$1000,B352,SALIDAS!$G$2:$G$1000,"OK*"))</f>
        <v/>
      </c>
      <c r="E352" s="2">
        <f>IF(A352="","",MAX(0,C352-D352))</f>
        <v/>
      </c>
      <c r="F352" s="2">
        <f>IF(A352="","",IF(E352=0,"COMPLETO","FALTA"))</f>
        <v/>
      </c>
    </row>
    <row r="353">
      <c r="A353" s="2" t="inlineStr"/>
      <c r="B353" s="2" t="inlineStr"/>
      <c r="C353" s="2" t="inlineStr"/>
      <c r="D353" s="2">
        <f>IF(A353="","",COUNTIFS(SALIDAS!$C$2:$C$1000,A353,SALIDAS!$E$2:$E$1000,B353,SALIDAS!$G$2:$G$1000,"OK*"))</f>
        <v/>
      </c>
      <c r="E353" s="2">
        <f>IF(A353="","",MAX(0,C353-D353))</f>
        <v/>
      </c>
      <c r="F353" s="2">
        <f>IF(A353="","",IF(E353=0,"COMPLETO","FALTA"))</f>
        <v/>
      </c>
    </row>
    <row r="354">
      <c r="A354" s="2" t="inlineStr"/>
      <c r="B354" s="2" t="inlineStr"/>
      <c r="C354" s="2" t="inlineStr"/>
      <c r="D354" s="2">
        <f>IF(A354="","",COUNTIFS(SALIDAS!$C$2:$C$1000,A354,SALIDAS!$E$2:$E$1000,B354,SALIDAS!$G$2:$G$1000,"OK*"))</f>
        <v/>
      </c>
      <c r="E354" s="2">
        <f>IF(A354="","",MAX(0,C354-D354))</f>
        <v/>
      </c>
      <c r="F354" s="2">
        <f>IF(A354="","",IF(E354=0,"COMPLETO","FALTA"))</f>
        <v/>
      </c>
    </row>
    <row r="355">
      <c r="A355" s="2" t="inlineStr"/>
      <c r="B355" s="2" t="inlineStr"/>
      <c r="C355" s="2" t="inlineStr"/>
      <c r="D355" s="2">
        <f>IF(A355="","",COUNTIFS(SALIDAS!$C$2:$C$1000,A355,SALIDAS!$E$2:$E$1000,B355,SALIDAS!$G$2:$G$1000,"OK*"))</f>
        <v/>
      </c>
      <c r="E355" s="2">
        <f>IF(A355="","",MAX(0,C355-D355))</f>
        <v/>
      </c>
      <c r="F355" s="2">
        <f>IF(A355="","",IF(E355=0,"COMPLETO","FALTA"))</f>
        <v/>
      </c>
    </row>
    <row r="356">
      <c r="A356" s="2" t="inlineStr"/>
      <c r="B356" s="2" t="inlineStr"/>
      <c r="C356" s="2" t="inlineStr"/>
      <c r="D356" s="2">
        <f>IF(A356="","",COUNTIFS(SALIDAS!$C$2:$C$1000,A356,SALIDAS!$E$2:$E$1000,B356,SALIDAS!$G$2:$G$1000,"OK*"))</f>
        <v/>
      </c>
      <c r="E356" s="2">
        <f>IF(A356="","",MAX(0,C356-D356))</f>
        <v/>
      </c>
      <c r="F356" s="2">
        <f>IF(A356="","",IF(E356=0,"COMPLETO","FALTA"))</f>
        <v/>
      </c>
    </row>
    <row r="357">
      <c r="A357" s="2" t="inlineStr"/>
      <c r="B357" s="2" t="inlineStr"/>
      <c r="C357" s="2" t="inlineStr"/>
      <c r="D357" s="2">
        <f>IF(A357="","",COUNTIFS(SALIDAS!$C$2:$C$1000,A357,SALIDAS!$E$2:$E$1000,B357,SALIDAS!$G$2:$G$1000,"OK*"))</f>
        <v/>
      </c>
      <c r="E357" s="2">
        <f>IF(A357="","",MAX(0,C357-D357))</f>
        <v/>
      </c>
      <c r="F357" s="2">
        <f>IF(A357="","",IF(E357=0,"COMPLETO","FALTA"))</f>
        <v/>
      </c>
    </row>
    <row r="358">
      <c r="A358" s="2" t="inlineStr"/>
      <c r="B358" s="2" t="inlineStr"/>
      <c r="C358" s="2" t="inlineStr"/>
      <c r="D358" s="2">
        <f>IF(A358="","",COUNTIFS(SALIDAS!$C$2:$C$1000,A358,SALIDAS!$E$2:$E$1000,B358,SALIDAS!$G$2:$G$1000,"OK*"))</f>
        <v/>
      </c>
      <c r="E358" s="2">
        <f>IF(A358="","",MAX(0,C358-D358))</f>
        <v/>
      </c>
      <c r="F358" s="2">
        <f>IF(A358="","",IF(E358=0,"COMPLETO","FALTA"))</f>
        <v/>
      </c>
    </row>
    <row r="359">
      <c r="A359" s="2" t="inlineStr"/>
      <c r="B359" s="2" t="inlineStr"/>
      <c r="C359" s="2" t="inlineStr"/>
      <c r="D359" s="2">
        <f>IF(A359="","",COUNTIFS(SALIDAS!$C$2:$C$1000,A359,SALIDAS!$E$2:$E$1000,B359,SALIDAS!$G$2:$G$1000,"OK*"))</f>
        <v/>
      </c>
      <c r="E359" s="2">
        <f>IF(A359="","",MAX(0,C359-D359))</f>
        <v/>
      </c>
      <c r="F359" s="2">
        <f>IF(A359="","",IF(E359=0,"COMPLETO","FALTA"))</f>
        <v/>
      </c>
    </row>
    <row r="360">
      <c r="A360" s="2" t="inlineStr"/>
      <c r="B360" s="2" t="inlineStr"/>
      <c r="C360" s="2" t="inlineStr"/>
      <c r="D360" s="2">
        <f>IF(A360="","",COUNTIFS(SALIDAS!$C$2:$C$1000,A360,SALIDAS!$E$2:$E$1000,B360,SALIDAS!$G$2:$G$1000,"OK*"))</f>
        <v/>
      </c>
      <c r="E360" s="2">
        <f>IF(A360="","",MAX(0,C360-D360))</f>
        <v/>
      </c>
      <c r="F360" s="2">
        <f>IF(A360="","",IF(E360=0,"COMPLETO","FALTA"))</f>
        <v/>
      </c>
    </row>
    <row r="361">
      <c r="A361" s="2" t="inlineStr"/>
      <c r="B361" s="2" t="inlineStr"/>
      <c r="C361" s="2" t="inlineStr"/>
      <c r="D361" s="2">
        <f>IF(A361="","",COUNTIFS(SALIDAS!$C$2:$C$1000,A361,SALIDAS!$E$2:$E$1000,B361,SALIDAS!$G$2:$G$1000,"OK*"))</f>
        <v/>
      </c>
      <c r="E361" s="2">
        <f>IF(A361="","",MAX(0,C361-D361))</f>
        <v/>
      </c>
      <c r="F361" s="2">
        <f>IF(A361="","",IF(E361=0,"COMPLETO","FALTA"))</f>
        <v/>
      </c>
    </row>
    <row r="362">
      <c r="A362" s="2" t="inlineStr"/>
      <c r="B362" s="2" t="inlineStr"/>
      <c r="C362" s="2" t="inlineStr"/>
      <c r="D362" s="2">
        <f>IF(A362="","",COUNTIFS(SALIDAS!$C$2:$C$1000,A362,SALIDAS!$E$2:$E$1000,B362,SALIDAS!$G$2:$G$1000,"OK*"))</f>
        <v/>
      </c>
      <c r="E362" s="2">
        <f>IF(A362="","",MAX(0,C362-D362))</f>
        <v/>
      </c>
      <c r="F362" s="2">
        <f>IF(A362="","",IF(E362=0,"COMPLETO","FALTA"))</f>
        <v/>
      </c>
    </row>
    <row r="363">
      <c r="A363" s="2" t="inlineStr"/>
      <c r="B363" s="2" t="inlineStr"/>
      <c r="C363" s="2" t="inlineStr"/>
      <c r="D363" s="2">
        <f>IF(A363="","",COUNTIFS(SALIDAS!$C$2:$C$1000,A363,SALIDAS!$E$2:$E$1000,B363,SALIDAS!$G$2:$G$1000,"OK*"))</f>
        <v/>
      </c>
      <c r="E363" s="2">
        <f>IF(A363="","",MAX(0,C363-D363))</f>
        <v/>
      </c>
      <c r="F363" s="2">
        <f>IF(A363="","",IF(E363=0,"COMPLETO","FALTA"))</f>
        <v/>
      </c>
    </row>
    <row r="364">
      <c r="A364" s="2" t="inlineStr"/>
      <c r="B364" s="2" t="inlineStr"/>
      <c r="C364" s="2" t="inlineStr"/>
      <c r="D364" s="2">
        <f>IF(A364="","",COUNTIFS(SALIDAS!$C$2:$C$1000,A364,SALIDAS!$E$2:$E$1000,B364,SALIDAS!$G$2:$G$1000,"OK*"))</f>
        <v/>
      </c>
      <c r="E364" s="2">
        <f>IF(A364="","",MAX(0,C364-D364))</f>
        <v/>
      </c>
      <c r="F364" s="2">
        <f>IF(A364="","",IF(E364=0,"COMPLETO","FALTA"))</f>
        <v/>
      </c>
    </row>
    <row r="365">
      <c r="A365" s="2" t="inlineStr"/>
      <c r="B365" s="2" t="inlineStr"/>
      <c r="C365" s="2" t="inlineStr"/>
      <c r="D365" s="2">
        <f>IF(A365="","",COUNTIFS(SALIDAS!$C$2:$C$1000,A365,SALIDAS!$E$2:$E$1000,B365,SALIDAS!$G$2:$G$1000,"OK*"))</f>
        <v/>
      </c>
      <c r="E365" s="2">
        <f>IF(A365="","",MAX(0,C365-D365))</f>
        <v/>
      </c>
      <c r="F365" s="2">
        <f>IF(A365="","",IF(E365=0,"COMPLETO","FALTA"))</f>
        <v/>
      </c>
    </row>
    <row r="366">
      <c r="A366" s="2" t="inlineStr"/>
      <c r="B366" s="2" t="inlineStr"/>
      <c r="C366" s="2" t="inlineStr"/>
      <c r="D366" s="2">
        <f>IF(A366="","",COUNTIFS(SALIDAS!$C$2:$C$1000,A366,SALIDAS!$E$2:$E$1000,B366,SALIDAS!$G$2:$G$1000,"OK*"))</f>
        <v/>
      </c>
      <c r="E366" s="2">
        <f>IF(A366="","",MAX(0,C366-D366))</f>
        <v/>
      </c>
      <c r="F366" s="2">
        <f>IF(A366="","",IF(E366=0,"COMPLETO","FALTA"))</f>
        <v/>
      </c>
    </row>
    <row r="367">
      <c r="A367" s="2" t="inlineStr"/>
      <c r="B367" s="2" t="inlineStr"/>
      <c r="C367" s="2" t="inlineStr"/>
      <c r="D367" s="2">
        <f>IF(A367="","",COUNTIFS(SALIDAS!$C$2:$C$1000,A367,SALIDAS!$E$2:$E$1000,B367,SALIDAS!$G$2:$G$1000,"OK*"))</f>
        <v/>
      </c>
      <c r="E367" s="2">
        <f>IF(A367="","",MAX(0,C367-D367))</f>
        <v/>
      </c>
      <c r="F367" s="2">
        <f>IF(A367="","",IF(E367=0,"COMPLETO","FALTA"))</f>
        <v/>
      </c>
    </row>
    <row r="368">
      <c r="A368" s="2" t="inlineStr"/>
      <c r="B368" s="2" t="inlineStr"/>
      <c r="C368" s="2" t="inlineStr"/>
      <c r="D368" s="2">
        <f>IF(A368="","",COUNTIFS(SALIDAS!$C$2:$C$1000,A368,SALIDAS!$E$2:$E$1000,B368,SALIDAS!$G$2:$G$1000,"OK*"))</f>
        <v/>
      </c>
      <c r="E368" s="2">
        <f>IF(A368="","",MAX(0,C368-D368))</f>
        <v/>
      </c>
      <c r="F368" s="2">
        <f>IF(A368="","",IF(E368=0,"COMPLETO","FALTA"))</f>
        <v/>
      </c>
    </row>
    <row r="369">
      <c r="A369" s="2" t="inlineStr"/>
      <c r="B369" s="2" t="inlineStr"/>
      <c r="C369" s="2" t="inlineStr"/>
      <c r="D369" s="2">
        <f>IF(A369="","",COUNTIFS(SALIDAS!$C$2:$C$1000,A369,SALIDAS!$E$2:$E$1000,B369,SALIDAS!$G$2:$G$1000,"OK*"))</f>
        <v/>
      </c>
      <c r="E369" s="2">
        <f>IF(A369="","",MAX(0,C369-D369))</f>
        <v/>
      </c>
      <c r="F369" s="2">
        <f>IF(A369="","",IF(E369=0,"COMPLETO","FALTA"))</f>
        <v/>
      </c>
    </row>
    <row r="370">
      <c r="A370" s="2" t="inlineStr"/>
      <c r="B370" s="2" t="inlineStr"/>
      <c r="C370" s="2" t="inlineStr"/>
      <c r="D370" s="2">
        <f>IF(A370="","",COUNTIFS(SALIDAS!$C$2:$C$1000,A370,SALIDAS!$E$2:$E$1000,B370,SALIDAS!$G$2:$G$1000,"OK*"))</f>
        <v/>
      </c>
      <c r="E370" s="2">
        <f>IF(A370="","",MAX(0,C370-D370))</f>
        <v/>
      </c>
      <c r="F370" s="2">
        <f>IF(A370="","",IF(E370=0,"COMPLETO","FALTA"))</f>
        <v/>
      </c>
    </row>
    <row r="371">
      <c r="A371" s="2" t="inlineStr"/>
      <c r="B371" s="2" t="inlineStr"/>
      <c r="C371" s="2" t="inlineStr"/>
      <c r="D371" s="2">
        <f>IF(A371="","",COUNTIFS(SALIDAS!$C$2:$C$1000,A371,SALIDAS!$E$2:$E$1000,B371,SALIDAS!$G$2:$G$1000,"OK*"))</f>
        <v/>
      </c>
      <c r="E371" s="2">
        <f>IF(A371="","",MAX(0,C371-D371))</f>
        <v/>
      </c>
      <c r="F371" s="2">
        <f>IF(A371="","",IF(E371=0,"COMPLETO","FALTA"))</f>
        <v/>
      </c>
    </row>
    <row r="372">
      <c r="A372" s="2" t="inlineStr"/>
      <c r="B372" s="2" t="inlineStr"/>
      <c r="C372" s="2" t="inlineStr"/>
      <c r="D372" s="2">
        <f>IF(A372="","",COUNTIFS(SALIDAS!$C$2:$C$1000,A372,SALIDAS!$E$2:$E$1000,B372,SALIDAS!$G$2:$G$1000,"OK*"))</f>
        <v/>
      </c>
      <c r="E372" s="2">
        <f>IF(A372="","",MAX(0,C372-D372))</f>
        <v/>
      </c>
      <c r="F372" s="2">
        <f>IF(A372="","",IF(E372=0,"COMPLETO","FALTA"))</f>
        <v/>
      </c>
    </row>
    <row r="373">
      <c r="A373" s="2" t="inlineStr"/>
      <c r="B373" s="2" t="inlineStr"/>
      <c r="C373" s="2" t="inlineStr"/>
      <c r="D373" s="2">
        <f>IF(A373="","",COUNTIFS(SALIDAS!$C$2:$C$1000,A373,SALIDAS!$E$2:$E$1000,B373,SALIDAS!$G$2:$G$1000,"OK*"))</f>
        <v/>
      </c>
      <c r="E373" s="2">
        <f>IF(A373="","",MAX(0,C373-D373))</f>
        <v/>
      </c>
      <c r="F373" s="2">
        <f>IF(A373="","",IF(E373=0,"COMPLETO","FALTA"))</f>
        <v/>
      </c>
    </row>
    <row r="374">
      <c r="A374" s="2" t="inlineStr"/>
      <c r="B374" s="2" t="inlineStr"/>
      <c r="C374" s="2" t="inlineStr"/>
      <c r="D374" s="2">
        <f>IF(A374="","",COUNTIFS(SALIDAS!$C$2:$C$1000,A374,SALIDAS!$E$2:$E$1000,B374,SALIDAS!$G$2:$G$1000,"OK*"))</f>
        <v/>
      </c>
      <c r="E374" s="2">
        <f>IF(A374="","",MAX(0,C374-D374))</f>
        <v/>
      </c>
      <c r="F374" s="2">
        <f>IF(A374="","",IF(E374=0,"COMPLETO","FALTA"))</f>
        <v/>
      </c>
    </row>
    <row r="375">
      <c r="A375" s="2" t="inlineStr"/>
      <c r="B375" s="2" t="inlineStr"/>
      <c r="C375" s="2" t="inlineStr"/>
      <c r="D375" s="2">
        <f>IF(A375="","",COUNTIFS(SALIDAS!$C$2:$C$1000,A375,SALIDAS!$E$2:$E$1000,B375,SALIDAS!$G$2:$G$1000,"OK*"))</f>
        <v/>
      </c>
      <c r="E375" s="2">
        <f>IF(A375="","",MAX(0,C375-D375))</f>
        <v/>
      </c>
      <c r="F375" s="2">
        <f>IF(A375="","",IF(E375=0,"COMPLETO","FALTA"))</f>
        <v/>
      </c>
    </row>
    <row r="376">
      <c r="A376" s="2" t="inlineStr"/>
      <c r="B376" s="2" t="inlineStr"/>
      <c r="C376" s="2" t="inlineStr"/>
      <c r="D376" s="2">
        <f>IF(A376="","",COUNTIFS(SALIDAS!$C$2:$C$1000,A376,SALIDAS!$E$2:$E$1000,B376,SALIDAS!$G$2:$G$1000,"OK*"))</f>
        <v/>
      </c>
      <c r="E376" s="2">
        <f>IF(A376="","",MAX(0,C376-D376))</f>
        <v/>
      </c>
      <c r="F376" s="2">
        <f>IF(A376="","",IF(E376=0,"COMPLETO","FALTA"))</f>
        <v/>
      </c>
    </row>
    <row r="377">
      <c r="A377" s="2" t="inlineStr"/>
      <c r="B377" s="2" t="inlineStr"/>
      <c r="C377" s="2" t="inlineStr"/>
      <c r="D377" s="2">
        <f>IF(A377="","",COUNTIFS(SALIDAS!$C$2:$C$1000,A377,SALIDAS!$E$2:$E$1000,B377,SALIDAS!$G$2:$G$1000,"OK*"))</f>
        <v/>
      </c>
      <c r="E377" s="2">
        <f>IF(A377="","",MAX(0,C377-D377))</f>
        <v/>
      </c>
      <c r="F377" s="2">
        <f>IF(A377="","",IF(E377=0,"COMPLETO","FALTA"))</f>
        <v/>
      </c>
    </row>
    <row r="378">
      <c r="A378" s="2" t="inlineStr"/>
      <c r="B378" s="2" t="inlineStr"/>
      <c r="C378" s="2" t="inlineStr"/>
      <c r="D378" s="2">
        <f>IF(A378="","",COUNTIFS(SALIDAS!$C$2:$C$1000,A378,SALIDAS!$E$2:$E$1000,B378,SALIDAS!$G$2:$G$1000,"OK*"))</f>
        <v/>
      </c>
      <c r="E378" s="2">
        <f>IF(A378="","",MAX(0,C378-D378))</f>
        <v/>
      </c>
      <c r="F378" s="2">
        <f>IF(A378="","",IF(E378=0,"COMPLETO","FALTA"))</f>
        <v/>
      </c>
    </row>
    <row r="379">
      <c r="A379" s="2" t="inlineStr"/>
      <c r="B379" s="2" t="inlineStr"/>
      <c r="C379" s="2" t="inlineStr"/>
      <c r="D379" s="2">
        <f>IF(A379="","",COUNTIFS(SALIDAS!$C$2:$C$1000,A379,SALIDAS!$E$2:$E$1000,B379,SALIDAS!$G$2:$G$1000,"OK*"))</f>
        <v/>
      </c>
      <c r="E379" s="2">
        <f>IF(A379="","",MAX(0,C379-D379))</f>
        <v/>
      </c>
      <c r="F379" s="2">
        <f>IF(A379="","",IF(E379=0,"COMPLETO","FALTA"))</f>
        <v/>
      </c>
    </row>
    <row r="380">
      <c r="A380" s="2" t="inlineStr"/>
      <c r="B380" s="2" t="inlineStr"/>
      <c r="C380" s="2" t="inlineStr"/>
      <c r="D380" s="2">
        <f>IF(A380="","",COUNTIFS(SALIDAS!$C$2:$C$1000,A380,SALIDAS!$E$2:$E$1000,B380,SALIDAS!$G$2:$G$1000,"OK*"))</f>
        <v/>
      </c>
      <c r="E380" s="2">
        <f>IF(A380="","",MAX(0,C380-D380))</f>
        <v/>
      </c>
      <c r="F380" s="2">
        <f>IF(A380="","",IF(E380=0,"COMPLETO","FALTA"))</f>
        <v/>
      </c>
    </row>
    <row r="381">
      <c r="A381" s="2" t="inlineStr"/>
      <c r="B381" s="2" t="inlineStr"/>
      <c r="C381" s="2" t="inlineStr"/>
      <c r="D381" s="2">
        <f>IF(A381="","",COUNTIFS(SALIDAS!$C$2:$C$1000,A381,SALIDAS!$E$2:$E$1000,B381,SALIDAS!$G$2:$G$1000,"OK*"))</f>
        <v/>
      </c>
      <c r="E381" s="2">
        <f>IF(A381="","",MAX(0,C381-D381))</f>
        <v/>
      </c>
      <c r="F381" s="2">
        <f>IF(A381="","",IF(E381=0,"COMPLETO","FALTA"))</f>
        <v/>
      </c>
    </row>
    <row r="382">
      <c r="A382" s="2" t="inlineStr"/>
      <c r="B382" s="2" t="inlineStr"/>
      <c r="C382" s="2" t="inlineStr"/>
      <c r="D382" s="2">
        <f>IF(A382="","",COUNTIFS(SALIDAS!$C$2:$C$1000,A382,SALIDAS!$E$2:$E$1000,B382,SALIDAS!$G$2:$G$1000,"OK*"))</f>
        <v/>
      </c>
      <c r="E382" s="2">
        <f>IF(A382="","",MAX(0,C382-D382))</f>
        <v/>
      </c>
      <c r="F382" s="2">
        <f>IF(A382="","",IF(E382=0,"COMPLETO","FALTA"))</f>
        <v/>
      </c>
    </row>
    <row r="383">
      <c r="A383" s="2" t="inlineStr"/>
      <c r="B383" s="2" t="inlineStr"/>
      <c r="C383" s="2" t="inlineStr"/>
      <c r="D383" s="2">
        <f>IF(A383="","",COUNTIFS(SALIDAS!$C$2:$C$1000,A383,SALIDAS!$E$2:$E$1000,B383,SALIDAS!$G$2:$G$1000,"OK*"))</f>
        <v/>
      </c>
      <c r="E383" s="2">
        <f>IF(A383="","",MAX(0,C383-D383))</f>
        <v/>
      </c>
      <c r="F383" s="2">
        <f>IF(A383="","",IF(E383=0,"COMPLETO","FALTA"))</f>
        <v/>
      </c>
    </row>
    <row r="384">
      <c r="A384" s="2" t="inlineStr"/>
      <c r="B384" s="2" t="inlineStr"/>
      <c r="C384" s="2" t="inlineStr"/>
      <c r="D384" s="2">
        <f>IF(A384="","",COUNTIFS(SALIDAS!$C$2:$C$1000,A384,SALIDAS!$E$2:$E$1000,B384,SALIDAS!$G$2:$G$1000,"OK*"))</f>
        <v/>
      </c>
      <c r="E384" s="2">
        <f>IF(A384="","",MAX(0,C384-D384))</f>
        <v/>
      </c>
      <c r="F384" s="2">
        <f>IF(A384="","",IF(E384=0,"COMPLETO","FALTA"))</f>
        <v/>
      </c>
    </row>
    <row r="385">
      <c r="A385" s="2" t="inlineStr"/>
      <c r="B385" s="2" t="inlineStr"/>
      <c r="C385" s="2" t="inlineStr"/>
      <c r="D385" s="2">
        <f>IF(A385="","",COUNTIFS(SALIDAS!$C$2:$C$1000,A385,SALIDAS!$E$2:$E$1000,B385,SALIDAS!$G$2:$G$1000,"OK*"))</f>
        <v/>
      </c>
      <c r="E385" s="2">
        <f>IF(A385="","",MAX(0,C385-D385))</f>
        <v/>
      </c>
      <c r="F385" s="2">
        <f>IF(A385="","",IF(E385=0,"COMPLETO","FALTA"))</f>
        <v/>
      </c>
    </row>
    <row r="386">
      <c r="A386" s="2" t="inlineStr"/>
      <c r="B386" s="2" t="inlineStr"/>
      <c r="C386" s="2" t="inlineStr"/>
      <c r="D386" s="2">
        <f>IF(A386="","",COUNTIFS(SALIDAS!$C$2:$C$1000,A386,SALIDAS!$E$2:$E$1000,B386,SALIDAS!$G$2:$G$1000,"OK*"))</f>
        <v/>
      </c>
      <c r="E386" s="2">
        <f>IF(A386="","",MAX(0,C386-D386))</f>
        <v/>
      </c>
      <c r="F386" s="2">
        <f>IF(A386="","",IF(E386=0,"COMPLETO","FALTA"))</f>
        <v/>
      </c>
    </row>
    <row r="387">
      <c r="A387" s="2" t="inlineStr"/>
      <c r="B387" s="2" t="inlineStr"/>
      <c r="C387" s="2" t="inlineStr"/>
      <c r="D387" s="2">
        <f>IF(A387="","",COUNTIFS(SALIDAS!$C$2:$C$1000,A387,SALIDAS!$E$2:$E$1000,B387,SALIDAS!$G$2:$G$1000,"OK*"))</f>
        <v/>
      </c>
      <c r="E387" s="2">
        <f>IF(A387="","",MAX(0,C387-D387))</f>
        <v/>
      </c>
      <c r="F387" s="2">
        <f>IF(A387="","",IF(E387=0,"COMPLETO","FALTA"))</f>
        <v/>
      </c>
    </row>
    <row r="388">
      <c r="A388" s="2" t="inlineStr"/>
      <c r="B388" s="2" t="inlineStr"/>
      <c r="C388" s="2" t="inlineStr"/>
      <c r="D388" s="2">
        <f>IF(A388="","",COUNTIFS(SALIDAS!$C$2:$C$1000,A388,SALIDAS!$E$2:$E$1000,B388,SALIDAS!$G$2:$G$1000,"OK*"))</f>
        <v/>
      </c>
      <c r="E388" s="2">
        <f>IF(A388="","",MAX(0,C388-D388))</f>
        <v/>
      </c>
      <c r="F388" s="2">
        <f>IF(A388="","",IF(E388=0,"COMPLETO","FALTA"))</f>
        <v/>
      </c>
    </row>
    <row r="389">
      <c r="A389" s="2" t="inlineStr"/>
      <c r="B389" s="2" t="inlineStr"/>
      <c r="C389" s="2" t="inlineStr"/>
      <c r="D389" s="2">
        <f>IF(A389="","",COUNTIFS(SALIDAS!$C$2:$C$1000,A389,SALIDAS!$E$2:$E$1000,B389,SALIDAS!$G$2:$G$1000,"OK*"))</f>
        <v/>
      </c>
      <c r="E389" s="2">
        <f>IF(A389="","",MAX(0,C389-D389))</f>
        <v/>
      </c>
      <c r="F389" s="2">
        <f>IF(A389="","",IF(E389=0,"COMPLETO","FALTA"))</f>
        <v/>
      </c>
    </row>
    <row r="390">
      <c r="A390" s="2" t="inlineStr"/>
      <c r="B390" s="2" t="inlineStr"/>
      <c r="C390" s="2" t="inlineStr"/>
      <c r="D390" s="2">
        <f>IF(A390="","",COUNTIFS(SALIDAS!$C$2:$C$1000,A390,SALIDAS!$E$2:$E$1000,B390,SALIDAS!$G$2:$G$1000,"OK*"))</f>
        <v/>
      </c>
      <c r="E390" s="2">
        <f>IF(A390="","",MAX(0,C390-D390))</f>
        <v/>
      </c>
      <c r="F390" s="2">
        <f>IF(A390="","",IF(E390=0,"COMPLETO","FALTA"))</f>
        <v/>
      </c>
    </row>
    <row r="391">
      <c r="A391" s="2" t="inlineStr"/>
      <c r="B391" s="2" t="inlineStr"/>
      <c r="C391" s="2" t="inlineStr"/>
      <c r="D391" s="2">
        <f>IF(A391="","",COUNTIFS(SALIDAS!$C$2:$C$1000,A391,SALIDAS!$E$2:$E$1000,B391,SALIDAS!$G$2:$G$1000,"OK*"))</f>
        <v/>
      </c>
      <c r="E391" s="2">
        <f>IF(A391="","",MAX(0,C391-D391))</f>
        <v/>
      </c>
      <c r="F391" s="2">
        <f>IF(A391="","",IF(E391=0,"COMPLETO","FALTA"))</f>
        <v/>
      </c>
    </row>
    <row r="392">
      <c r="A392" s="2" t="inlineStr"/>
      <c r="B392" s="2" t="inlineStr"/>
      <c r="C392" s="2" t="inlineStr"/>
      <c r="D392" s="2">
        <f>IF(A392="","",COUNTIFS(SALIDAS!$C$2:$C$1000,A392,SALIDAS!$E$2:$E$1000,B392,SALIDAS!$G$2:$G$1000,"OK*"))</f>
        <v/>
      </c>
      <c r="E392" s="2">
        <f>IF(A392="","",MAX(0,C392-D392))</f>
        <v/>
      </c>
      <c r="F392" s="2">
        <f>IF(A392="","",IF(E392=0,"COMPLETO","FALTA"))</f>
        <v/>
      </c>
    </row>
    <row r="393">
      <c r="A393" s="2" t="inlineStr"/>
      <c r="B393" s="2" t="inlineStr"/>
      <c r="C393" s="2" t="inlineStr"/>
      <c r="D393" s="2">
        <f>IF(A393="","",COUNTIFS(SALIDAS!$C$2:$C$1000,A393,SALIDAS!$E$2:$E$1000,B393,SALIDAS!$G$2:$G$1000,"OK*"))</f>
        <v/>
      </c>
      <c r="E393" s="2">
        <f>IF(A393="","",MAX(0,C393-D393))</f>
        <v/>
      </c>
      <c r="F393" s="2">
        <f>IF(A393="","",IF(E393=0,"COMPLETO","FALTA"))</f>
        <v/>
      </c>
    </row>
    <row r="394">
      <c r="A394" s="2" t="inlineStr"/>
      <c r="B394" s="2" t="inlineStr"/>
      <c r="C394" s="2" t="inlineStr"/>
      <c r="D394" s="2">
        <f>IF(A394="","",COUNTIFS(SALIDAS!$C$2:$C$1000,A394,SALIDAS!$E$2:$E$1000,B394,SALIDAS!$G$2:$G$1000,"OK*"))</f>
        <v/>
      </c>
      <c r="E394" s="2">
        <f>IF(A394="","",MAX(0,C394-D394))</f>
        <v/>
      </c>
      <c r="F394" s="2">
        <f>IF(A394="","",IF(E394=0,"COMPLETO","FALTA"))</f>
        <v/>
      </c>
    </row>
    <row r="395">
      <c r="A395" s="2" t="inlineStr"/>
      <c r="B395" s="2" t="inlineStr"/>
      <c r="C395" s="2" t="inlineStr"/>
      <c r="D395" s="2">
        <f>IF(A395="","",COUNTIFS(SALIDAS!$C$2:$C$1000,A395,SALIDAS!$E$2:$E$1000,B395,SALIDAS!$G$2:$G$1000,"OK*"))</f>
        <v/>
      </c>
      <c r="E395" s="2">
        <f>IF(A395="","",MAX(0,C395-D395))</f>
        <v/>
      </c>
      <c r="F395" s="2">
        <f>IF(A395="","",IF(E395=0,"COMPLETO","FALTA"))</f>
        <v/>
      </c>
    </row>
    <row r="396">
      <c r="A396" s="2" t="inlineStr"/>
      <c r="B396" s="2" t="inlineStr"/>
      <c r="C396" s="2" t="inlineStr"/>
      <c r="D396" s="2">
        <f>IF(A396="","",COUNTIFS(SALIDAS!$C$2:$C$1000,A396,SALIDAS!$E$2:$E$1000,B396,SALIDAS!$G$2:$G$1000,"OK*"))</f>
        <v/>
      </c>
      <c r="E396" s="2">
        <f>IF(A396="","",MAX(0,C396-D396))</f>
        <v/>
      </c>
      <c r="F396" s="2">
        <f>IF(A396="","",IF(E396=0,"COMPLETO","FALTA"))</f>
        <v/>
      </c>
    </row>
    <row r="397">
      <c r="A397" s="2" t="inlineStr"/>
      <c r="B397" s="2" t="inlineStr"/>
      <c r="C397" s="2" t="inlineStr"/>
      <c r="D397" s="2">
        <f>IF(A397="","",COUNTIFS(SALIDAS!$C$2:$C$1000,A397,SALIDAS!$E$2:$E$1000,B397,SALIDAS!$G$2:$G$1000,"OK*"))</f>
        <v/>
      </c>
      <c r="E397" s="2">
        <f>IF(A397="","",MAX(0,C397-D397))</f>
        <v/>
      </c>
      <c r="F397" s="2">
        <f>IF(A397="","",IF(E397=0,"COMPLETO","FALTA"))</f>
        <v/>
      </c>
    </row>
    <row r="398">
      <c r="A398" s="2" t="inlineStr"/>
      <c r="B398" s="2" t="inlineStr"/>
      <c r="C398" s="2" t="inlineStr"/>
      <c r="D398" s="2">
        <f>IF(A398="","",COUNTIFS(SALIDAS!$C$2:$C$1000,A398,SALIDAS!$E$2:$E$1000,B398,SALIDAS!$G$2:$G$1000,"OK*"))</f>
        <v/>
      </c>
      <c r="E398" s="2">
        <f>IF(A398="","",MAX(0,C398-D398))</f>
        <v/>
      </c>
      <c r="F398" s="2">
        <f>IF(A398="","",IF(E398=0,"COMPLETO","FALTA"))</f>
        <v/>
      </c>
    </row>
    <row r="399">
      <c r="A399" s="2" t="inlineStr"/>
      <c r="B399" s="2" t="inlineStr"/>
      <c r="C399" s="2" t="inlineStr"/>
      <c r="D399" s="2">
        <f>IF(A399="","",COUNTIFS(SALIDAS!$C$2:$C$1000,A399,SALIDAS!$E$2:$E$1000,B399,SALIDAS!$G$2:$G$1000,"OK*"))</f>
        <v/>
      </c>
      <c r="E399" s="2">
        <f>IF(A399="","",MAX(0,C399-D399))</f>
        <v/>
      </c>
      <c r="F399" s="2">
        <f>IF(A399="","",IF(E399=0,"COMPLETO","FALTA"))</f>
        <v/>
      </c>
    </row>
    <row r="400">
      <c r="A400" s="2" t="inlineStr"/>
      <c r="B400" s="2" t="inlineStr"/>
      <c r="C400" s="2" t="inlineStr"/>
      <c r="D400" s="2">
        <f>IF(A400="","",COUNTIFS(SALIDAS!$C$2:$C$1000,A400,SALIDAS!$E$2:$E$1000,B400,SALIDAS!$G$2:$G$1000,"OK*"))</f>
        <v/>
      </c>
      <c r="E400" s="2">
        <f>IF(A400="","",MAX(0,C400-D400))</f>
        <v/>
      </c>
      <c r="F400" s="2">
        <f>IF(A400="","",IF(E400=0,"COMPLETO","FALTA"))</f>
        <v/>
      </c>
    </row>
    <row r="401">
      <c r="A401" s="2" t="inlineStr"/>
      <c r="B401" s="2" t="inlineStr"/>
      <c r="C401" s="2" t="inlineStr"/>
      <c r="D401" s="2">
        <f>IF(A401="","",COUNTIFS(SALIDAS!$C$2:$C$1000,A401,SALIDAS!$E$2:$E$1000,B401,SALIDAS!$G$2:$G$1000,"OK*"))</f>
        <v/>
      </c>
      <c r="E401" s="2">
        <f>IF(A401="","",MAX(0,C401-D401))</f>
        <v/>
      </c>
      <c r="F401" s="2">
        <f>IF(A401="","",IF(E401=0,"COMPLETO","FALTA"))</f>
        <v/>
      </c>
    </row>
    <row r="402">
      <c r="A402" s="2" t="inlineStr"/>
      <c r="B402" s="2" t="inlineStr"/>
      <c r="C402" s="2" t="inlineStr"/>
      <c r="D402" s="2">
        <f>IF(A402="","",COUNTIFS(SALIDAS!$C$2:$C$1000,A402,SALIDAS!$E$2:$E$1000,B402,SALIDAS!$G$2:$G$1000,"OK*"))</f>
        <v/>
      </c>
      <c r="E402" s="2">
        <f>IF(A402="","",MAX(0,C402-D402))</f>
        <v/>
      </c>
      <c r="F402" s="2">
        <f>IF(A402="","",IF(E402=0,"COMPLETO","FALTA"))</f>
        <v/>
      </c>
    </row>
    <row r="403">
      <c r="A403" s="2" t="inlineStr"/>
      <c r="B403" s="2" t="inlineStr"/>
      <c r="C403" s="2" t="inlineStr"/>
      <c r="D403" s="2">
        <f>IF(A403="","",COUNTIFS(SALIDAS!$C$2:$C$1000,A403,SALIDAS!$E$2:$E$1000,B403,SALIDAS!$G$2:$G$1000,"OK*"))</f>
        <v/>
      </c>
      <c r="E403" s="2">
        <f>IF(A403="","",MAX(0,C403-D403))</f>
        <v/>
      </c>
      <c r="F403" s="2">
        <f>IF(A403="","",IF(E403=0,"COMPLETO","FALTA"))</f>
        <v/>
      </c>
    </row>
    <row r="404">
      <c r="A404" s="2" t="inlineStr"/>
      <c r="B404" s="2" t="inlineStr"/>
      <c r="C404" s="2" t="inlineStr"/>
      <c r="D404" s="2">
        <f>IF(A404="","",COUNTIFS(SALIDAS!$C$2:$C$1000,A404,SALIDAS!$E$2:$E$1000,B404,SALIDAS!$G$2:$G$1000,"OK*"))</f>
        <v/>
      </c>
      <c r="E404" s="2">
        <f>IF(A404="","",MAX(0,C404-D404))</f>
        <v/>
      </c>
      <c r="F404" s="2">
        <f>IF(A404="","",IF(E404=0,"COMPLETO","FALTA"))</f>
        <v/>
      </c>
    </row>
    <row r="405">
      <c r="A405" s="2" t="inlineStr"/>
      <c r="B405" s="2" t="inlineStr"/>
      <c r="C405" s="2" t="inlineStr"/>
      <c r="D405" s="2">
        <f>IF(A405="","",COUNTIFS(SALIDAS!$C$2:$C$1000,A405,SALIDAS!$E$2:$E$1000,B405,SALIDAS!$G$2:$G$1000,"OK*"))</f>
        <v/>
      </c>
      <c r="E405" s="2">
        <f>IF(A405="","",MAX(0,C405-D405))</f>
        <v/>
      </c>
      <c r="F405" s="2">
        <f>IF(A405="","",IF(E405=0,"COMPLETO","FALTA"))</f>
        <v/>
      </c>
    </row>
    <row r="406">
      <c r="A406" s="2" t="inlineStr"/>
      <c r="B406" s="2" t="inlineStr"/>
      <c r="C406" s="2" t="inlineStr"/>
      <c r="D406" s="2">
        <f>IF(A406="","",COUNTIFS(SALIDAS!$C$2:$C$1000,A406,SALIDAS!$E$2:$E$1000,B406,SALIDAS!$G$2:$G$1000,"OK*"))</f>
        <v/>
      </c>
      <c r="E406" s="2">
        <f>IF(A406="","",MAX(0,C406-D406))</f>
        <v/>
      </c>
      <c r="F406" s="2">
        <f>IF(A406="","",IF(E406=0,"COMPLETO","FALTA"))</f>
        <v/>
      </c>
    </row>
    <row r="407">
      <c r="A407" s="2" t="inlineStr"/>
      <c r="B407" s="2" t="inlineStr"/>
      <c r="C407" s="2" t="inlineStr"/>
      <c r="D407" s="2">
        <f>IF(A407="","",COUNTIFS(SALIDAS!$C$2:$C$1000,A407,SALIDAS!$E$2:$E$1000,B407,SALIDAS!$G$2:$G$1000,"OK*"))</f>
        <v/>
      </c>
      <c r="E407" s="2">
        <f>IF(A407="","",MAX(0,C407-D407))</f>
        <v/>
      </c>
      <c r="F407" s="2">
        <f>IF(A407="","",IF(E407=0,"COMPLETO","FALTA"))</f>
        <v/>
      </c>
    </row>
    <row r="408">
      <c r="A408" s="2" t="inlineStr"/>
      <c r="B408" s="2" t="inlineStr"/>
      <c r="C408" s="2" t="inlineStr"/>
      <c r="D408" s="2">
        <f>IF(A408="","",COUNTIFS(SALIDAS!$C$2:$C$1000,A408,SALIDAS!$E$2:$E$1000,B408,SALIDAS!$G$2:$G$1000,"OK*"))</f>
        <v/>
      </c>
      <c r="E408" s="2">
        <f>IF(A408="","",MAX(0,C408-D408))</f>
        <v/>
      </c>
      <c r="F408" s="2">
        <f>IF(A408="","",IF(E408=0,"COMPLETO","FALTA"))</f>
        <v/>
      </c>
    </row>
    <row r="409">
      <c r="A409" s="2" t="inlineStr"/>
      <c r="B409" s="2" t="inlineStr"/>
      <c r="C409" s="2" t="inlineStr"/>
      <c r="D409" s="2">
        <f>IF(A409="","",COUNTIFS(SALIDAS!$C$2:$C$1000,A409,SALIDAS!$E$2:$E$1000,B409,SALIDAS!$G$2:$G$1000,"OK*"))</f>
        <v/>
      </c>
      <c r="E409" s="2">
        <f>IF(A409="","",MAX(0,C409-D409))</f>
        <v/>
      </c>
      <c r="F409" s="2">
        <f>IF(A409="","",IF(E409=0,"COMPLETO","FALTA"))</f>
        <v/>
      </c>
    </row>
    <row r="410">
      <c r="A410" s="2" t="inlineStr"/>
      <c r="B410" s="2" t="inlineStr"/>
      <c r="C410" s="2" t="inlineStr"/>
      <c r="D410" s="2">
        <f>IF(A410="","",COUNTIFS(SALIDAS!$C$2:$C$1000,A410,SALIDAS!$E$2:$E$1000,B410,SALIDAS!$G$2:$G$1000,"OK*"))</f>
        <v/>
      </c>
      <c r="E410" s="2">
        <f>IF(A410="","",MAX(0,C410-D410))</f>
        <v/>
      </c>
      <c r="F410" s="2">
        <f>IF(A410="","",IF(E410=0,"COMPLETO","FALTA"))</f>
        <v/>
      </c>
    </row>
    <row r="411">
      <c r="A411" s="2" t="inlineStr"/>
      <c r="B411" s="2" t="inlineStr"/>
      <c r="C411" s="2" t="inlineStr"/>
      <c r="D411" s="2">
        <f>IF(A411="","",COUNTIFS(SALIDAS!$C$2:$C$1000,A411,SALIDAS!$E$2:$E$1000,B411,SALIDAS!$G$2:$G$1000,"OK*"))</f>
        <v/>
      </c>
      <c r="E411" s="2">
        <f>IF(A411="","",MAX(0,C411-D411))</f>
        <v/>
      </c>
      <c r="F411" s="2">
        <f>IF(A411="","",IF(E411=0,"COMPLETO","FALTA"))</f>
        <v/>
      </c>
    </row>
    <row r="412">
      <c r="A412" s="2" t="inlineStr"/>
      <c r="B412" s="2" t="inlineStr"/>
      <c r="C412" s="2" t="inlineStr"/>
      <c r="D412" s="2">
        <f>IF(A412="","",COUNTIFS(SALIDAS!$C$2:$C$1000,A412,SALIDAS!$E$2:$E$1000,B412,SALIDAS!$G$2:$G$1000,"OK*"))</f>
        <v/>
      </c>
      <c r="E412" s="2">
        <f>IF(A412="","",MAX(0,C412-D412))</f>
        <v/>
      </c>
      <c r="F412" s="2">
        <f>IF(A412="","",IF(E412=0,"COMPLETO","FALTA"))</f>
        <v/>
      </c>
    </row>
    <row r="413">
      <c r="A413" s="2" t="inlineStr"/>
      <c r="B413" s="2" t="inlineStr"/>
      <c r="C413" s="2" t="inlineStr"/>
      <c r="D413" s="2">
        <f>IF(A413="","",COUNTIFS(SALIDAS!$C$2:$C$1000,A413,SALIDAS!$E$2:$E$1000,B413,SALIDAS!$G$2:$G$1000,"OK*"))</f>
        <v/>
      </c>
      <c r="E413" s="2">
        <f>IF(A413="","",MAX(0,C413-D413))</f>
        <v/>
      </c>
      <c r="F413" s="2">
        <f>IF(A413="","",IF(E413=0,"COMPLETO","FALTA"))</f>
        <v/>
      </c>
    </row>
    <row r="414">
      <c r="A414" s="2" t="inlineStr"/>
      <c r="B414" s="2" t="inlineStr"/>
      <c r="C414" s="2" t="inlineStr"/>
      <c r="D414" s="2">
        <f>IF(A414="","",COUNTIFS(SALIDAS!$C$2:$C$1000,A414,SALIDAS!$E$2:$E$1000,B414,SALIDAS!$G$2:$G$1000,"OK*"))</f>
        <v/>
      </c>
      <c r="E414" s="2">
        <f>IF(A414="","",MAX(0,C414-D414))</f>
        <v/>
      </c>
      <c r="F414" s="2">
        <f>IF(A414="","",IF(E414=0,"COMPLETO","FALTA"))</f>
        <v/>
      </c>
    </row>
    <row r="415">
      <c r="A415" s="2" t="inlineStr"/>
      <c r="B415" s="2" t="inlineStr"/>
      <c r="C415" s="2" t="inlineStr"/>
      <c r="D415" s="2">
        <f>IF(A415="","",COUNTIFS(SALIDAS!$C$2:$C$1000,A415,SALIDAS!$E$2:$E$1000,B415,SALIDAS!$G$2:$G$1000,"OK*"))</f>
        <v/>
      </c>
      <c r="E415" s="2">
        <f>IF(A415="","",MAX(0,C415-D415))</f>
        <v/>
      </c>
      <c r="F415" s="2">
        <f>IF(A415="","",IF(E415=0,"COMPLETO","FALTA"))</f>
        <v/>
      </c>
    </row>
    <row r="416">
      <c r="A416" s="2" t="inlineStr"/>
      <c r="B416" s="2" t="inlineStr"/>
      <c r="C416" s="2" t="inlineStr"/>
      <c r="D416" s="2">
        <f>IF(A416="","",COUNTIFS(SALIDAS!$C$2:$C$1000,A416,SALIDAS!$E$2:$E$1000,B416,SALIDAS!$G$2:$G$1000,"OK*"))</f>
        <v/>
      </c>
      <c r="E416" s="2">
        <f>IF(A416="","",MAX(0,C416-D416))</f>
        <v/>
      </c>
      <c r="F416" s="2">
        <f>IF(A416="","",IF(E416=0,"COMPLETO","FALTA"))</f>
        <v/>
      </c>
    </row>
    <row r="417">
      <c r="A417" s="2" t="inlineStr"/>
      <c r="B417" s="2" t="inlineStr"/>
      <c r="C417" s="2" t="inlineStr"/>
      <c r="D417" s="2">
        <f>IF(A417="","",COUNTIFS(SALIDAS!$C$2:$C$1000,A417,SALIDAS!$E$2:$E$1000,B417,SALIDAS!$G$2:$G$1000,"OK*"))</f>
        <v/>
      </c>
      <c r="E417" s="2">
        <f>IF(A417="","",MAX(0,C417-D417))</f>
        <v/>
      </c>
      <c r="F417" s="2">
        <f>IF(A417="","",IF(E417=0,"COMPLETO","FALTA"))</f>
        <v/>
      </c>
    </row>
    <row r="418">
      <c r="A418" s="2" t="inlineStr"/>
      <c r="B418" s="2" t="inlineStr"/>
      <c r="C418" s="2" t="inlineStr"/>
      <c r="D418" s="2">
        <f>IF(A418="","",COUNTIFS(SALIDAS!$C$2:$C$1000,A418,SALIDAS!$E$2:$E$1000,B418,SALIDAS!$G$2:$G$1000,"OK*"))</f>
        <v/>
      </c>
      <c r="E418" s="2">
        <f>IF(A418="","",MAX(0,C418-D418))</f>
        <v/>
      </c>
      <c r="F418" s="2">
        <f>IF(A418="","",IF(E418=0,"COMPLETO","FALTA"))</f>
        <v/>
      </c>
    </row>
    <row r="419">
      <c r="A419" s="2" t="inlineStr"/>
      <c r="B419" s="2" t="inlineStr"/>
      <c r="C419" s="2" t="inlineStr"/>
      <c r="D419" s="2">
        <f>IF(A419="","",COUNTIFS(SALIDAS!$C$2:$C$1000,A419,SALIDAS!$E$2:$E$1000,B419,SALIDAS!$G$2:$G$1000,"OK*"))</f>
        <v/>
      </c>
      <c r="E419" s="2">
        <f>IF(A419="","",MAX(0,C419-D419))</f>
        <v/>
      </c>
      <c r="F419" s="2">
        <f>IF(A419="","",IF(E419=0,"COMPLETO","FALTA"))</f>
        <v/>
      </c>
    </row>
    <row r="420">
      <c r="A420" s="2" t="inlineStr"/>
      <c r="B420" s="2" t="inlineStr"/>
      <c r="C420" s="2" t="inlineStr"/>
      <c r="D420" s="2">
        <f>IF(A420="","",COUNTIFS(SALIDAS!$C$2:$C$1000,A420,SALIDAS!$E$2:$E$1000,B420,SALIDAS!$G$2:$G$1000,"OK*"))</f>
        <v/>
      </c>
      <c r="E420" s="2">
        <f>IF(A420="","",MAX(0,C420-D420))</f>
        <v/>
      </c>
      <c r="F420" s="2">
        <f>IF(A420="","",IF(E420=0,"COMPLETO","FALTA"))</f>
        <v/>
      </c>
    </row>
    <row r="421">
      <c r="A421" s="2" t="inlineStr"/>
      <c r="B421" s="2" t="inlineStr"/>
      <c r="C421" s="2" t="inlineStr"/>
      <c r="D421" s="2">
        <f>IF(A421="","",COUNTIFS(SALIDAS!$C$2:$C$1000,A421,SALIDAS!$E$2:$E$1000,B421,SALIDAS!$G$2:$G$1000,"OK*"))</f>
        <v/>
      </c>
      <c r="E421" s="2">
        <f>IF(A421="","",MAX(0,C421-D421))</f>
        <v/>
      </c>
      <c r="F421" s="2">
        <f>IF(A421="","",IF(E421=0,"COMPLETO","FALTA"))</f>
        <v/>
      </c>
    </row>
    <row r="422">
      <c r="A422" s="2" t="inlineStr"/>
      <c r="B422" s="2" t="inlineStr"/>
      <c r="C422" s="2" t="inlineStr"/>
      <c r="D422" s="2">
        <f>IF(A422="","",COUNTIFS(SALIDAS!$C$2:$C$1000,A422,SALIDAS!$E$2:$E$1000,B422,SALIDAS!$G$2:$G$1000,"OK*"))</f>
        <v/>
      </c>
      <c r="E422" s="2">
        <f>IF(A422="","",MAX(0,C422-D422))</f>
        <v/>
      </c>
      <c r="F422" s="2">
        <f>IF(A422="","",IF(E422=0,"COMPLETO","FALTA"))</f>
        <v/>
      </c>
    </row>
    <row r="423">
      <c r="A423" s="2" t="inlineStr"/>
      <c r="B423" s="2" t="inlineStr"/>
      <c r="C423" s="2" t="inlineStr"/>
      <c r="D423" s="2">
        <f>IF(A423="","",COUNTIFS(SALIDAS!$C$2:$C$1000,A423,SALIDAS!$E$2:$E$1000,B423,SALIDAS!$G$2:$G$1000,"OK*"))</f>
        <v/>
      </c>
      <c r="E423" s="2">
        <f>IF(A423="","",MAX(0,C423-D423))</f>
        <v/>
      </c>
      <c r="F423" s="2">
        <f>IF(A423="","",IF(E423=0,"COMPLETO","FALTA"))</f>
        <v/>
      </c>
    </row>
    <row r="424">
      <c r="A424" s="2" t="inlineStr"/>
      <c r="B424" s="2" t="inlineStr"/>
      <c r="C424" s="2" t="inlineStr"/>
      <c r="D424" s="2">
        <f>IF(A424="","",COUNTIFS(SALIDAS!$C$2:$C$1000,A424,SALIDAS!$E$2:$E$1000,B424,SALIDAS!$G$2:$G$1000,"OK*"))</f>
        <v/>
      </c>
      <c r="E424" s="2">
        <f>IF(A424="","",MAX(0,C424-D424))</f>
        <v/>
      </c>
      <c r="F424" s="2">
        <f>IF(A424="","",IF(E424=0,"COMPLETO","FALTA"))</f>
        <v/>
      </c>
    </row>
    <row r="425">
      <c r="A425" s="2" t="inlineStr"/>
      <c r="B425" s="2" t="inlineStr"/>
      <c r="C425" s="2" t="inlineStr"/>
      <c r="D425" s="2">
        <f>IF(A425="","",COUNTIFS(SALIDAS!$C$2:$C$1000,A425,SALIDAS!$E$2:$E$1000,B425,SALIDAS!$G$2:$G$1000,"OK*"))</f>
        <v/>
      </c>
      <c r="E425" s="2">
        <f>IF(A425="","",MAX(0,C425-D425))</f>
        <v/>
      </c>
      <c r="F425" s="2">
        <f>IF(A425="","",IF(E425=0,"COMPLETO","FALTA"))</f>
        <v/>
      </c>
    </row>
    <row r="426">
      <c r="A426" s="2" t="inlineStr"/>
      <c r="B426" s="2" t="inlineStr"/>
      <c r="C426" s="2" t="inlineStr"/>
      <c r="D426" s="2">
        <f>IF(A426="","",COUNTIFS(SALIDAS!$C$2:$C$1000,A426,SALIDAS!$E$2:$E$1000,B426,SALIDAS!$G$2:$G$1000,"OK*"))</f>
        <v/>
      </c>
      <c r="E426" s="2">
        <f>IF(A426="","",MAX(0,C426-D426))</f>
        <v/>
      </c>
      <c r="F426" s="2">
        <f>IF(A426="","",IF(E426=0,"COMPLETO","FALTA"))</f>
        <v/>
      </c>
    </row>
    <row r="427">
      <c r="A427" s="2" t="inlineStr"/>
      <c r="B427" s="2" t="inlineStr"/>
      <c r="C427" s="2" t="inlineStr"/>
      <c r="D427" s="2">
        <f>IF(A427="","",COUNTIFS(SALIDAS!$C$2:$C$1000,A427,SALIDAS!$E$2:$E$1000,B427,SALIDAS!$G$2:$G$1000,"OK*"))</f>
        <v/>
      </c>
      <c r="E427" s="2">
        <f>IF(A427="","",MAX(0,C427-D427))</f>
        <v/>
      </c>
      <c r="F427" s="2">
        <f>IF(A427="","",IF(E427=0,"COMPLETO","FALTA"))</f>
        <v/>
      </c>
    </row>
    <row r="428">
      <c r="A428" s="2" t="inlineStr"/>
      <c r="B428" s="2" t="inlineStr"/>
      <c r="C428" s="2" t="inlineStr"/>
      <c r="D428" s="2">
        <f>IF(A428="","",COUNTIFS(SALIDAS!$C$2:$C$1000,A428,SALIDAS!$E$2:$E$1000,B428,SALIDAS!$G$2:$G$1000,"OK*"))</f>
        <v/>
      </c>
      <c r="E428" s="2">
        <f>IF(A428="","",MAX(0,C428-D428))</f>
        <v/>
      </c>
      <c r="F428" s="2">
        <f>IF(A428="","",IF(E428=0,"COMPLETO","FALTA"))</f>
        <v/>
      </c>
    </row>
    <row r="429">
      <c r="A429" s="2" t="inlineStr"/>
      <c r="B429" s="2" t="inlineStr"/>
      <c r="C429" s="2" t="inlineStr"/>
      <c r="D429" s="2">
        <f>IF(A429="","",COUNTIFS(SALIDAS!$C$2:$C$1000,A429,SALIDAS!$E$2:$E$1000,B429,SALIDAS!$G$2:$G$1000,"OK*"))</f>
        <v/>
      </c>
      <c r="E429" s="2">
        <f>IF(A429="","",MAX(0,C429-D429))</f>
        <v/>
      </c>
      <c r="F429" s="2">
        <f>IF(A429="","",IF(E429=0,"COMPLETO","FALTA"))</f>
        <v/>
      </c>
    </row>
    <row r="430">
      <c r="A430" s="2" t="inlineStr"/>
      <c r="B430" s="2" t="inlineStr"/>
      <c r="C430" s="2" t="inlineStr"/>
      <c r="D430" s="2">
        <f>IF(A430="","",COUNTIFS(SALIDAS!$C$2:$C$1000,A430,SALIDAS!$E$2:$E$1000,B430,SALIDAS!$G$2:$G$1000,"OK*"))</f>
        <v/>
      </c>
      <c r="E430" s="2">
        <f>IF(A430="","",MAX(0,C430-D430))</f>
        <v/>
      </c>
      <c r="F430" s="2">
        <f>IF(A430="","",IF(E430=0,"COMPLETO","FALTA"))</f>
        <v/>
      </c>
    </row>
    <row r="431">
      <c r="A431" s="2" t="inlineStr"/>
      <c r="B431" s="2" t="inlineStr"/>
      <c r="C431" s="2" t="inlineStr"/>
      <c r="D431" s="2">
        <f>IF(A431="","",COUNTIFS(SALIDAS!$C$2:$C$1000,A431,SALIDAS!$E$2:$E$1000,B431,SALIDAS!$G$2:$G$1000,"OK*"))</f>
        <v/>
      </c>
      <c r="E431" s="2">
        <f>IF(A431="","",MAX(0,C431-D431))</f>
        <v/>
      </c>
      <c r="F431" s="2">
        <f>IF(A431="","",IF(E431=0,"COMPLETO","FALTA"))</f>
        <v/>
      </c>
    </row>
    <row r="432">
      <c r="A432" s="2" t="inlineStr"/>
      <c r="B432" s="2" t="inlineStr"/>
      <c r="C432" s="2" t="inlineStr"/>
      <c r="D432" s="2">
        <f>IF(A432="","",COUNTIFS(SALIDAS!$C$2:$C$1000,A432,SALIDAS!$E$2:$E$1000,B432,SALIDAS!$G$2:$G$1000,"OK*"))</f>
        <v/>
      </c>
      <c r="E432" s="2">
        <f>IF(A432="","",MAX(0,C432-D432))</f>
        <v/>
      </c>
      <c r="F432" s="2">
        <f>IF(A432="","",IF(E432=0,"COMPLETO","FALTA"))</f>
        <v/>
      </c>
    </row>
    <row r="433">
      <c r="A433" s="2" t="inlineStr"/>
      <c r="B433" s="2" t="inlineStr"/>
      <c r="C433" s="2" t="inlineStr"/>
      <c r="D433" s="2">
        <f>IF(A433="","",COUNTIFS(SALIDAS!$C$2:$C$1000,A433,SALIDAS!$E$2:$E$1000,B433,SALIDAS!$G$2:$G$1000,"OK*"))</f>
        <v/>
      </c>
      <c r="E433" s="2">
        <f>IF(A433="","",MAX(0,C433-D433))</f>
        <v/>
      </c>
      <c r="F433" s="2">
        <f>IF(A433="","",IF(E433=0,"COMPLETO","FALTA"))</f>
        <v/>
      </c>
    </row>
    <row r="434">
      <c r="A434" s="2" t="inlineStr"/>
      <c r="B434" s="2" t="inlineStr"/>
      <c r="C434" s="2" t="inlineStr"/>
      <c r="D434" s="2">
        <f>IF(A434="","",COUNTIFS(SALIDAS!$C$2:$C$1000,A434,SALIDAS!$E$2:$E$1000,B434,SALIDAS!$G$2:$G$1000,"OK*"))</f>
        <v/>
      </c>
      <c r="E434" s="2">
        <f>IF(A434="","",MAX(0,C434-D434))</f>
        <v/>
      </c>
      <c r="F434" s="2">
        <f>IF(A434="","",IF(E434=0,"COMPLETO","FALTA"))</f>
        <v/>
      </c>
    </row>
    <row r="435">
      <c r="A435" s="2" t="inlineStr"/>
      <c r="B435" s="2" t="inlineStr"/>
      <c r="C435" s="2" t="inlineStr"/>
      <c r="D435" s="2">
        <f>IF(A435="","",COUNTIFS(SALIDAS!$C$2:$C$1000,A435,SALIDAS!$E$2:$E$1000,B435,SALIDAS!$G$2:$G$1000,"OK*"))</f>
        <v/>
      </c>
      <c r="E435" s="2">
        <f>IF(A435="","",MAX(0,C435-D435))</f>
        <v/>
      </c>
      <c r="F435" s="2">
        <f>IF(A435="","",IF(E435=0,"COMPLETO","FALTA"))</f>
        <v/>
      </c>
    </row>
    <row r="436">
      <c r="A436" s="2" t="inlineStr"/>
      <c r="B436" s="2" t="inlineStr"/>
      <c r="C436" s="2" t="inlineStr"/>
      <c r="D436" s="2">
        <f>IF(A436="","",COUNTIFS(SALIDAS!$C$2:$C$1000,A436,SALIDAS!$E$2:$E$1000,B436,SALIDAS!$G$2:$G$1000,"OK*"))</f>
        <v/>
      </c>
      <c r="E436" s="2">
        <f>IF(A436="","",MAX(0,C436-D436))</f>
        <v/>
      </c>
      <c r="F436" s="2">
        <f>IF(A436="","",IF(E436=0,"COMPLETO","FALTA"))</f>
        <v/>
      </c>
    </row>
    <row r="437">
      <c r="A437" s="2" t="inlineStr"/>
      <c r="B437" s="2" t="inlineStr"/>
      <c r="C437" s="2" t="inlineStr"/>
      <c r="D437" s="2">
        <f>IF(A437="","",COUNTIFS(SALIDAS!$C$2:$C$1000,A437,SALIDAS!$E$2:$E$1000,B437,SALIDAS!$G$2:$G$1000,"OK*"))</f>
        <v/>
      </c>
      <c r="E437" s="2">
        <f>IF(A437="","",MAX(0,C437-D437))</f>
        <v/>
      </c>
      <c r="F437" s="2">
        <f>IF(A437="","",IF(E437=0,"COMPLETO","FALTA"))</f>
        <v/>
      </c>
    </row>
    <row r="438">
      <c r="A438" s="2" t="inlineStr"/>
      <c r="B438" s="2" t="inlineStr"/>
      <c r="C438" s="2" t="inlineStr"/>
      <c r="D438" s="2">
        <f>IF(A438="","",COUNTIFS(SALIDAS!$C$2:$C$1000,A438,SALIDAS!$E$2:$E$1000,B438,SALIDAS!$G$2:$G$1000,"OK*"))</f>
        <v/>
      </c>
      <c r="E438" s="2">
        <f>IF(A438="","",MAX(0,C438-D438))</f>
        <v/>
      </c>
      <c r="F438" s="2">
        <f>IF(A438="","",IF(E438=0,"COMPLETO","FALTA"))</f>
        <v/>
      </c>
    </row>
    <row r="439">
      <c r="A439" s="2" t="inlineStr"/>
      <c r="B439" s="2" t="inlineStr"/>
      <c r="C439" s="2" t="inlineStr"/>
      <c r="D439" s="2">
        <f>IF(A439="","",COUNTIFS(SALIDAS!$C$2:$C$1000,A439,SALIDAS!$E$2:$E$1000,B439,SALIDAS!$G$2:$G$1000,"OK*"))</f>
        <v/>
      </c>
      <c r="E439" s="2">
        <f>IF(A439="","",MAX(0,C439-D439))</f>
        <v/>
      </c>
      <c r="F439" s="2">
        <f>IF(A439="","",IF(E439=0,"COMPLETO","FALTA"))</f>
        <v/>
      </c>
    </row>
    <row r="440">
      <c r="A440" s="2" t="inlineStr"/>
      <c r="B440" s="2" t="inlineStr"/>
      <c r="C440" s="2" t="inlineStr"/>
      <c r="D440" s="2">
        <f>IF(A440="","",COUNTIFS(SALIDAS!$C$2:$C$1000,A440,SALIDAS!$E$2:$E$1000,B440,SALIDAS!$G$2:$G$1000,"OK*"))</f>
        <v/>
      </c>
      <c r="E440" s="2">
        <f>IF(A440="","",MAX(0,C440-D440))</f>
        <v/>
      </c>
      <c r="F440" s="2">
        <f>IF(A440="","",IF(E440=0,"COMPLETO","FALTA"))</f>
        <v/>
      </c>
    </row>
    <row r="441">
      <c r="A441" s="2" t="inlineStr"/>
      <c r="B441" s="2" t="inlineStr"/>
      <c r="C441" s="2" t="inlineStr"/>
      <c r="D441" s="2">
        <f>IF(A441="","",COUNTIFS(SALIDAS!$C$2:$C$1000,A441,SALIDAS!$E$2:$E$1000,B441,SALIDAS!$G$2:$G$1000,"OK*"))</f>
        <v/>
      </c>
      <c r="E441" s="2">
        <f>IF(A441="","",MAX(0,C441-D441))</f>
        <v/>
      </c>
      <c r="F441" s="2">
        <f>IF(A441="","",IF(E441=0,"COMPLETO","FALTA"))</f>
        <v/>
      </c>
    </row>
    <row r="442">
      <c r="A442" s="2" t="inlineStr"/>
      <c r="B442" s="2" t="inlineStr"/>
      <c r="C442" s="2" t="inlineStr"/>
      <c r="D442" s="2">
        <f>IF(A442="","",COUNTIFS(SALIDAS!$C$2:$C$1000,A442,SALIDAS!$E$2:$E$1000,B442,SALIDAS!$G$2:$G$1000,"OK*"))</f>
        <v/>
      </c>
      <c r="E442" s="2">
        <f>IF(A442="","",MAX(0,C442-D442))</f>
        <v/>
      </c>
      <c r="F442" s="2">
        <f>IF(A442="","",IF(E442=0,"COMPLETO","FALTA"))</f>
        <v/>
      </c>
    </row>
    <row r="443">
      <c r="A443" s="2" t="inlineStr"/>
      <c r="B443" s="2" t="inlineStr"/>
      <c r="C443" s="2" t="inlineStr"/>
      <c r="D443" s="2">
        <f>IF(A443="","",COUNTIFS(SALIDAS!$C$2:$C$1000,A443,SALIDAS!$E$2:$E$1000,B443,SALIDAS!$G$2:$G$1000,"OK*"))</f>
        <v/>
      </c>
      <c r="E443" s="2">
        <f>IF(A443="","",MAX(0,C443-D443))</f>
        <v/>
      </c>
      <c r="F443" s="2">
        <f>IF(A443="","",IF(E443=0,"COMPLETO","FALTA"))</f>
        <v/>
      </c>
    </row>
    <row r="444">
      <c r="A444" s="2" t="inlineStr"/>
      <c r="B444" s="2" t="inlineStr"/>
      <c r="C444" s="2" t="inlineStr"/>
      <c r="D444" s="2">
        <f>IF(A444="","",COUNTIFS(SALIDAS!$C$2:$C$1000,A444,SALIDAS!$E$2:$E$1000,B444,SALIDAS!$G$2:$G$1000,"OK*"))</f>
        <v/>
      </c>
      <c r="E444" s="2">
        <f>IF(A444="","",MAX(0,C444-D444))</f>
        <v/>
      </c>
      <c r="F444" s="2">
        <f>IF(A444="","",IF(E444=0,"COMPLETO","FALTA"))</f>
        <v/>
      </c>
    </row>
    <row r="445">
      <c r="A445" s="2" t="inlineStr"/>
      <c r="B445" s="2" t="inlineStr"/>
      <c r="C445" s="2" t="inlineStr"/>
      <c r="D445" s="2">
        <f>IF(A445="","",COUNTIFS(SALIDAS!$C$2:$C$1000,A445,SALIDAS!$E$2:$E$1000,B445,SALIDAS!$G$2:$G$1000,"OK*"))</f>
        <v/>
      </c>
      <c r="E445" s="2">
        <f>IF(A445="","",MAX(0,C445-D445))</f>
        <v/>
      </c>
      <c r="F445" s="2">
        <f>IF(A445="","",IF(E445=0,"COMPLETO","FALTA"))</f>
        <v/>
      </c>
    </row>
    <row r="446">
      <c r="A446" s="2" t="inlineStr"/>
      <c r="B446" s="2" t="inlineStr"/>
      <c r="C446" s="2" t="inlineStr"/>
      <c r="D446" s="2">
        <f>IF(A446="","",COUNTIFS(SALIDAS!$C$2:$C$1000,A446,SALIDAS!$E$2:$E$1000,B446,SALIDAS!$G$2:$G$1000,"OK*"))</f>
        <v/>
      </c>
      <c r="E446" s="2">
        <f>IF(A446="","",MAX(0,C446-D446))</f>
        <v/>
      </c>
      <c r="F446" s="2">
        <f>IF(A446="","",IF(E446=0,"COMPLETO","FALTA"))</f>
        <v/>
      </c>
    </row>
    <row r="447">
      <c r="A447" s="2" t="inlineStr"/>
      <c r="B447" s="2" t="inlineStr"/>
      <c r="C447" s="2" t="inlineStr"/>
      <c r="D447" s="2">
        <f>IF(A447="","",COUNTIFS(SALIDAS!$C$2:$C$1000,A447,SALIDAS!$E$2:$E$1000,B447,SALIDAS!$G$2:$G$1000,"OK*"))</f>
        <v/>
      </c>
      <c r="E447" s="2">
        <f>IF(A447="","",MAX(0,C447-D447))</f>
        <v/>
      </c>
      <c r="F447" s="2">
        <f>IF(A447="","",IF(E447=0,"COMPLETO","FALTA"))</f>
        <v/>
      </c>
    </row>
    <row r="448">
      <c r="A448" s="2" t="inlineStr"/>
      <c r="B448" s="2" t="inlineStr"/>
      <c r="C448" s="2" t="inlineStr"/>
      <c r="D448" s="2">
        <f>IF(A448="","",COUNTIFS(SALIDAS!$C$2:$C$1000,A448,SALIDAS!$E$2:$E$1000,B448,SALIDAS!$G$2:$G$1000,"OK*"))</f>
        <v/>
      </c>
      <c r="E448" s="2">
        <f>IF(A448="","",MAX(0,C448-D448))</f>
        <v/>
      </c>
      <c r="F448" s="2">
        <f>IF(A448="","",IF(E448=0,"COMPLETO","FALTA"))</f>
        <v/>
      </c>
    </row>
    <row r="449">
      <c r="A449" s="2" t="inlineStr"/>
      <c r="B449" s="2" t="inlineStr"/>
      <c r="C449" s="2" t="inlineStr"/>
      <c r="D449" s="2">
        <f>IF(A449="","",COUNTIFS(SALIDAS!$C$2:$C$1000,A449,SALIDAS!$E$2:$E$1000,B449,SALIDAS!$G$2:$G$1000,"OK*"))</f>
        <v/>
      </c>
      <c r="E449" s="2">
        <f>IF(A449="","",MAX(0,C449-D449))</f>
        <v/>
      </c>
      <c r="F449" s="2">
        <f>IF(A449="","",IF(E449=0,"COMPLETO","FALTA"))</f>
        <v/>
      </c>
    </row>
    <row r="450">
      <c r="A450" s="2" t="inlineStr"/>
      <c r="B450" s="2" t="inlineStr"/>
      <c r="C450" s="2" t="inlineStr"/>
      <c r="D450" s="2">
        <f>IF(A450="","",COUNTIFS(SALIDAS!$C$2:$C$1000,A450,SALIDAS!$E$2:$E$1000,B450,SALIDAS!$G$2:$G$1000,"OK*"))</f>
        <v/>
      </c>
      <c r="E450" s="2">
        <f>IF(A450="","",MAX(0,C450-D450))</f>
        <v/>
      </c>
      <c r="F450" s="2">
        <f>IF(A450="","",IF(E450=0,"COMPLETO","FALTA"))</f>
        <v/>
      </c>
    </row>
    <row r="451">
      <c r="A451" s="2" t="inlineStr"/>
      <c r="B451" s="2" t="inlineStr"/>
      <c r="C451" s="2" t="inlineStr"/>
      <c r="D451" s="2">
        <f>IF(A451="","",COUNTIFS(SALIDAS!$C$2:$C$1000,A451,SALIDAS!$E$2:$E$1000,B451,SALIDAS!$G$2:$G$1000,"OK*"))</f>
        <v/>
      </c>
      <c r="E451" s="2">
        <f>IF(A451="","",MAX(0,C451-D451))</f>
        <v/>
      </c>
      <c r="F451" s="2">
        <f>IF(A451="","",IF(E451=0,"COMPLETO","FALTA"))</f>
        <v/>
      </c>
    </row>
    <row r="452">
      <c r="A452" s="2" t="inlineStr"/>
      <c r="B452" s="2" t="inlineStr"/>
      <c r="C452" s="2" t="inlineStr"/>
      <c r="D452" s="2">
        <f>IF(A452="","",COUNTIFS(SALIDAS!$C$2:$C$1000,A452,SALIDAS!$E$2:$E$1000,B452,SALIDAS!$G$2:$G$1000,"OK*"))</f>
        <v/>
      </c>
      <c r="E452" s="2">
        <f>IF(A452="","",MAX(0,C452-D452))</f>
        <v/>
      </c>
      <c r="F452" s="2">
        <f>IF(A452="","",IF(E452=0,"COMPLETO","FALTA"))</f>
        <v/>
      </c>
    </row>
    <row r="453">
      <c r="A453" s="2" t="inlineStr"/>
      <c r="B453" s="2" t="inlineStr"/>
      <c r="C453" s="2" t="inlineStr"/>
      <c r="D453" s="2">
        <f>IF(A453="","",COUNTIFS(SALIDAS!$C$2:$C$1000,A453,SALIDAS!$E$2:$E$1000,B453,SALIDAS!$G$2:$G$1000,"OK*"))</f>
        <v/>
      </c>
      <c r="E453" s="2">
        <f>IF(A453="","",MAX(0,C453-D453))</f>
        <v/>
      </c>
      <c r="F453" s="2">
        <f>IF(A453="","",IF(E453=0,"COMPLETO","FALTA"))</f>
        <v/>
      </c>
    </row>
    <row r="454">
      <c r="A454" s="2" t="inlineStr"/>
      <c r="B454" s="2" t="inlineStr"/>
      <c r="C454" s="2" t="inlineStr"/>
      <c r="D454" s="2">
        <f>IF(A454="","",COUNTIFS(SALIDAS!$C$2:$C$1000,A454,SALIDAS!$E$2:$E$1000,B454,SALIDAS!$G$2:$G$1000,"OK*"))</f>
        <v/>
      </c>
      <c r="E454" s="2">
        <f>IF(A454="","",MAX(0,C454-D454))</f>
        <v/>
      </c>
      <c r="F454" s="2">
        <f>IF(A454="","",IF(E454=0,"COMPLETO","FALTA"))</f>
        <v/>
      </c>
    </row>
    <row r="455">
      <c r="A455" s="2" t="inlineStr"/>
      <c r="B455" s="2" t="inlineStr"/>
      <c r="C455" s="2" t="inlineStr"/>
      <c r="D455" s="2">
        <f>IF(A455="","",COUNTIFS(SALIDAS!$C$2:$C$1000,A455,SALIDAS!$E$2:$E$1000,B455,SALIDAS!$G$2:$G$1000,"OK*"))</f>
        <v/>
      </c>
      <c r="E455" s="2">
        <f>IF(A455="","",MAX(0,C455-D455))</f>
        <v/>
      </c>
      <c r="F455" s="2">
        <f>IF(A455="","",IF(E455=0,"COMPLETO","FALTA"))</f>
        <v/>
      </c>
    </row>
    <row r="456">
      <c r="A456" s="2" t="inlineStr"/>
      <c r="B456" s="2" t="inlineStr"/>
      <c r="C456" s="2" t="inlineStr"/>
      <c r="D456" s="2">
        <f>IF(A456="","",COUNTIFS(SALIDAS!$C$2:$C$1000,A456,SALIDAS!$E$2:$E$1000,B456,SALIDAS!$G$2:$G$1000,"OK*"))</f>
        <v/>
      </c>
      <c r="E456" s="2">
        <f>IF(A456="","",MAX(0,C456-D456))</f>
        <v/>
      </c>
      <c r="F456" s="2">
        <f>IF(A456="","",IF(E456=0,"COMPLETO","FALTA"))</f>
        <v/>
      </c>
    </row>
    <row r="457">
      <c r="A457" s="2" t="inlineStr"/>
      <c r="B457" s="2" t="inlineStr"/>
      <c r="C457" s="2" t="inlineStr"/>
      <c r="D457" s="2">
        <f>IF(A457="","",COUNTIFS(SALIDAS!$C$2:$C$1000,A457,SALIDAS!$E$2:$E$1000,B457,SALIDAS!$G$2:$G$1000,"OK*"))</f>
        <v/>
      </c>
      <c r="E457" s="2">
        <f>IF(A457="","",MAX(0,C457-D457))</f>
        <v/>
      </c>
      <c r="F457" s="2">
        <f>IF(A457="","",IF(E457=0,"COMPLETO","FALTA"))</f>
        <v/>
      </c>
    </row>
    <row r="458">
      <c r="A458" s="2" t="inlineStr"/>
      <c r="B458" s="2" t="inlineStr"/>
      <c r="C458" s="2" t="inlineStr"/>
      <c r="D458" s="2">
        <f>IF(A458="","",COUNTIFS(SALIDAS!$C$2:$C$1000,A458,SALIDAS!$E$2:$E$1000,B458,SALIDAS!$G$2:$G$1000,"OK*"))</f>
        <v/>
      </c>
      <c r="E458" s="2">
        <f>IF(A458="","",MAX(0,C458-D458))</f>
        <v/>
      </c>
      <c r="F458" s="2">
        <f>IF(A458="","",IF(E458=0,"COMPLETO","FALTA"))</f>
        <v/>
      </c>
    </row>
    <row r="459">
      <c r="A459" s="2" t="inlineStr"/>
      <c r="B459" s="2" t="inlineStr"/>
      <c r="C459" s="2" t="inlineStr"/>
      <c r="D459" s="2">
        <f>IF(A459="","",COUNTIFS(SALIDAS!$C$2:$C$1000,A459,SALIDAS!$E$2:$E$1000,B459,SALIDAS!$G$2:$G$1000,"OK*"))</f>
        <v/>
      </c>
      <c r="E459" s="2">
        <f>IF(A459="","",MAX(0,C459-D459))</f>
        <v/>
      </c>
      <c r="F459" s="2">
        <f>IF(A459="","",IF(E459=0,"COMPLETO","FALTA"))</f>
        <v/>
      </c>
    </row>
    <row r="460">
      <c r="A460" s="2" t="inlineStr"/>
      <c r="B460" s="2" t="inlineStr"/>
      <c r="C460" s="2" t="inlineStr"/>
      <c r="D460" s="2">
        <f>IF(A460="","",COUNTIFS(SALIDAS!$C$2:$C$1000,A460,SALIDAS!$E$2:$E$1000,B460,SALIDAS!$G$2:$G$1000,"OK*"))</f>
        <v/>
      </c>
      <c r="E460" s="2">
        <f>IF(A460="","",MAX(0,C460-D460))</f>
        <v/>
      </c>
      <c r="F460" s="2">
        <f>IF(A460="","",IF(E460=0,"COMPLETO","FALTA"))</f>
        <v/>
      </c>
    </row>
    <row r="461">
      <c r="A461" s="2" t="inlineStr"/>
      <c r="B461" s="2" t="inlineStr"/>
      <c r="C461" s="2" t="inlineStr"/>
      <c r="D461" s="2">
        <f>IF(A461="","",COUNTIFS(SALIDAS!$C$2:$C$1000,A461,SALIDAS!$E$2:$E$1000,B461,SALIDAS!$G$2:$G$1000,"OK*"))</f>
        <v/>
      </c>
      <c r="E461" s="2">
        <f>IF(A461="","",MAX(0,C461-D461))</f>
        <v/>
      </c>
      <c r="F461" s="2">
        <f>IF(A461="","",IF(E461=0,"COMPLETO","FALTA"))</f>
        <v/>
      </c>
    </row>
    <row r="462">
      <c r="A462" s="2" t="inlineStr"/>
      <c r="B462" s="2" t="inlineStr"/>
      <c r="C462" s="2" t="inlineStr"/>
      <c r="D462" s="2">
        <f>IF(A462="","",COUNTIFS(SALIDAS!$C$2:$C$1000,A462,SALIDAS!$E$2:$E$1000,B462,SALIDAS!$G$2:$G$1000,"OK*"))</f>
        <v/>
      </c>
      <c r="E462" s="2">
        <f>IF(A462="","",MAX(0,C462-D462))</f>
        <v/>
      </c>
      <c r="F462" s="2">
        <f>IF(A462="","",IF(E462=0,"COMPLETO","FALTA"))</f>
        <v/>
      </c>
    </row>
    <row r="463">
      <c r="A463" s="2" t="inlineStr"/>
      <c r="B463" s="2" t="inlineStr"/>
      <c r="C463" s="2" t="inlineStr"/>
      <c r="D463" s="2">
        <f>IF(A463="","",COUNTIFS(SALIDAS!$C$2:$C$1000,A463,SALIDAS!$E$2:$E$1000,B463,SALIDAS!$G$2:$G$1000,"OK*"))</f>
        <v/>
      </c>
      <c r="E463" s="2">
        <f>IF(A463="","",MAX(0,C463-D463))</f>
        <v/>
      </c>
      <c r="F463" s="2">
        <f>IF(A463="","",IF(E463=0,"COMPLETO","FALTA"))</f>
        <v/>
      </c>
    </row>
    <row r="464">
      <c r="A464" s="2" t="inlineStr"/>
      <c r="B464" s="2" t="inlineStr"/>
      <c r="C464" s="2" t="inlineStr"/>
      <c r="D464" s="2">
        <f>IF(A464="","",COUNTIFS(SALIDAS!$C$2:$C$1000,A464,SALIDAS!$E$2:$E$1000,B464,SALIDAS!$G$2:$G$1000,"OK*"))</f>
        <v/>
      </c>
      <c r="E464" s="2">
        <f>IF(A464="","",MAX(0,C464-D464))</f>
        <v/>
      </c>
      <c r="F464" s="2">
        <f>IF(A464="","",IF(E464=0,"COMPLETO","FALTA"))</f>
        <v/>
      </c>
    </row>
    <row r="465">
      <c r="A465" s="2" t="inlineStr"/>
      <c r="B465" s="2" t="inlineStr"/>
      <c r="C465" s="2" t="inlineStr"/>
      <c r="D465" s="2">
        <f>IF(A465="","",COUNTIFS(SALIDAS!$C$2:$C$1000,A465,SALIDAS!$E$2:$E$1000,B465,SALIDAS!$G$2:$G$1000,"OK*"))</f>
        <v/>
      </c>
      <c r="E465" s="2">
        <f>IF(A465="","",MAX(0,C465-D465))</f>
        <v/>
      </c>
      <c r="F465" s="2">
        <f>IF(A465="","",IF(E465=0,"COMPLETO","FALTA"))</f>
        <v/>
      </c>
    </row>
    <row r="466">
      <c r="A466" s="2" t="inlineStr"/>
      <c r="B466" s="2" t="inlineStr"/>
      <c r="C466" s="2" t="inlineStr"/>
      <c r="D466" s="2">
        <f>IF(A466="","",COUNTIFS(SALIDAS!$C$2:$C$1000,A466,SALIDAS!$E$2:$E$1000,B466,SALIDAS!$G$2:$G$1000,"OK*"))</f>
        <v/>
      </c>
      <c r="E466" s="2">
        <f>IF(A466="","",MAX(0,C466-D466))</f>
        <v/>
      </c>
      <c r="F466" s="2">
        <f>IF(A466="","",IF(E466=0,"COMPLETO","FALTA"))</f>
        <v/>
      </c>
    </row>
    <row r="467">
      <c r="A467" s="2" t="inlineStr"/>
      <c r="B467" s="2" t="inlineStr"/>
      <c r="C467" s="2" t="inlineStr"/>
      <c r="D467" s="2">
        <f>IF(A467="","",COUNTIFS(SALIDAS!$C$2:$C$1000,A467,SALIDAS!$E$2:$E$1000,B467,SALIDAS!$G$2:$G$1000,"OK*"))</f>
        <v/>
      </c>
      <c r="E467" s="2">
        <f>IF(A467="","",MAX(0,C467-D467))</f>
        <v/>
      </c>
      <c r="F467" s="2">
        <f>IF(A467="","",IF(E467=0,"COMPLETO","FALTA"))</f>
        <v/>
      </c>
    </row>
    <row r="468">
      <c r="A468" s="2" t="inlineStr"/>
      <c r="B468" s="2" t="inlineStr"/>
      <c r="C468" s="2" t="inlineStr"/>
      <c r="D468" s="2">
        <f>IF(A468="","",COUNTIFS(SALIDAS!$C$2:$C$1000,A468,SALIDAS!$E$2:$E$1000,B468,SALIDAS!$G$2:$G$1000,"OK*"))</f>
        <v/>
      </c>
      <c r="E468" s="2">
        <f>IF(A468="","",MAX(0,C468-D468))</f>
        <v/>
      </c>
      <c r="F468" s="2">
        <f>IF(A468="","",IF(E468=0,"COMPLETO","FALTA"))</f>
        <v/>
      </c>
    </row>
    <row r="469">
      <c r="A469" s="2" t="inlineStr"/>
      <c r="B469" s="2" t="inlineStr"/>
      <c r="C469" s="2" t="inlineStr"/>
      <c r="D469" s="2">
        <f>IF(A469="","",COUNTIFS(SALIDAS!$C$2:$C$1000,A469,SALIDAS!$E$2:$E$1000,B469,SALIDAS!$G$2:$G$1000,"OK*"))</f>
        <v/>
      </c>
      <c r="E469" s="2">
        <f>IF(A469="","",MAX(0,C469-D469))</f>
        <v/>
      </c>
      <c r="F469" s="2">
        <f>IF(A469="","",IF(E469=0,"COMPLETO","FALTA"))</f>
        <v/>
      </c>
    </row>
    <row r="470">
      <c r="A470" s="2" t="inlineStr"/>
      <c r="B470" s="2" t="inlineStr"/>
      <c r="C470" s="2" t="inlineStr"/>
      <c r="D470" s="2">
        <f>IF(A470="","",COUNTIFS(SALIDAS!$C$2:$C$1000,A470,SALIDAS!$E$2:$E$1000,B470,SALIDAS!$G$2:$G$1000,"OK*"))</f>
        <v/>
      </c>
      <c r="E470" s="2">
        <f>IF(A470="","",MAX(0,C470-D470))</f>
        <v/>
      </c>
      <c r="F470" s="2">
        <f>IF(A470="","",IF(E470=0,"COMPLETO","FALTA"))</f>
        <v/>
      </c>
    </row>
    <row r="471">
      <c r="A471" s="2" t="inlineStr"/>
      <c r="B471" s="2" t="inlineStr"/>
      <c r="C471" s="2" t="inlineStr"/>
      <c r="D471" s="2">
        <f>IF(A471="","",COUNTIFS(SALIDAS!$C$2:$C$1000,A471,SALIDAS!$E$2:$E$1000,B471,SALIDAS!$G$2:$G$1000,"OK*"))</f>
        <v/>
      </c>
      <c r="E471" s="2">
        <f>IF(A471="","",MAX(0,C471-D471))</f>
        <v/>
      </c>
      <c r="F471" s="2">
        <f>IF(A471="","",IF(E471=0,"COMPLETO","FALTA"))</f>
        <v/>
      </c>
    </row>
    <row r="472">
      <c r="A472" s="2" t="inlineStr"/>
      <c r="B472" s="2" t="inlineStr"/>
      <c r="C472" s="2" t="inlineStr"/>
      <c r="D472" s="2">
        <f>IF(A472="","",COUNTIFS(SALIDAS!$C$2:$C$1000,A472,SALIDAS!$E$2:$E$1000,B472,SALIDAS!$G$2:$G$1000,"OK*"))</f>
        <v/>
      </c>
      <c r="E472" s="2">
        <f>IF(A472="","",MAX(0,C472-D472))</f>
        <v/>
      </c>
      <c r="F472" s="2">
        <f>IF(A472="","",IF(E472=0,"COMPLETO","FALTA"))</f>
        <v/>
      </c>
    </row>
    <row r="473">
      <c r="A473" s="2" t="inlineStr"/>
      <c r="B473" s="2" t="inlineStr"/>
      <c r="C473" s="2" t="inlineStr"/>
      <c r="D473" s="2">
        <f>IF(A473="","",COUNTIFS(SALIDAS!$C$2:$C$1000,A473,SALIDAS!$E$2:$E$1000,B473,SALIDAS!$G$2:$G$1000,"OK*"))</f>
        <v/>
      </c>
      <c r="E473" s="2">
        <f>IF(A473="","",MAX(0,C473-D473))</f>
        <v/>
      </c>
      <c r="F473" s="2">
        <f>IF(A473="","",IF(E473=0,"COMPLETO","FALTA"))</f>
        <v/>
      </c>
    </row>
    <row r="474">
      <c r="A474" s="2" t="inlineStr"/>
      <c r="B474" s="2" t="inlineStr"/>
      <c r="C474" s="2" t="inlineStr"/>
      <c r="D474" s="2">
        <f>IF(A474="","",COUNTIFS(SALIDAS!$C$2:$C$1000,A474,SALIDAS!$E$2:$E$1000,B474,SALIDAS!$G$2:$G$1000,"OK*"))</f>
        <v/>
      </c>
      <c r="E474" s="2">
        <f>IF(A474="","",MAX(0,C474-D474))</f>
        <v/>
      </c>
      <c r="F474" s="2">
        <f>IF(A474="","",IF(E474=0,"COMPLETO","FALTA"))</f>
        <v/>
      </c>
    </row>
    <row r="475">
      <c r="A475" s="2" t="inlineStr"/>
      <c r="B475" s="2" t="inlineStr"/>
      <c r="C475" s="2" t="inlineStr"/>
      <c r="D475" s="2">
        <f>IF(A475="","",COUNTIFS(SALIDAS!$C$2:$C$1000,A475,SALIDAS!$E$2:$E$1000,B475,SALIDAS!$G$2:$G$1000,"OK*"))</f>
        <v/>
      </c>
      <c r="E475" s="2">
        <f>IF(A475="","",MAX(0,C475-D475))</f>
        <v/>
      </c>
      <c r="F475" s="2">
        <f>IF(A475="","",IF(E475=0,"COMPLETO","FALTA"))</f>
        <v/>
      </c>
    </row>
    <row r="476">
      <c r="A476" s="2" t="inlineStr"/>
      <c r="B476" s="2" t="inlineStr"/>
      <c r="C476" s="2" t="inlineStr"/>
      <c r="D476" s="2">
        <f>IF(A476="","",COUNTIFS(SALIDAS!$C$2:$C$1000,A476,SALIDAS!$E$2:$E$1000,B476,SALIDAS!$G$2:$G$1000,"OK*"))</f>
        <v/>
      </c>
      <c r="E476" s="2">
        <f>IF(A476="","",MAX(0,C476-D476))</f>
        <v/>
      </c>
      <c r="F476" s="2">
        <f>IF(A476="","",IF(E476=0,"COMPLETO","FALTA"))</f>
        <v/>
      </c>
    </row>
    <row r="477">
      <c r="A477" s="2" t="inlineStr"/>
      <c r="B477" s="2" t="inlineStr"/>
      <c r="C477" s="2" t="inlineStr"/>
      <c r="D477" s="2">
        <f>IF(A477="","",COUNTIFS(SALIDAS!$C$2:$C$1000,A477,SALIDAS!$E$2:$E$1000,B477,SALIDAS!$G$2:$G$1000,"OK*"))</f>
        <v/>
      </c>
      <c r="E477" s="2">
        <f>IF(A477="","",MAX(0,C477-D477))</f>
        <v/>
      </c>
      <c r="F477" s="2">
        <f>IF(A477="","",IF(E477=0,"COMPLETO","FALTA"))</f>
        <v/>
      </c>
    </row>
    <row r="478">
      <c r="A478" s="2" t="inlineStr"/>
      <c r="B478" s="2" t="inlineStr"/>
      <c r="C478" s="2" t="inlineStr"/>
      <c r="D478" s="2">
        <f>IF(A478="","",COUNTIFS(SALIDAS!$C$2:$C$1000,A478,SALIDAS!$E$2:$E$1000,B478,SALIDAS!$G$2:$G$1000,"OK*"))</f>
        <v/>
      </c>
      <c r="E478" s="2">
        <f>IF(A478="","",MAX(0,C478-D478))</f>
        <v/>
      </c>
      <c r="F478" s="2">
        <f>IF(A478="","",IF(E478=0,"COMPLETO","FALTA"))</f>
        <v/>
      </c>
    </row>
    <row r="479">
      <c r="A479" s="2" t="inlineStr"/>
      <c r="B479" s="2" t="inlineStr"/>
      <c r="C479" s="2" t="inlineStr"/>
      <c r="D479" s="2">
        <f>IF(A479="","",COUNTIFS(SALIDAS!$C$2:$C$1000,A479,SALIDAS!$E$2:$E$1000,B479,SALIDAS!$G$2:$G$1000,"OK*"))</f>
        <v/>
      </c>
      <c r="E479" s="2">
        <f>IF(A479="","",MAX(0,C479-D479))</f>
        <v/>
      </c>
      <c r="F479" s="2">
        <f>IF(A479="","",IF(E479=0,"COMPLETO","FALTA"))</f>
        <v/>
      </c>
    </row>
    <row r="480">
      <c r="A480" s="2" t="inlineStr"/>
      <c r="B480" s="2" t="inlineStr"/>
      <c r="C480" s="2" t="inlineStr"/>
      <c r="D480" s="2">
        <f>IF(A480="","",COUNTIFS(SALIDAS!$C$2:$C$1000,A480,SALIDAS!$E$2:$E$1000,B480,SALIDAS!$G$2:$G$1000,"OK*"))</f>
        <v/>
      </c>
      <c r="E480" s="2">
        <f>IF(A480="","",MAX(0,C480-D480))</f>
        <v/>
      </c>
      <c r="F480" s="2">
        <f>IF(A480="","",IF(E480=0,"COMPLETO","FALTA"))</f>
        <v/>
      </c>
    </row>
    <row r="481">
      <c r="A481" s="2" t="inlineStr"/>
      <c r="B481" s="2" t="inlineStr"/>
      <c r="C481" s="2" t="inlineStr"/>
      <c r="D481" s="2">
        <f>IF(A481="","",COUNTIFS(SALIDAS!$C$2:$C$1000,A481,SALIDAS!$E$2:$E$1000,B481,SALIDAS!$G$2:$G$1000,"OK*"))</f>
        <v/>
      </c>
      <c r="E481" s="2">
        <f>IF(A481="","",MAX(0,C481-D481))</f>
        <v/>
      </c>
      <c r="F481" s="2">
        <f>IF(A481="","",IF(E481=0,"COMPLETO","FALTA"))</f>
        <v/>
      </c>
    </row>
    <row r="482">
      <c r="A482" s="2" t="inlineStr"/>
      <c r="B482" s="2" t="inlineStr"/>
      <c r="C482" s="2" t="inlineStr"/>
      <c r="D482" s="2">
        <f>IF(A482="","",COUNTIFS(SALIDAS!$C$2:$C$1000,A482,SALIDAS!$E$2:$E$1000,B482,SALIDAS!$G$2:$G$1000,"OK*"))</f>
        <v/>
      </c>
      <c r="E482" s="2">
        <f>IF(A482="","",MAX(0,C482-D482))</f>
        <v/>
      </c>
      <c r="F482" s="2">
        <f>IF(A482="","",IF(E482=0,"COMPLETO","FALTA"))</f>
        <v/>
      </c>
    </row>
    <row r="483">
      <c r="A483" s="2" t="inlineStr"/>
      <c r="B483" s="2" t="inlineStr"/>
      <c r="C483" s="2" t="inlineStr"/>
      <c r="D483" s="2">
        <f>IF(A483="","",COUNTIFS(SALIDAS!$C$2:$C$1000,A483,SALIDAS!$E$2:$E$1000,B483,SALIDAS!$G$2:$G$1000,"OK*"))</f>
        <v/>
      </c>
      <c r="E483" s="2">
        <f>IF(A483="","",MAX(0,C483-D483))</f>
        <v/>
      </c>
      <c r="F483" s="2">
        <f>IF(A483="","",IF(E483=0,"COMPLETO","FALTA"))</f>
        <v/>
      </c>
    </row>
    <row r="484">
      <c r="A484" s="2" t="inlineStr"/>
      <c r="B484" s="2" t="inlineStr"/>
      <c r="C484" s="2" t="inlineStr"/>
      <c r="D484" s="2">
        <f>IF(A484="","",COUNTIFS(SALIDAS!$C$2:$C$1000,A484,SALIDAS!$E$2:$E$1000,B484,SALIDAS!$G$2:$G$1000,"OK*"))</f>
        <v/>
      </c>
      <c r="E484" s="2">
        <f>IF(A484="","",MAX(0,C484-D484))</f>
        <v/>
      </c>
      <c r="F484" s="2">
        <f>IF(A484="","",IF(E484=0,"COMPLETO","FALTA"))</f>
        <v/>
      </c>
    </row>
    <row r="485">
      <c r="A485" s="2" t="inlineStr"/>
      <c r="B485" s="2" t="inlineStr"/>
      <c r="C485" s="2" t="inlineStr"/>
      <c r="D485" s="2">
        <f>IF(A485="","",COUNTIFS(SALIDAS!$C$2:$C$1000,A485,SALIDAS!$E$2:$E$1000,B485,SALIDAS!$G$2:$G$1000,"OK*"))</f>
        <v/>
      </c>
      <c r="E485" s="2">
        <f>IF(A485="","",MAX(0,C485-D485))</f>
        <v/>
      </c>
      <c r="F485" s="2">
        <f>IF(A485="","",IF(E485=0,"COMPLETO","FALTA"))</f>
        <v/>
      </c>
    </row>
    <row r="486">
      <c r="A486" s="2" t="inlineStr"/>
      <c r="B486" s="2" t="inlineStr"/>
      <c r="C486" s="2" t="inlineStr"/>
      <c r="D486" s="2">
        <f>IF(A486="","",COUNTIFS(SALIDAS!$C$2:$C$1000,A486,SALIDAS!$E$2:$E$1000,B486,SALIDAS!$G$2:$G$1000,"OK*"))</f>
        <v/>
      </c>
      <c r="E486" s="2">
        <f>IF(A486="","",MAX(0,C486-D486))</f>
        <v/>
      </c>
      <c r="F486" s="2">
        <f>IF(A486="","",IF(E486=0,"COMPLETO","FALTA"))</f>
        <v/>
      </c>
    </row>
    <row r="487">
      <c r="A487" s="2" t="inlineStr"/>
      <c r="B487" s="2" t="inlineStr"/>
      <c r="C487" s="2" t="inlineStr"/>
      <c r="D487" s="2">
        <f>IF(A487="","",COUNTIFS(SALIDAS!$C$2:$C$1000,A487,SALIDAS!$E$2:$E$1000,B487,SALIDAS!$G$2:$G$1000,"OK*"))</f>
        <v/>
      </c>
      <c r="E487" s="2">
        <f>IF(A487="","",MAX(0,C487-D487))</f>
        <v/>
      </c>
      <c r="F487" s="2">
        <f>IF(A487="","",IF(E487=0,"COMPLETO","FALTA"))</f>
        <v/>
      </c>
    </row>
    <row r="488">
      <c r="A488" s="2" t="inlineStr"/>
      <c r="B488" s="2" t="inlineStr"/>
      <c r="C488" s="2" t="inlineStr"/>
      <c r="D488" s="2">
        <f>IF(A488="","",COUNTIFS(SALIDAS!$C$2:$C$1000,A488,SALIDAS!$E$2:$E$1000,B488,SALIDAS!$G$2:$G$1000,"OK*"))</f>
        <v/>
      </c>
      <c r="E488" s="2">
        <f>IF(A488="","",MAX(0,C488-D488))</f>
        <v/>
      </c>
      <c r="F488" s="2">
        <f>IF(A488="","",IF(E488=0,"COMPLETO","FALTA"))</f>
        <v/>
      </c>
    </row>
    <row r="489">
      <c r="A489" s="2" t="inlineStr"/>
      <c r="B489" s="2" t="inlineStr"/>
      <c r="C489" s="2" t="inlineStr"/>
      <c r="D489" s="2">
        <f>IF(A489="","",COUNTIFS(SALIDAS!$C$2:$C$1000,A489,SALIDAS!$E$2:$E$1000,B489,SALIDAS!$G$2:$G$1000,"OK*"))</f>
        <v/>
      </c>
      <c r="E489" s="2">
        <f>IF(A489="","",MAX(0,C489-D489))</f>
        <v/>
      </c>
      <c r="F489" s="2">
        <f>IF(A489="","",IF(E489=0,"COMPLETO","FALTA"))</f>
        <v/>
      </c>
    </row>
    <row r="490">
      <c r="A490" s="2" t="inlineStr"/>
      <c r="B490" s="2" t="inlineStr"/>
      <c r="C490" s="2" t="inlineStr"/>
      <c r="D490" s="2">
        <f>IF(A490="","",COUNTIFS(SALIDAS!$C$2:$C$1000,A490,SALIDAS!$E$2:$E$1000,B490,SALIDAS!$G$2:$G$1000,"OK*"))</f>
        <v/>
      </c>
      <c r="E490" s="2">
        <f>IF(A490="","",MAX(0,C490-D490))</f>
        <v/>
      </c>
      <c r="F490" s="2">
        <f>IF(A490="","",IF(E490=0,"COMPLETO","FALTA"))</f>
        <v/>
      </c>
    </row>
    <row r="491">
      <c r="A491" s="2" t="inlineStr"/>
      <c r="B491" s="2" t="inlineStr"/>
      <c r="C491" s="2" t="inlineStr"/>
      <c r="D491" s="2">
        <f>IF(A491="","",COUNTIFS(SALIDAS!$C$2:$C$1000,A491,SALIDAS!$E$2:$E$1000,B491,SALIDAS!$G$2:$G$1000,"OK*"))</f>
        <v/>
      </c>
      <c r="E491" s="2">
        <f>IF(A491="","",MAX(0,C491-D491))</f>
        <v/>
      </c>
      <c r="F491" s="2">
        <f>IF(A491="","",IF(E491=0,"COMPLETO","FALTA"))</f>
        <v/>
      </c>
    </row>
    <row r="492">
      <c r="A492" s="2" t="inlineStr"/>
      <c r="B492" s="2" t="inlineStr"/>
      <c r="C492" s="2" t="inlineStr"/>
      <c r="D492" s="2">
        <f>IF(A492="","",COUNTIFS(SALIDAS!$C$2:$C$1000,A492,SALIDAS!$E$2:$E$1000,B492,SALIDAS!$G$2:$G$1000,"OK*"))</f>
        <v/>
      </c>
      <c r="E492" s="2">
        <f>IF(A492="","",MAX(0,C492-D492))</f>
        <v/>
      </c>
      <c r="F492" s="2">
        <f>IF(A492="","",IF(E492=0,"COMPLETO","FALTA"))</f>
        <v/>
      </c>
    </row>
    <row r="493">
      <c r="A493" s="2" t="inlineStr"/>
      <c r="B493" s="2" t="inlineStr"/>
      <c r="C493" s="2" t="inlineStr"/>
      <c r="D493" s="2">
        <f>IF(A493="","",COUNTIFS(SALIDAS!$C$2:$C$1000,A493,SALIDAS!$E$2:$E$1000,B493,SALIDAS!$G$2:$G$1000,"OK*"))</f>
        <v/>
      </c>
      <c r="E493" s="2">
        <f>IF(A493="","",MAX(0,C493-D493))</f>
        <v/>
      </c>
      <c r="F493" s="2">
        <f>IF(A493="","",IF(E493=0,"COMPLETO","FALTA"))</f>
        <v/>
      </c>
    </row>
    <row r="494">
      <c r="A494" s="2" t="inlineStr"/>
      <c r="B494" s="2" t="inlineStr"/>
      <c r="C494" s="2" t="inlineStr"/>
      <c r="D494" s="2">
        <f>IF(A494="","",COUNTIFS(SALIDAS!$C$2:$C$1000,A494,SALIDAS!$E$2:$E$1000,B494,SALIDAS!$G$2:$G$1000,"OK*"))</f>
        <v/>
      </c>
      <c r="E494" s="2">
        <f>IF(A494="","",MAX(0,C494-D494))</f>
        <v/>
      </c>
      <c r="F494" s="2">
        <f>IF(A494="","",IF(E494=0,"COMPLETO","FALTA"))</f>
        <v/>
      </c>
    </row>
    <row r="495">
      <c r="A495" s="2" t="inlineStr"/>
      <c r="B495" s="2" t="inlineStr"/>
      <c r="C495" s="2" t="inlineStr"/>
      <c r="D495" s="2">
        <f>IF(A495="","",COUNTIFS(SALIDAS!$C$2:$C$1000,A495,SALIDAS!$E$2:$E$1000,B495,SALIDAS!$G$2:$G$1000,"OK*"))</f>
        <v/>
      </c>
      <c r="E495" s="2">
        <f>IF(A495="","",MAX(0,C495-D495))</f>
        <v/>
      </c>
      <c r="F495" s="2">
        <f>IF(A495="","",IF(E495=0,"COMPLETO","FALTA"))</f>
        <v/>
      </c>
    </row>
    <row r="496">
      <c r="A496" s="2" t="inlineStr"/>
      <c r="B496" s="2" t="inlineStr"/>
      <c r="C496" s="2" t="inlineStr"/>
      <c r="D496" s="2">
        <f>IF(A496="","",COUNTIFS(SALIDAS!$C$2:$C$1000,A496,SALIDAS!$E$2:$E$1000,B496,SALIDAS!$G$2:$G$1000,"OK*"))</f>
        <v/>
      </c>
      <c r="E496" s="2">
        <f>IF(A496="","",MAX(0,C496-D496))</f>
        <v/>
      </c>
      <c r="F496" s="2">
        <f>IF(A496="","",IF(E496=0,"COMPLETO","FALTA"))</f>
        <v/>
      </c>
    </row>
    <row r="497">
      <c r="A497" s="2" t="inlineStr"/>
      <c r="B497" s="2" t="inlineStr"/>
      <c r="C497" s="2" t="inlineStr"/>
      <c r="D497" s="2">
        <f>IF(A497="","",COUNTIFS(SALIDAS!$C$2:$C$1000,A497,SALIDAS!$E$2:$E$1000,B497,SALIDAS!$G$2:$G$1000,"OK*"))</f>
        <v/>
      </c>
      <c r="E497" s="2">
        <f>IF(A497="","",MAX(0,C497-D497))</f>
        <v/>
      </c>
      <c r="F497" s="2">
        <f>IF(A497="","",IF(E497=0,"COMPLETO","FALTA"))</f>
        <v/>
      </c>
    </row>
    <row r="498">
      <c r="A498" s="2" t="inlineStr"/>
      <c r="B498" s="2" t="inlineStr"/>
      <c r="C498" s="2" t="inlineStr"/>
      <c r="D498" s="2">
        <f>IF(A498="","",COUNTIFS(SALIDAS!$C$2:$C$1000,A498,SALIDAS!$E$2:$E$1000,B498,SALIDAS!$G$2:$G$1000,"OK*"))</f>
        <v/>
      </c>
      <c r="E498" s="2">
        <f>IF(A498="","",MAX(0,C498-D498))</f>
        <v/>
      </c>
      <c r="F498" s="2">
        <f>IF(A498="","",IF(E498=0,"COMPLETO","FALTA"))</f>
        <v/>
      </c>
    </row>
    <row r="499">
      <c r="A499" s="2" t="inlineStr"/>
      <c r="B499" s="2" t="inlineStr"/>
      <c r="C499" s="2" t="inlineStr"/>
      <c r="D499" s="2">
        <f>IF(A499="","",COUNTIFS(SALIDAS!$C$2:$C$1000,A499,SALIDAS!$E$2:$E$1000,B499,SALIDAS!$G$2:$G$1000,"OK*"))</f>
        <v/>
      </c>
      <c r="E499" s="2">
        <f>IF(A499="","",MAX(0,C499-D499))</f>
        <v/>
      </c>
      <c r="F499" s="2">
        <f>IF(A499="","",IF(E499=0,"COMPLETO","FALTA"))</f>
        <v/>
      </c>
    </row>
    <row r="500">
      <c r="A500" s="2" t="inlineStr"/>
      <c r="B500" s="2" t="inlineStr"/>
      <c r="C500" s="2" t="inlineStr"/>
      <c r="D500" s="2">
        <f>IF(A500="","",COUNTIFS(SALIDAS!$C$2:$C$1000,A500,SALIDAS!$E$2:$E$1000,B500,SALIDAS!$G$2:$G$1000,"OK*"))</f>
        <v/>
      </c>
      <c r="E500" s="2">
        <f>IF(A500="","",MAX(0,C500-D500))</f>
        <v/>
      </c>
      <c r="F500" s="2">
        <f>IF(A500="","",IF(E500=0,"COMPLETO","FALTA"))</f>
        <v/>
      </c>
    </row>
    <row r="501">
      <c r="A501" s="2" t="inlineStr"/>
      <c r="B501" s="2" t="inlineStr"/>
      <c r="C501" s="2" t="inlineStr"/>
      <c r="D501" s="2">
        <f>IF(A501="","",COUNTIFS(SALIDAS!$C$2:$C$1000,A501,SALIDAS!$E$2:$E$1000,B501,SALIDAS!$G$2:$G$1000,"OK*"))</f>
        <v/>
      </c>
      <c r="E501" s="2">
        <f>IF(A501="","",MAX(0,C501-D501))</f>
        <v/>
      </c>
      <c r="F501" s="2">
        <f>IF(A501="","",IF(E501=0,"COMPLETO","FALTA"))</f>
        <v/>
      </c>
    </row>
  </sheetData>
  <autoFilter ref="A1:F501"/>
  <conditionalFormatting sqref="F2:F501">
    <cfRule type="expression" priority="1" dxfId="0">
      <formula>ISNUMBER(SEARCH("OK",F2))</formula>
    </cfRule>
    <cfRule type="expression" priority="2" dxfId="1">
      <formula>OR(ISNUMBER(SEARCH("NO ",F2)),ISNUMBER(SEARCH("REVISAR",F2)))</formula>
    </cfRule>
    <cfRule type="expression" priority="3" dxfId="2">
      <formula>OR(ISNUMBER(SEARCH("FALTA",F2)),ISNUMBER(SEARCH("DUPLICADA",F2)),ISNUMBER(SEARCH("DUPLICADO",F2)))</formula>
    </cfRule>
  </conditionalFormatting>
  <dataValidations count="1">
    <dataValidation sqref="B2:B501" showDropDown="0" showInputMessage="0" showErrorMessage="0" allowBlank="1" type="list">
      <formula1>LISTAS!$A$2:$A$26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0" customWidth="1" min="4" max="4"/>
    <col width="20" customWidth="1" min="5" max="5"/>
    <col width="36" customWidth="1" min="6" max="6"/>
    <col width="22" customWidth="1" min="7" max="7"/>
  </cols>
  <sheetData>
    <row r="1" ht="24" customHeight="1">
      <c r="A1" s="8" t="inlineStr">
        <is>
          <t>Fecha</t>
        </is>
      </c>
      <c r="B1" s="5" t="inlineStr">
        <is>
          <t>Evento</t>
        </is>
      </c>
      <c r="C1" s="5" t="inlineStr">
        <is>
          <t>Pedido</t>
        </is>
      </c>
      <c r="D1" s="5" t="inlineStr">
        <is>
          <t>Codigo</t>
        </is>
      </c>
      <c r="E1" s="5" t="inlineStr">
        <is>
          <t>Tipo detectado</t>
        </is>
      </c>
      <c r="F1" s="5" t="inlineStr">
        <is>
          <t>Descripcion</t>
        </is>
      </c>
      <c r="G1" s="5" t="inlineStr">
        <is>
          <t>Validacion</t>
        </is>
      </c>
    </row>
    <row r="2">
      <c r="A2" s="9">
        <f>IF(C3&lt;&gt;"",IF(A3="",TODAY(),A3),"")</f>
        <v/>
      </c>
      <c r="B2" s="2" t="inlineStr">
        <is>
          <t>Tecnopolis</t>
        </is>
      </c>
      <c r="C2" s="2" t="inlineStr"/>
      <c r="D2" s="2" t="inlineStr">
        <is>
          <t>GEN9KVA-001</t>
        </is>
      </c>
      <c r="E2" s="2">
        <f>IF(D2="","",IFERROR(XLOOKUP(TRIM(D2),INVENTARIO!$A$2:$A$2000,INVENTARIO!$B$2:$B$2000),"NO ENCONTRADO"))</f>
        <v/>
      </c>
      <c r="F2" s="2">
        <f>IF(D2="","",IFERROR(XLOOKUP(TRIM(D2),INVENTARIO!$A$2:$A$2000,INVENTARIO!$C$2:$C$2000),""))</f>
        <v/>
      </c>
      <c r="G2" s="2">
        <f>IF(D2="","",IF(E2="NO ENCONTRADO","CODIGO NO EXISTE",IF(COUNTIF($D$2:D2,D2)&gt;1,"DUPLICADO",IF(C2="","OK SIN PEDIDO",IF(COUNTIFS(PEDIDO_ITEMS!$A$2:$A$501,C2,PEDIDO_ITEMS!$B$2:$B$501,E2)=0,"NO PEDIDO",IF(COUNTIFS($C$2:C2,C2,$E$2:E2,E2)&gt;SUMIFS(PEDIDO_ITEMS!$C$2:$C$501,PEDIDO_ITEMS!$A$2:$A$501,C2,PEDIDO_ITEMS!$B$2:$B$501,E2),"EXCEDE PEDIDO","OK"))))))</f>
        <v/>
      </c>
    </row>
    <row r="3">
      <c r="A3" s="9">
        <f>IF(C3="", "", TODAY())</f>
        <v/>
      </c>
      <c r="B3" s="2" t="inlineStr">
        <is>
          <t>Tecnopolis</t>
        </is>
      </c>
      <c r="C3" s="2" t="inlineStr"/>
      <c r="D3" s="2" t="inlineStr">
        <is>
          <t>GEN9KVA-002</t>
        </is>
      </c>
      <c r="E3" s="2">
        <f>IF(D3="","",IFERROR(XLOOKUP(TRIM(D3),INVENTARIO!$A$2:$A$2000,INVENTARIO!$B$2:$B$2000),"NO ENCONTRADO"))</f>
        <v/>
      </c>
      <c r="F3" s="2">
        <f>IF(D3="","",IFERROR(XLOOKUP(TRIM(D3),INVENTARIO!$A$2:$A$2000,INVENTARIO!$C$2:$C$2000),""))</f>
        <v/>
      </c>
      <c r="G3" s="2">
        <f>IF(D3="","",IF(E3="NO ENCONTRADO","CODIGO NO EXISTE",IF(COUNTIF($D$2:D3,D3)&gt;1,"DUPLICADO",IF(C3="","OK SIN PEDIDO",IF(COUNTIFS(PEDIDO_ITEMS!$A$2:$A$501,C3,PEDIDO_ITEMS!$B$2:$B$501,E3)=0,"NO PEDIDO",IF(COUNTIFS($C$2:C3,C3,$E$2:E3,E3)&gt;SUMIFS(PEDIDO_ITEMS!$C$2:$C$501,PEDIDO_ITEMS!$A$2:$A$501,C3,PEDIDO_ITEMS!$B$2:$B$501,E3),"EXCEDE PEDIDO","OK"))))))</f>
        <v/>
      </c>
    </row>
    <row r="4">
      <c r="A4" s="9" t="n">
        <v>46136.41341943287</v>
      </c>
      <c r="B4" s="2" t="inlineStr">
        <is>
          <t>Tecnopolis</t>
        </is>
      </c>
      <c r="C4" s="2" t="inlineStr"/>
      <c r="D4" s="2" t="inlineStr">
        <is>
          <t>GEN9KVA-003</t>
        </is>
      </c>
      <c r="E4" s="2">
        <f>IF(D4="","",IFERROR(XLOOKUP(TRIM(D4),INVENTARIO!$A$2:$A$2000,INVENTARIO!$B$2:$B$2000),"NO ENCONTRADO"))</f>
        <v/>
      </c>
      <c r="F4" s="2">
        <f>IF(D4="","",IFERROR(XLOOKUP(TRIM(D4),INVENTARIO!$A$2:$A$2000,INVENTARIO!$C$2:$C$2000),""))</f>
        <v/>
      </c>
      <c r="G4" s="2">
        <f>IF(D4="","",IF(E4="NO ENCONTRADO","CODIGO NO EXISTE",IF(COUNTIF($D$2:D4,D4)&gt;1,"DUPLICADO",IF(C4="","OK SIN PEDIDO",IF(COUNTIFS(PEDIDO_ITEMS!$A$2:$A$501,C4,PEDIDO_ITEMS!$B$2:$B$501,E4)=0,"NO PEDIDO",IF(COUNTIFS($C$2:C4,C4,$E$2:E4,E4)&gt;SUMIFS(PEDIDO_ITEMS!$C$2:$C$501,PEDIDO_ITEMS!$A$2:$A$501,C4,PEDIDO_ITEMS!$B$2:$B$501,E4),"EXCEDE PEDIDO","OK"))))))</f>
        <v/>
      </c>
    </row>
    <row r="5">
      <c r="A5" s="9" t="inlineStr"/>
      <c r="B5" s="2" t="inlineStr">
        <is>
          <t>Tecnopolis</t>
        </is>
      </c>
      <c r="C5" s="2" t="inlineStr"/>
      <c r="D5" s="2" t="inlineStr">
        <is>
          <t>GEN9KVA-004</t>
        </is>
      </c>
      <c r="E5" s="2">
        <f>IF(D5="","",IFERROR(XLOOKUP(TRIM(D5),INVENTARIO!$A$2:$A$2000,INVENTARIO!$B$2:$B$2000),"NO ENCONTRADO"))</f>
        <v/>
      </c>
      <c r="F5" s="2">
        <f>IF(D5="","",IFERROR(XLOOKUP(TRIM(D5),INVENTARIO!$A$2:$A$2000,INVENTARIO!$C$2:$C$2000),""))</f>
        <v/>
      </c>
      <c r="G5" s="2">
        <f>IF(D5="","",IF(E5="NO ENCONTRADO","CODIGO NO EXISTE",IF(COUNTIF($D$2:D5,D5)&gt;1,"DUPLICADO",IF(C5="","OK SIN PEDIDO",IF(COUNTIFS(PEDIDO_ITEMS!$A$2:$A$501,C5,PEDIDO_ITEMS!$B$2:$B$501,E5)=0,"NO PEDIDO",IF(COUNTIFS($C$2:C5,C5,$E$2:E5,E5)&gt;SUMIFS(PEDIDO_ITEMS!$C$2:$C$501,PEDIDO_ITEMS!$A$2:$A$501,C5,PEDIDO_ITEMS!$B$2:$B$501,E5),"EXCEDE PEDIDO","OK"))))))</f>
        <v/>
      </c>
    </row>
    <row r="6">
      <c r="A6" s="9" t="inlineStr"/>
      <c r="B6" s="2" t="inlineStr">
        <is>
          <t>Tecnopolis</t>
        </is>
      </c>
      <c r="C6" s="2" t="inlineStr"/>
      <c r="D6" s="2" t="inlineStr">
        <is>
          <t>GEN9KVA-005</t>
        </is>
      </c>
      <c r="E6" s="2">
        <f>IF(D6="","",IFERROR(XLOOKUP(TRIM(D6),INVENTARIO!$A$2:$A$2000,INVENTARIO!$B$2:$B$2000),"NO ENCONTRADO"))</f>
        <v/>
      </c>
      <c r="F6" s="2">
        <f>IF(D6="","",IFERROR(XLOOKUP(TRIM(D6),INVENTARIO!$A$2:$A$2000,INVENTARIO!$C$2:$C$2000),""))</f>
        <v/>
      </c>
      <c r="G6" s="2">
        <f>IF(D6="","",IF(E6="NO ENCONTRADO","CODIGO NO EXISTE",IF(COUNTIF($D$2:D6,D6)&gt;1,"DUPLICADO",IF(C6="","OK SIN PEDIDO",IF(COUNTIFS(PEDIDO_ITEMS!$A$2:$A$501,C6,PEDIDO_ITEMS!$B$2:$B$501,E6)=0,"NO PEDIDO",IF(COUNTIFS($C$2:C6,C6,$E$2:E6,E6)&gt;SUMIFS(PEDIDO_ITEMS!$C$2:$C$501,PEDIDO_ITEMS!$A$2:$A$501,C6,PEDIDO_ITEMS!$B$2:$B$501,E6),"EXCEDE PEDIDO","OK"))))))</f>
        <v/>
      </c>
    </row>
    <row r="7">
      <c r="A7" s="9" t="n">
        <v>46126.50643291666</v>
      </c>
      <c r="B7" s="2" t="inlineStr">
        <is>
          <t>Tecnopolis</t>
        </is>
      </c>
      <c r="C7" s="2" t="inlineStr"/>
      <c r="D7" s="2" t="inlineStr">
        <is>
          <t>GEN9KVA-006</t>
        </is>
      </c>
      <c r="E7" s="2">
        <f>IF(D7="","",IFERROR(XLOOKUP(TRIM(D7),INVENTARIO!$A$2:$A$2000,INVENTARIO!$B$2:$B$2000),"NO ENCONTRADO"))</f>
        <v/>
      </c>
      <c r="F7" s="2">
        <f>IF(D7="","",IFERROR(XLOOKUP(TRIM(D7),INVENTARIO!$A$2:$A$2000,INVENTARIO!$C$2:$C$2000),""))</f>
        <v/>
      </c>
      <c r="G7" s="2">
        <f>IF(D7="","",IF(E7="NO ENCONTRADO","CODIGO NO EXISTE",IF(COUNTIF($D$2:D7,D7)&gt;1,"DUPLICADO",IF(C7="","OK SIN PEDIDO",IF(COUNTIFS(PEDIDO_ITEMS!$A$2:$A$501,C7,PEDIDO_ITEMS!$B$2:$B$501,E7)=0,"NO PEDIDO",IF(COUNTIFS($C$2:C7,C7,$E$2:E7,E7)&gt;SUMIFS(PEDIDO_ITEMS!$C$2:$C$501,PEDIDO_ITEMS!$A$2:$A$501,C7,PEDIDO_ITEMS!$B$2:$B$501,E7),"EXCEDE PEDIDO","OK"))))))</f>
        <v/>
      </c>
    </row>
    <row r="8">
      <c r="A8" s="9" t="n">
        <v>46126.50646030092</v>
      </c>
      <c r="B8" s="2" t="inlineStr">
        <is>
          <t>Tecnopolis</t>
        </is>
      </c>
      <c r="C8" s="2" t="inlineStr"/>
      <c r="D8" s="2" t="inlineStr">
        <is>
          <t>GEN9KVA-007</t>
        </is>
      </c>
      <c r="E8" s="2">
        <f>IF(D8="","",IFERROR(XLOOKUP(TRIM(D8),INVENTARIO!$A$2:$A$2000,INVENTARIO!$B$2:$B$2000),"NO ENCONTRADO"))</f>
        <v/>
      </c>
      <c r="F8" s="2">
        <f>IF(D8="","",IFERROR(XLOOKUP(TRIM(D8),INVENTARIO!$A$2:$A$2000,INVENTARIO!$C$2:$C$2000),""))</f>
        <v/>
      </c>
      <c r="G8" s="2">
        <f>IF(D8="","",IF(E8="NO ENCONTRADO","CODIGO NO EXISTE",IF(COUNTIF($D$2:D8,D8)&gt;1,"DUPLICADO",IF(C8="","OK SIN PEDIDO",IF(COUNTIFS(PEDIDO_ITEMS!$A$2:$A$501,C8,PEDIDO_ITEMS!$B$2:$B$501,E8)=0,"NO PEDIDO",IF(COUNTIFS($C$2:C8,C8,$E$2:E8,E8)&gt;SUMIFS(PEDIDO_ITEMS!$C$2:$C$501,PEDIDO_ITEMS!$A$2:$A$501,C8,PEDIDO_ITEMS!$B$2:$B$501,E8),"EXCEDE PEDIDO","OK"))))))</f>
        <v/>
      </c>
    </row>
    <row r="9">
      <c r="A9" s="9" t="n">
        <v>46126.50648030092</v>
      </c>
      <c r="B9" s="2" t="inlineStr">
        <is>
          <t>Tecnopolis</t>
        </is>
      </c>
      <c r="C9" s="2" t="inlineStr"/>
      <c r="D9" s="2" t="inlineStr">
        <is>
          <t>GEN9KVA-008</t>
        </is>
      </c>
      <c r="E9" s="2">
        <f>IF(D9="","",IFERROR(XLOOKUP(TRIM(D9),INVENTARIO!$A$2:$A$2000,INVENTARIO!$B$2:$B$2000),"NO ENCONTRADO"))</f>
        <v/>
      </c>
      <c r="F9" s="2">
        <f>IF(D9="","",IFERROR(XLOOKUP(TRIM(D9),INVENTARIO!$A$2:$A$2000,INVENTARIO!$C$2:$C$2000),""))</f>
        <v/>
      </c>
      <c r="G9" s="2">
        <f>IF(D9="","",IF(E9="NO ENCONTRADO","CODIGO NO EXISTE",IF(COUNTIF($D$2:D9,D9)&gt;1,"DUPLICADO",IF(C9="","OK SIN PEDIDO",IF(COUNTIFS(PEDIDO_ITEMS!$A$2:$A$501,C9,PEDIDO_ITEMS!$B$2:$B$501,E9)=0,"NO PEDIDO",IF(COUNTIFS($C$2:C9,C9,$E$2:E9,E9)&gt;SUMIFS(PEDIDO_ITEMS!$C$2:$C$501,PEDIDO_ITEMS!$A$2:$A$501,C9,PEDIDO_ITEMS!$B$2:$B$501,E9),"EXCEDE PEDIDO","OK"))))))</f>
        <v/>
      </c>
    </row>
    <row r="10">
      <c r="A10" s="9" t="n">
        <v>46126.50755413195</v>
      </c>
      <c r="B10" s="2" t="inlineStr">
        <is>
          <t>Tecnopolis</t>
        </is>
      </c>
      <c r="C10" s="2" t="inlineStr"/>
      <c r="D10" s="2" t="inlineStr">
        <is>
          <t>GEN9KVA-009</t>
        </is>
      </c>
      <c r="E10" s="2">
        <f>IF(D10="","",IFERROR(XLOOKUP(TRIM(D10),INVENTARIO!$A$2:$A$2000,INVENTARIO!$B$2:$B$2000),"NO ENCONTRADO"))</f>
        <v/>
      </c>
      <c r="F10" s="2">
        <f>IF(D10="","",IFERROR(XLOOKUP(TRIM(D10),INVENTARIO!$A$2:$A$2000,INVENTARIO!$C$2:$C$2000),""))</f>
        <v/>
      </c>
      <c r="G10" s="2">
        <f>IF(D10="","",IF(E10="NO ENCONTRADO","CODIGO NO EXISTE",IF(COUNTIF($D$2:D10,D10)&gt;1,"DUPLICADO",IF(C10="","OK SIN PEDIDO",IF(COUNTIFS(PEDIDO_ITEMS!$A$2:$A$501,C10,PEDIDO_ITEMS!$B$2:$B$501,E10)=0,"NO PEDIDO",IF(COUNTIFS($C$2:C10,C10,$E$2:E10,E10)&gt;SUMIFS(PEDIDO_ITEMS!$C$2:$C$501,PEDIDO_ITEMS!$A$2:$A$501,C10,PEDIDO_ITEMS!$B$2:$B$501,E10),"EXCEDE PEDIDO","OK"))))))</f>
        <v/>
      </c>
    </row>
    <row r="11">
      <c r="A11" s="9" t="n">
        <v>46126.50792385417</v>
      </c>
      <c r="B11" s="2" t="inlineStr">
        <is>
          <t>Tecnopolis</t>
        </is>
      </c>
      <c r="C11" s="2" t="inlineStr"/>
      <c r="D11" s="2" t="inlineStr">
        <is>
          <t>MNG53210-047</t>
        </is>
      </c>
      <c r="E11" s="2">
        <f>IF(D11="","",IFERROR(XLOOKUP(TRIM(D11),INVENTARIO!$A$2:$A$2000,INVENTARIO!$B$2:$B$2000),"NO ENCONTRADO"))</f>
        <v/>
      </c>
      <c r="F11" s="2">
        <f>IF(D11="","",IFERROR(XLOOKUP(TRIM(D11),INVENTARIO!$A$2:$A$2000,INVENTARIO!$C$2:$C$2000),""))</f>
        <v/>
      </c>
      <c r="G11" s="2">
        <f>IF(D11="","",IF(E11="NO ENCONTRADO","CODIGO NO EXISTE",IF(COUNTIF($D$2:D11,D11)&gt;1,"DUPLICADO",IF(C11="","OK SIN PEDIDO",IF(COUNTIFS(PEDIDO_ITEMS!$A$2:$A$501,C11,PEDIDO_ITEMS!$B$2:$B$501,E11)=0,"NO PEDIDO",IF(COUNTIFS($C$2:C11,C11,$E$2:E11,E11)&gt;SUMIFS(PEDIDO_ITEMS!$C$2:$C$501,PEDIDO_ITEMS!$A$2:$A$501,C11,PEDIDO_ITEMS!$B$2:$B$501,E11),"EXCEDE PEDIDO","OK"))))))</f>
        <v/>
      </c>
    </row>
    <row r="12">
      <c r="A12" s="9" t="n">
        <v>46126.50802697917</v>
      </c>
      <c r="B12" s="2" t="inlineStr">
        <is>
          <t>Tecnopolis</t>
        </is>
      </c>
      <c r="C12" s="2" t="inlineStr"/>
      <c r="D12" s="2" t="inlineStr">
        <is>
          <t>MNG53210-048</t>
        </is>
      </c>
      <c r="E12" s="2">
        <f>IF(D12="","",IFERROR(XLOOKUP(TRIM(D12),INVENTARIO!$A$2:$A$2000,INVENTARIO!$B$2:$B$2000),"NO ENCONTRADO"))</f>
        <v/>
      </c>
      <c r="F12" s="2">
        <f>IF(D12="","",IFERROR(XLOOKUP(TRIM(D12),INVENTARIO!$A$2:$A$2000,INVENTARIO!$C$2:$C$2000),""))</f>
        <v/>
      </c>
      <c r="G12" s="2">
        <f>IF(D12="","",IF(E12="NO ENCONTRADO","CODIGO NO EXISTE",IF(COUNTIF($D$2:D12,D12)&gt;1,"DUPLICADO",IF(C12="","OK SIN PEDIDO",IF(COUNTIFS(PEDIDO_ITEMS!$A$2:$A$501,C12,PEDIDO_ITEMS!$B$2:$B$501,E12)=0,"NO PEDIDO",IF(COUNTIFS($C$2:C12,C12,$E$2:E12,E12)&gt;SUMIFS(PEDIDO_ITEMS!$C$2:$C$501,PEDIDO_ITEMS!$A$2:$A$501,C12,PEDIDO_ITEMS!$B$2:$B$501,E12),"EXCEDE PEDIDO","OK"))))))</f>
        <v/>
      </c>
    </row>
    <row r="13">
      <c r="A13" s="9" t="n">
        <v>46126.50848836805</v>
      </c>
      <c r="B13" s="2" t="inlineStr">
        <is>
          <t>Tecnopolis</t>
        </is>
      </c>
      <c r="C13" s="2" t="inlineStr"/>
      <c r="D13" s="2" t="inlineStr">
        <is>
          <t>MNG53210-048</t>
        </is>
      </c>
      <c r="E13" s="2">
        <f>IF(D13="","",IFERROR(XLOOKUP(TRIM(D13),INVENTARIO!$A$2:$A$2000,INVENTARIO!$B$2:$B$2000),"NO ENCONTRADO"))</f>
        <v/>
      </c>
      <c r="F13" s="2">
        <f>IF(D13="","",IFERROR(XLOOKUP(TRIM(D13),INVENTARIO!$A$2:$A$2000,INVENTARIO!$C$2:$C$2000),""))</f>
        <v/>
      </c>
      <c r="G13" s="2">
        <f>IF(D13="","",IF(E13="NO ENCONTRADO","CODIGO NO EXISTE",IF(COUNTIF($D$2:D13,D13)&gt;1,"DUPLICADO",IF(C13="","OK SIN PEDIDO",IF(COUNTIFS(PEDIDO_ITEMS!$A$2:$A$501,C13,PEDIDO_ITEMS!$B$2:$B$501,E13)=0,"NO PEDIDO",IF(COUNTIFS($C$2:C13,C13,$E$2:E13,E13)&gt;SUMIFS(PEDIDO_ITEMS!$C$2:$C$501,PEDIDO_ITEMS!$A$2:$A$501,C13,PEDIDO_ITEMS!$B$2:$B$501,E13),"EXCEDE PEDIDO","OK"))))))</f>
        <v/>
      </c>
    </row>
    <row r="14">
      <c r="A14" s="9" t="n">
        <v>46126.50857165509</v>
      </c>
      <c r="B14" s="2" t="inlineStr">
        <is>
          <t>Tecnopolis</t>
        </is>
      </c>
      <c r="C14" s="2" t="inlineStr"/>
      <c r="D14" s="2" t="inlineStr">
        <is>
          <t>MNG53210-048</t>
        </is>
      </c>
      <c r="E14" s="2">
        <f>IF(D14="","",IFERROR(XLOOKUP(TRIM(D14),INVENTARIO!$A$2:$A$2000,INVENTARIO!$B$2:$B$2000),"NO ENCONTRADO"))</f>
        <v/>
      </c>
      <c r="F14" s="2">
        <f>IF(D14="","",IFERROR(XLOOKUP(TRIM(D14),INVENTARIO!$A$2:$A$2000,INVENTARIO!$C$2:$C$2000),""))</f>
        <v/>
      </c>
      <c r="G14" s="2">
        <f>IF(D14="","",IF(E14="NO ENCONTRADO","CODIGO NO EXISTE",IF(COUNTIF($D$2:D14,D14)&gt;1,"DUPLICADO",IF(C14="","OK SIN PEDIDO",IF(COUNTIFS(PEDIDO_ITEMS!$A$2:$A$501,C14,PEDIDO_ITEMS!$B$2:$B$501,E14)=0,"NO PEDIDO",IF(COUNTIFS($C$2:C14,C14,$E$2:E14,E14)&gt;SUMIFS(PEDIDO_ITEMS!$C$2:$C$501,PEDIDO_ITEMS!$A$2:$A$501,C14,PEDIDO_ITEMS!$B$2:$B$501,E14),"EXCEDE PEDIDO","OK"))))))</f>
        <v/>
      </c>
    </row>
    <row r="15">
      <c r="A15" s="9" t="n">
        <v>46126.50882083333</v>
      </c>
      <c r="B15" s="2" t="inlineStr">
        <is>
          <t>Tecnopolis</t>
        </is>
      </c>
      <c r="C15" s="2" t="inlineStr"/>
      <c r="D15" s="2" t="inlineStr">
        <is>
          <t>MNG53210-048</t>
        </is>
      </c>
      <c r="E15" s="2">
        <f>IF(D15="","",IFERROR(XLOOKUP(TRIM(D15),INVENTARIO!$A$2:$A$2000,INVENTARIO!$B$2:$B$2000),"NO ENCONTRADO"))</f>
        <v/>
      </c>
      <c r="F15" s="2">
        <f>IF(D15="","",IFERROR(XLOOKUP(TRIM(D15),INVENTARIO!$A$2:$A$2000,INVENTARIO!$C$2:$C$2000),""))</f>
        <v/>
      </c>
      <c r="G15" s="2">
        <f>IF(D15="","",IF(E15="NO ENCONTRADO","CODIGO NO EXISTE",IF(COUNTIF($D$2:D15,D15)&gt;1,"DUPLICADO",IF(C15="","OK SIN PEDIDO",IF(COUNTIFS(PEDIDO_ITEMS!$A$2:$A$501,C15,PEDIDO_ITEMS!$B$2:$B$501,E15)=0,"NO PEDIDO",IF(COUNTIFS($C$2:C15,C15,$E$2:E15,E15)&gt;SUMIFS(PEDIDO_ITEMS!$C$2:$C$501,PEDIDO_ITEMS!$A$2:$A$501,C15,PEDIDO_ITEMS!$B$2:$B$501,E15),"EXCEDE PEDIDO","OK"))))))</f>
        <v/>
      </c>
    </row>
    <row r="16">
      <c r="A16" s="9" t="n">
        <v>46126.50947291667</v>
      </c>
      <c r="B16" s="2" t="inlineStr">
        <is>
          <t>Tecnopolis</t>
        </is>
      </c>
      <c r="C16" s="2" t="inlineStr"/>
      <c r="D16" s="2" t="inlineStr">
        <is>
          <t>MNG53210-010</t>
        </is>
      </c>
      <c r="E16" s="2">
        <f>IF(D16="","",IFERROR(XLOOKUP(TRIM(D16),INVENTARIO!$A$2:$A$2000,INVENTARIO!$B$2:$B$2000),"NO ENCONTRADO"))</f>
        <v/>
      </c>
      <c r="F16" s="2">
        <f>IF(D16="","",IFERROR(XLOOKUP(TRIM(D16),INVENTARIO!$A$2:$A$2000,INVENTARIO!$C$2:$C$2000),""))</f>
        <v/>
      </c>
      <c r="G16" s="2">
        <f>IF(D16="","",IF(E16="NO ENCONTRADO","CODIGO NO EXISTE",IF(COUNTIF($D$2:D16,D16)&gt;1,"DUPLICADO",IF(C16="","OK SIN PEDIDO",IF(COUNTIFS(PEDIDO_ITEMS!$A$2:$A$501,C16,PEDIDO_ITEMS!$B$2:$B$501,E16)=0,"NO PEDIDO",IF(COUNTIFS($C$2:C16,C16,$E$2:E16,E16)&gt;SUMIFS(PEDIDO_ITEMS!$C$2:$C$501,PEDIDO_ITEMS!$A$2:$A$501,C16,PEDIDO_ITEMS!$B$2:$B$501,E16),"EXCEDE PEDIDO","OK"))))))</f>
        <v/>
      </c>
    </row>
    <row r="17">
      <c r="A17" s="9" t="n">
        <v>46126.50957012732</v>
      </c>
      <c r="B17" s="2" t="inlineStr">
        <is>
          <t>Tecnopolis</t>
        </is>
      </c>
      <c r="C17" s="2" t="inlineStr"/>
      <c r="D17" s="2" t="inlineStr">
        <is>
          <t>MNG53210-010</t>
        </is>
      </c>
      <c r="E17" s="2">
        <f>IF(D17="","",IFERROR(XLOOKUP(TRIM(D17),INVENTARIO!$A$2:$A$2000,INVENTARIO!$B$2:$B$2000),"NO ENCONTRADO"))</f>
        <v/>
      </c>
      <c r="F17" s="2">
        <f>IF(D17="","",IFERROR(XLOOKUP(TRIM(D17),INVENTARIO!$A$2:$A$2000,INVENTARIO!$C$2:$C$2000),""))</f>
        <v/>
      </c>
      <c r="G17" s="2">
        <f>IF(D17="","",IF(E17="NO ENCONTRADO","CODIGO NO EXISTE",IF(COUNTIF($D$2:D17,D17)&gt;1,"DUPLICADO",IF(C17="","OK SIN PEDIDO",IF(COUNTIFS(PEDIDO_ITEMS!$A$2:$A$501,C17,PEDIDO_ITEMS!$B$2:$B$501,E17)=0,"NO PEDIDO",IF(COUNTIFS($C$2:C17,C17,$E$2:E17,E17)&gt;SUMIFS(PEDIDO_ITEMS!$C$2:$C$501,PEDIDO_ITEMS!$A$2:$A$501,C17,PEDIDO_ITEMS!$B$2:$B$501,E17),"EXCEDE PEDIDO","OK"))))))</f>
        <v/>
      </c>
    </row>
    <row r="18">
      <c r="A18" s="9" t="n">
        <v>46126.50984501158</v>
      </c>
      <c r="B18" s="2" t="inlineStr">
        <is>
          <t>Tecnopolis</t>
        </is>
      </c>
      <c r="C18" s="2" t="inlineStr"/>
      <c r="D18" s="2" t="inlineStr">
        <is>
          <t>MNG53210-015</t>
        </is>
      </c>
      <c r="E18" s="2">
        <f>IF(D18="","",IFERROR(XLOOKUP(TRIM(D18),INVENTARIO!$A$2:$A$2000,INVENTARIO!$B$2:$B$2000),"NO ENCONTRADO"))</f>
        <v/>
      </c>
      <c r="F18" s="2">
        <f>IF(D18="","",IFERROR(XLOOKUP(TRIM(D18),INVENTARIO!$A$2:$A$2000,INVENTARIO!$C$2:$C$2000),""))</f>
        <v/>
      </c>
      <c r="G18" s="2">
        <f>IF(D18="","",IF(E18="NO ENCONTRADO","CODIGO NO EXISTE",IF(COUNTIF($D$2:D18,D18)&gt;1,"DUPLICADO",IF(C18="","OK SIN PEDIDO",IF(COUNTIFS(PEDIDO_ITEMS!$A$2:$A$501,C18,PEDIDO_ITEMS!$B$2:$B$501,E18)=0,"NO PEDIDO",IF(COUNTIFS($C$2:C18,C18,$E$2:E18,E18)&gt;SUMIFS(PEDIDO_ITEMS!$C$2:$C$501,PEDIDO_ITEMS!$A$2:$A$501,C18,PEDIDO_ITEMS!$B$2:$B$501,E18),"EXCEDE PEDIDO","OK"))))))</f>
        <v/>
      </c>
    </row>
    <row r="19">
      <c r="A19" s="9" t="n">
        <v>46127.51684037037</v>
      </c>
      <c r="B19" s="2" t="inlineStr">
        <is>
          <t>Tecnopolis</t>
        </is>
      </c>
      <c r="C19" s="2" t="inlineStr"/>
      <c r="D19" s="2" t="inlineStr">
        <is>
          <t>TABS-004</t>
        </is>
      </c>
      <c r="E19" s="2">
        <f>IF(D19="","",IFERROR(XLOOKUP(TRIM(D19),INVENTARIO!$A$2:$A$2000,INVENTARIO!$B$2:$B$2000),"NO ENCONTRADO"))</f>
        <v/>
      </c>
      <c r="F19" s="2">
        <f>IF(D19="","",IFERROR(XLOOKUP(TRIM(D19),INVENTARIO!$A$2:$A$2000,INVENTARIO!$C$2:$C$2000),""))</f>
        <v/>
      </c>
      <c r="G19" s="2">
        <f>IF(D19="","",IF(E19="NO ENCONTRADO","CODIGO NO EXISTE",IF(COUNTIF($D$2:D19,D19)&gt;1,"DUPLICADO",IF(C19="","OK SIN PEDIDO",IF(COUNTIFS(PEDIDO_ITEMS!$A$2:$A$501,C19,PEDIDO_ITEMS!$B$2:$B$501,E19)=0,"NO PEDIDO",IF(COUNTIFS($C$2:C19,C19,$E$2:E19,E19)&gt;SUMIFS(PEDIDO_ITEMS!$C$2:$C$501,PEDIDO_ITEMS!$A$2:$A$501,C19,PEDIDO_ITEMS!$B$2:$B$501,E19),"EXCEDE PEDIDO","OK"))))))</f>
        <v/>
      </c>
    </row>
    <row r="20">
      <c r="A20" s="9" t="n">
        <v>46127.51763090278</v>
      </c>
      <c r="B20" s="2" t="inlineStr">
        <is>
          <t>Tecnopolis</t>
        </is>
      </c>
      <c r="C20" s="2" t="inlineStr"/>
      <c r="D20" s="2" t="inlineStr">
        <is>
          <t>TABPK-005</t>
        </is>
      </c>
      <c r="E20" s="2">
        <f>IF(D20="","",IFERROR(XLOOKUP(TRIM(D20),INVENTARIO!$A$2:$A$2000,INVENTARIO!$B$2:$B$2000),"NO ENCONTRADO"))</f>
        <v/>
      </c>
      <c r="F20" s="2">
        <f>IF(D20="","",IFERROR(XLOOKUP(TRIM(D20),INVENTARIO!$A$2:$A$2000,INVENTARIO!$C$2:$C$2000),""))</f>
        <v/>
      </c>
      <c r="G20" s="2">
        <f>IF(D20="","",IF(E20="NO ENCONTRADO","CODIGO NO EXISTE",IF(COUNTIF($D$2:D20,D20)&gt;1,"DUPLICADO",IF(C20="","OK SIN PEDIDO",IF(COUNTIFS(PEDIDO_ITEMS!$A$2:$A$501,C20,PEDIDO_ITEMS!$B$2:$B$501,E20)=0,"NO PEDIDO",IF(COUNTIFS($C$2:C20,C20,$E$2:E20,E20)&gt;SUMIFS(PEDIDO_ITEMS!$C$2:$C$501,PEDIDO_ITEMS!$A$2:$A$501,C20,PEDIDO_ITEMS!$B$2:$B$501,E20),"EXCEDE PEDIDO","OK"))))))</f>
        <v/>
      </c>
    </row>
    <row r="21">
      <c r="A21" s="9" t="n">
        <v>46127.52495378472</v>
      </c>
      <c r="B21" s="2" t="inlineStr">
        <is>
          <t>Tecnopolis</t>
        </is>
      </c>
      <c r="C21" s="2" t="inlineStr"/>
      <c r="D21" s="2" t="inlineStr">
        <is>
          <t>GEN-002</t>
        </is>
      </c>
      <c r="E21" s="2">
        <f>IF(D21="","",IFERROR(XLOOKUP(TRIM(D21),INVENTARIO!$A$2:$A$2000,INVENTARIO!$B$2:$B$2000),"NO ENCONTRADO"))</f>
        <v/>
      </c>
      <c r="F21" s="2">
        <f>IF(D21="","",IFERROR(XLOOKUP(TRIM(D21),INVENTARIO!$A$2:$A$2000,INVENTARIO!$C$2:$C$2000),""))</f>
        <v/>
      </c>
      <c r="G21" s="2">
        <f>IF(D21="","",IF(E21="NO ENCONTRADO","CODIGO NO EXISTE",IF(COUNTIF($D$2:D21,D21)&gt;1,"DUPLICADO",IF(C21="","OK SIN PEDIDO",IF(COUNTIFS(PEDIDO_ITEMS!$A$2:$A$501,C21,PEDIDO_ITEMS!$B$2:$B$501,E21)=0,"NO PEDIDO",IF(COUNTIFS($C$2:C21,C21,$E$2:E21,E21)&gt;SUMIFS(PEDIDO_ITEMS!$C$2:$C$501,PEDIDO_ITEMS!$A$2:$A$501,C21,PEDIDO_ITEMS!$B$2:$B$501,E21),"EXCEDE PEDIDO","OK"))))))</f>
        <v/>
      </c>
    </row>
    <row r="22">
      <c r="A22" s="9" t="n">
        <v>46127.52507050926</v>
      </c>
      <c r="B22" s="2" t="inlineStr">
        <is>
          <t>Tecnopolis</t>
        </is>
      </c>
      <c r="C22" s="2" t="inlineStr"/>
      <c r="D22" s="2" t="inlineStr">
        <is>
          <t>GEN-003</t>
        </is>
      </c>
      <c r="E22" s="2">
        <f>IF(D22="","",IFERROR(XLOOKUP(TRIM(D22),INVENTARIO!$A$2:$A$2000,INVENTARIO!$B$2:$B$2000),"NO ENCONTRADO"))</f>
        <v/>
      </c>
      <c r="F22" s="2">
        <f>IF(D22="","",IFERROR(XLOOKUP(TRIM(D22),INVENTARIO!$A$2:$A$2000,INVENTARIO!$C$2:$C$2000),""))</f>
        <v/>
      </c>
      <c r="G22" s="2">
        <f>IF(D22="","",IF(E22="NO ENCONTRADO","CODIGO NO EXISTE",IF(COUNTIF($D$2:D22,D22)&gt;1,"DUPLICADO",IF(C22="","OK SIN PEDIDO",IF(COUNTIFS(PEDIDO_ITEMS!$A$2:$A$501,C22,PEDIDO_ITEMS!$B$2:$B$501,E22)=0,"NO PEDIDO",IF(COUNTIFS($C$2:C22,C22,$E$2:E22,E22)&gt;SUMIFS(PEDIDO_ITEMS!$C$2:$C$501,PEDIDO_ITEMS!$A$2:$A$501,C22,PEDIDO_ITEMS!$B$2:$B$501,E22),"EXCEDE PEDIDO","OK"))))))</f>
        <v/>
      </c>
    </row>
    <row r="23">
      <c r="A23" s="9" t="n">
        <v>46127.52523736111</v>
      </c>
      <c r="B23" s="2" t="inlineStr">
        <is>
          <t>Tecnopolis</t>
        </is>
      </c>
      <c r="C23" s="2" t="inlineStr"/>
      <c r="D23" s="2" t="inlineStr">
        <is>
          <t>GEN-003</t>
        </is>
      </c>
      <c r="E23" s="2">
        <f>IF(D23="","",IFERROR(XLOOKUP(TRIM(D23),INVENTARIO!$A$2:$A$2000,INVENTARIO!$B$2:$B$2000),"NO ENCONTRADO"))</f>
        <v/>
      </c>
      <c r="F23" s="2">
        <f>IF(D23="","",IFERROR(XLOOKUP(TRIM(D23),INVENTARIO!$A$2:$A$2000,INVENTARIO!$C$2:$C$2000),""))</f>
        <v/>
      </c>
      <c r="G23" s="2">
        <f>IF(D23="","",IF(E23="NO ENCONTRADO","CODIGO NO EXISTE",IF(COUNTIF($D$2:D23,D23)&gt;1,"DUPLICADO",IF(C23="","OK SIN PEDIDO",IF(COUNTIFS(PEDIDO_ITEMS!$A$2:$A$501,C23,PEDIDO_ITEMS!$B$2:$B$501,E23)=0,"NO PEDIDO",IF(COUNTIFS($C$2:C23,C23,$E$2:E23,E23)&gt;SUMIFS(PEDIDO_ITEMS!$C$2:$C$501,PEDIDO_ITEMS!$A$2:$A$501,C23,PEDIDO_ITEMS!$B$2:$B$501,E23),"EXCEDE PEDIDO","OK"))))))</f>
        <v/>
      </c>
    </row>
    <row r="24">
      <c r="A24" s="9" t="n">
        <v>46127.52592690972</v>
      </c>
      <c r="B24" s="2" t="inlineStr">
        <is>
          <t>Tecnopolis</t>
        </is>
      </c>
      <c r="C24" s="2" t="inlineStr"/>
      <c r="D24" s="2" t="inlineStr">
        <is>
          <t>GEN-003</t>
        </is>
      </c>
      <c r="E24" s="2">
        <f>IF(D24="","",IFERROR(XLOOKUP(TRIM(D24),INVENTARIO!$A$2:$A$2000,INVENTARIO!$B$2:$B$2000),"NO ENCONTRADO"))</f>
        <v/>
      </c>
      <c r="F24" s="2">
        <f>IF(D24="","",IFERROR(XLOOKUP(TRIM(D24),INVENTARIO!$A$2:$A$2000,INVENTARIO!$C$2:$C$2000),""))</f>
        <v/>
      </c>
      <c r="G24" s="2">
        <f>IF(D24="","",IF(E24="NO ENCONTRADO","CODIGO NO EXISTE",IF(COUNTIF($D$2:D24,D24)&gt;1,"DUPLICADO",IF(C24="","OK SIN PEDIDO",IF(COUNTIFS(PEDIDO_ITEMS!$A$2:$A$501,C24,PEDIDO_ITEMS!$B$2:$B$501,E24)=0,"NO PEDIDO",IF(COUNTIFS($C$2:C24,C24,$E$2:E24,E24)&gt;SUMIFS(PEDIDO_ITEMS!$C$2:$C$501,PEDIDO_ITEMS!$A$2:$A$501,C24,PEDIDO_ITEMS!$B$2:$B$501,E24),"EXCEDE PEDIDO","OK"))))))</f>
        <v/>
      </c>
    </row>
    <row r="25">
      <c r="A25" s="9" t="n">
        <v>46127.52605909722</v>
      </c>
      <c r="B25" s="2" t="inlineStr">
        <is>
          <t>Tecnopolis</t>
        </is>
      </c>
      <c r="C25" s="2" t="inlineStr"/>
      <c r="D25" s="2" t="inlineStr">
        <is>
          <t>GEN-002</t>
        </is>
      </c>
      <c r="E25" s="2">
        <f>IF(D25="","",IFERROR(XLOOKUP(TRIM(D25),INVENTARIO!$A$2:$A$2000,INVENTARIO!$B$2:$B$2000),"NO ENCONTRADO"))</f>
        <v/>
      </c>
      <c r="F25" s="2">
        <f>IF(D25="","",IFERROR(XLOOKUP(TRIM(D25),INVENTARIO!$A$2:$A$2000,INVENTARIO!$C$2:$C$2000),""))</f>
        <v/>
      </c>
      <c r="G25" s="2">
        <f>IF(D25="","",IF(E25="NO ENCONTRADO","CODIGO NO EXISTE",IF(COUNTIF($D$2:D25,D25)&gt;1,"DUPLICADO",IF(C25="","OK SIN PEDIDO",IF(COUNTIFS(PEDIDO_ITEMS!$A$2:$A$501,C25,PEDIDO_ITEMS!$B$2:$B$501,E25)=0,"NO PEDIDO",IF(COUNTIFS($C$2:C25,C25,$E$2:E25,E25)&gt;SUMIFS(PEDIDO_ITEMS!$C$2:$C$501,PEDIDO_ITEMS!$A$2:$A$501,C25,PEDIDO_ITEMS!$B$2:$B$501,E25),"EXCEDE PEDIDO","OK"))))))</f>
        <v/>
      </c>
    </row>
    <row r="26">
      <c r="A26" s="9" t="n">
        <v>46145.57786430555</v>
      </c>
      <c r="B26" s="2" t="inlineStr">
        <is>
          <t>Tecnopolis</t>
        </is>
      </c>
      <c r="C26" s="2" t="inlineStr"/>
      <c r="D26" s="2" t="inlineStr">
        <is>
          <t>GEN9KVA-008</t>
        </is>
      </c>
      <c r="E26" s="2">
        <f>IF(D26="","",IFERROR(XLOOKUP(TRIM(D26),INVENTARIO!$A$2:$A$2000,INVENTARIO!$B$2:$B$2000),"NO ENCONTRADO"))</f>
        <v/>
      </c>
      <c r="F26" s="2">
        <f>IF(D26="","",IFERROR(XLOOKUP(TRIM(D26),INVENTARIO!$A$2:$A$2000,INVENTARIO!$C$2:$C$2000),""))</f>
        <v/>
      </c>
      <c r="G26" s="2">
        <f>IF(D26="","",IF(E26="NO ENCONTRADO","CODIGO NO EXISTE",IF(COUNTIF($D$2:D26,D26)&gt;1,"DUPLICADO",IF(C26="","OK SIN PEDIDO",IF(COUNTIFS(PEDIDO_ITEMS!$A$2:$A$501,C26,PEDIDO_ITEMS!$B$2:$B$501,E26)=0,"NO PEDIDO",IF(COUNTIFS($C$2:C26,C26,$E$2:E26,E26)&gt;SUMIFS(PEDIDO_ITEMS!$C$2:$C$501,PEDIDO_ITEMS!$A$2:$A$501,C26,PEDIDO_ITEMS!$B$2:$B$501,E26),"EXCEDE PEDIDO","OK"))))))</f>
        <v/>
      </c>
    </row>
    <row r="27">
      <c r="A27" s="9" t="n">
        <v>46152.63042964121</v>
      </c>
      <c r="B27" s="2" t="inlineStr">
        <is>
          <t>Tecnopolis</t>
        </is>
      </c>
      <c r="C27" s="2" t="inlineStr"/>
      <c r="D27" s="2" t="inlineStr">
        <is>
          <t>GEN9KVA-009</t>
        </is>
      </c>
      <c r="E27" s="2">
        <f>IF(D27="","",IFERROR(XLOOKUP(TRIM(D27),INVENTARIO!$A$2:$A$2000,INVENTARIO!$B$2:$B$2000),"NO ENCONTRADO"))</f>
        <v/>
      </c>
      <c r="F27" s="2">
        <f>IF(D27="","",IFERROR(XLOOKUP(TRIM(D27),INVENTARIO!$A$2:$A$2000,INVENTARIO!$C$2:$C$2000),""))</f>
        <v/>
      </c>
      <c r="G27" s="2">
        <f>IF(D27="","",IF(E27="NO ENCONTRADO","CODIGO NO EXISTE",IF(COUNTIF($D$2:D27,D27)&gt;1,"DUPLICADO",IF(C27="","OK SIN PEDIDO",IF(COUNTIFS(PEDIDO_ITEMS!$A$2:$A$501,C27,PEDIDO_ITEMS!$B$2:$B$501,E27)=0,"NO PEDIDO",IF(COUNTIFS($C$2:C27,C27,$E$2:E27,E27)&gt;SUMIFS(PEDIDO_ITEMS!$C$2:$C$501,PEDIDO_ITEMS!$A$2:$A$501,C27,PEDIDO_ITEMS!$B$2:$B$501,E27),"EXCEDE PEDIDO","OK"))))))</f>
        <v/>
      </c>
    </row>
    <row r="28">
      <c r="A28" s="9" t="inlineStr"/>
      <c r="B28" s="2" t="inlineStr"/>
      <c r="C28" s="2" t="inlineStr"/>
      <c r="D28" s="2" t="inlineStr"/>
      <c r="E28" s="2">
        <f>IF(D28="","",IFERROR(XLOOKUP(TRIM(D28),INVENTARIO!$A$2:$A$2000,INVENTARIO!$B$2:$B$2000),"NO ENCONTRADO"))</f>
        <v/>
      </c>
      <c r="F28" s="2">
        <f>IF(D28="","",IFERROR(XLOOKUP(TRIM(D28),INVENTARIO!$A$2:$A$2000,INVENTARIO!$C$2:$C$2000),""))</f>
        <v/>
      </c>
      <c r="G28" s="2">
        <f>IF(D28="","",IF(E28="NO ENCONTRADO","CODIGO NO EXISTE",IF(COUNTIF($D$2:D28,D28)&gt;1,"DUPLICADO",IF(C28="","OK SIN PEDIDO",IF(COUNTIFS(PEDIDO_ITEMS!$A$2:$A$501,C28,PEDIDO_ITEMS!$B$2:$B$501,E28)=0,"NO PEDIDO",IF(COUNTIFS($C$2:C28,C28,$E$2:E28,E28)&gt;SUMIFS(PEDIDO_ITEMS!$C$2:$C$501,PEDIDO_ITEMS!$A$2:$A$501,C28,PEDIDO_ITEMS!$B$2:$B$501,E28),"EXCEDE PEDIDO","OK"))))))</f>
        <v/>
      </c>
    </row>
    <row r="29">
      <c r="A29" s="9" t="inlineStr"/>
      <c r="B29" s="2" t="inlineStr"/>
      <c r="C29" s="2" t="inlineStr"/>
      <c r="D29" s="2" t="inlineStr"/>
      <c r="E29" s="2">
        <f>IF(D29="","",IFERROR(XLOOKUP(TRIM(D29),INVENTARIO!$A$2:$A$2000,INVENTARIO!$B$2:$B$2000),"NO ENCONTRADO"))</f>
        <v/>
      </c>
      <c r="F29" s="2">
        <f>IF(D29="","",IFERROR(XLOOKUP(TRIM(D29),INVENTARIO!$A$2:$A$2000,INVENTARIO!$C$2:$C$2000),""))</f>
        <v/>
      </c>
      <c r="G29" s="2">
        <f>IF(D29="","",IF(E29="NO ENCONTRADO","CODIGO NO EXISTE",IF(COUNTIF($D$2:D29,D29)&gt;1,"DUPLICADO",IF(C29="","OK SIN PEDIDO",IF(COUNTIFS(PEDIDO_ITEMS!$A$2:$A$501,C29,PEDIDO_ITEMS!$B$2:$B$501,E29)=0,"NO PEDIDO",IF(COUNTIFS($C$2:C29,C29,$E$2:E29,E29)&gt;SUMIFS(PEDIDO_ITEMS!$C$2:$C$501,PEDIDO_ITEMS!$A$2:$A$501,C29,PEDIDO_ITEMS!$B$2:$B$501,E29),"EXCEDE PEDIDO","OK"))))))</f>
        <v/>
      </c>
    </row>
    <row r="30">
      <c r="A30" s="9" t="inlineStr"/>
      <c r="B30" s="2" t="inlineStr"/>
      <c r="C30" s="2" t="inlineStr"/>
      <c r="D30" s="2" t="inlineStr"/>
      <c r="E30" s="2">
        <f>IF(D30="","",IFERROR(XLOOKUP(TRIM(D30),INVENTARIO!$A$2:$A$2000,INVENTARIO!$B$2:$B$2000),"NO ENCONTRADO"))</f>
        <v/>
      </c>
      <c r="F30" s="2">
        <f>IF(D30="","",IFERROR(XLOOKUP(TRIM(D30),INVENTARIO!$A$2:$A$2000,INVENTARIO!$C$2:$C$2000),""))</f>
        <v/>
      </c>
      <c r="G30" s="2">
        <f>IF(D30="","",IF(E30="NO ENCONTRADO","CODIGO NO EXISTE",IF(COUNTIF($D$2:D30,D30)&gt;1,"DUPLICADO",IF(C30="","OK SIN PEDIDO",IF(COUNTIFS(PEDIDO_ITEMS!$A$2:$A$501,C30,PEDIDO_ITEMS!$B$2:$B$501,E30)=0,"NO PEDIDO",IF(COUNTIFS($C$2:C30,C30,$E$2:E30,E30)&gt;SUMIFS(PEDIDO_ITEMS!$C$2:$C$501,PEDIDO_ITEMS!$A$2:$A$501,C30,PEDIDO_ITEMS!$B$2:$B$501,E30),"EXCEDE PEDIDO","OK"))))))</f>
        <v/>
      </c>
    </row>
    <row r="31">
      <c r="A31" s="9" t="inlineStr"/>
      <c r="B31" s="2" t="inlineStr"/>
      <c r="C31" s="2" t="inlineStr"/>
      <c r="D31" s="2" t="inlineStr"/>
      <c r="E31" s="2">
        <f>IF(D31="","",IFERROR(XLOOKUP(TRIM(D31),INVENTARIO!$A$2:$A$2000,INVENTARIO!$B$2:$B$2000),"NO ENCONTRADO"))</f>
        <v/>
      </c>
      <c r="F31" s="2">
        <f>IF(D31="","",IFERROR(XLOOKUP(TRIM(D31),INVENTARIO!$A$2:$A$2000,INVENTARIO!$C$2:$C$2000),""))</f>
        <v/>
      </c>
      <c r="G31" s="2">
        <f>IF(D31="","",IF(E31="NO ENCONTRADO","CODIGO NO EXISTE",IF(COUNTIF($D$2:D31,D31)&gt;1,"DUPLICADO",IF(C31="","OK SIN PEDIDO",IF(COUNTIFS(PEDIDO_ITEMS!$A$2:$A$501,C31,PEDIDO_ITEMS!$B$2:$B$501,E31)=0,"NO PEDIDO",IF(COUNTIFS($C$2:C31,C31,$E$2:E31,E31)&gt;SUMIFS(PEDIDO_ITEMS!$C$2:$C$501,PEDIDO_ITEMS!$A$2:$A$501,C31,PEDIDO_ITEMS!$B$2:$B$501,E31),"EXCEDE PEDIDO","OK"))))))</f>
        <v/>
      </c>
    </row>
    <row r="32">
      <c r="A32" s="9" t="inlineStr"/>
      <c r="B32" s="2" t="inlineStr"/>
      <c r="C32" s="2" t="inlineStr"/>
      <c r="D32" s="2" t="inlineStr"/>
      <c r="E32" s="2">
        <f>IF(D32="","",IFERROR(XLOOKUP(TRIM(D32),INVENTARIO!$A$2:$A$2000,INVENTARIO!$B$2:$B$2000),"NO ENCONTRADO"))</f>
        <v/>
      </c>
      <c r="F32" s="2">
        <f>IF(D32="","",IFERROR(XLOOKUP(TRIM(D32),INVENTARIO!$A$2:$A$2000,INVENTARIO!$C$2:$C$2000),""))</f>
        <v/>
      </c>
      <c r="G32" s="2">
        <f>IF(D32="","",IF(E32="NO ENCONTRADO","CODIGO NO EXISTE",IF(COUNTIF($D$2:D32,D32)&gt;1,"DUPLICADO",IF(C32="","OK SIN PEDIDO",IF(COUNTIFS(PEDIDO_ITEMS!$A$2:$A$501,C32,PEDIDO_ITEMS!$B$2:$B$501,E32)=0,"NO PEDIDO",IF(COUNTIFS($C$2:C32,C32,$E$2:E32,E32)&gt;SUMIFS(PEDIDO_ITEMS!$C$2:$C$501,PEDIDO_ITEMS!$A$2:$A$501,C32,PEDIDO_ITEMS!$B$2:$B$501,E32),"EXCEDE PEDIDO","OK"))))))</f>
        <v/>
      </c>
    </row>
    <row r="33">
      <c r="A33" s="9" t="inlineStr"/>
      <c r="B33" s="2" t="inlineStr"/>
      <c r="C33" s="2" t="inlineStr"/>
      <c r="D33" s="2" t="inlineStr"/>
      <c r="E33" s="2">
        <f>IF(D33="","",IFERROR(XLOOKUP(TRIM(D33),INVENTARIO!$A$2:$A$2000,INVENTARIO!$B$2:$B$2000),"NO ENCONTRADO"))</f>
        <v/>
      </c>
      <c r="F33" s="2">
        <f>IF(D33="","",IFERROR(XLOOKUP(TRIM(D33),INVENTARIO!$A$2:$A$2000,INVENTARIO!$C$2:$C$2000),""))</f>
        <v/>
      </c>
      <c r="G33" s="2">
        <f>IF(D33="","",IF(E33="NO ENCONTRADO","CODIGO NO EXISTE",IF(COUNTIF($D$2:D33,D33)&gt;1,"DUPLICADO",IF(C33="","OK SIN PEDIDO",IF(COUNTIFS(PEDIDO_ITEMS!$A$2:$A$501,C33,PEDIDO_ITEMS!$B$2:$B$501,E33)=0,"NO PEDIDO",IF(COUNTIFS($C$2:C33,C33,$E$2:E33,E33)&gt;SUMIFS(PEDIDO_ITEMS!$C$2:$C$501,PEDIDO_ITEMS!$A$2:$A$501,C33,PEDIDO_ITEMS!$B$2:$B$501,E33),"EXCEDE PEDIDO","OK"))))))</f>
        <v/>
      </c>
    </row>
    <row r="34">
      <c r="A34" s="9" t="inlineStr"/>
      <c r="B34" s="2" t="inlineStr"/>
      <c r="C34" s="2" t="inlineStr"/>
      <c r="D34" s="2" t="inlineStr"/>
      <c r="E34" s="2">
        <f>IF(D34="","",IFERROR(XLOOKUP(TRIM(D34),INVENTARIO!$A$2:$A$2000,INVENTARIO!$B$2:$B$2000),"NO ENCONTRADO"))</f>
        <v/>
      </c>
      <c r="F34" s="2">
        <f>IF(D34="","",IFERROR(XLOOKUP(TRIM(D34),INVENTARIO!$A$2:$A$2000,INVENTARIO!$C$2:$C$2000),""))</f>
        <v/>
      </c>
      <c r="G34" s="2">
        <f>IF(D34="","",IF(E34="NO ENCONTRADO","CODIGO NO EXISTE",IF(COUNTIF($D$2:D34,D34)&gt;1,"DUPLICADO",IF(C34="","OK SIN PEDIDO",IF(COUNTIFS(PEDIDO_ITEMS!$A$2:$A$501,C34,PEDIDO_ITEMS!$B$2:$B$501,E34)=0,"NO PEDIDO",IF(COUNTIFS($C$2:C34,C34,$E$2:E34,E34)&gt;SUMIFS(PEDIDO_ITEMS!$C$2:$C$501,PEDIDO_ITEMS!$A$2:$A$501,C34,PEDIDO_ITEMS!$B$2:$B$501,E34),"EXCEDE PEDIDO","OK"))))))</f>
        <v/>
      </c>
    </row>
    <row r="35">
      <c r="A35" s="9" t="inlineStr"/>
      <c r="B35" s="2" t="inlineStr"/>
      <c r="C35" s="2" t="inlineStr"/>
      <c r="D35" s="2" t="inlineStr"/>
      <c r="E35" s="2">
        <f>IF(D35="","",IFERROR(XLOOKUP(TRIM(D35),INVENTARIO!$A$2:$A$2000,INVENTARIO!$B$2:$B$2000),"NO ENCONTRADO"))</f>
        <v/>
      </c>
      <c r="F35" s="2">
        <f>IF(D35="","",IFERROR(XLOOKUP(TRIM(D35),INVENTARIO!$A$2:$A$2000,INVENTARIO!$C$2:$C$2000),""))</f>
        <v/>
      </c>
      <c r="G35" s="2">
        <f>IF(D35="","",IF(E35="NO ENCONTRADO","CODIGO NO EXISTE",IF(COUNTIF($D$2:D35,D35)&gt;1,"DUPLICADO",IF(C35="","OK SIN PEDIDO",IF(COUNTIFS(PEDIDO_ITEMS!$A$2:$A$501,C35,PEDIDO_ITEMS!$B$2:$B$501,E35)=0,"NO PEDIDO",IF(COUNTIFS($C$2:C35,C35,$E$2:E35,E35)&gt;SUMIFS(PEDIDO_ITEMS!$C$2:$C$501,PEDIDO_ITEMS!$A$2:$A$501,C35,PEDIDO_ITEMS!$B$2:$B$501,E35),"EXCEDE PEDIDO","OK"))))))</f>
        <v/>
      </c>
    </row>
    <row r="36">
      <c r="A36" s="9" t="inlineStr"/>
      <c r="B36" s="2" t="inlineStr"/>
      <c r="C36" s="2" t="inlineStr"/>
      <c r="D36" s="2" t="inlineStr"/>
      <c r="E36" s="2">
        <f>IF(D36="","",IFERROR(XLOOKUP(TRIM(D36),INVENTARIO!$A$2:$A$2000,INVENTARIO!$B$2:$B$2000),"NO ENCONTRADO"))</f>
        <v/>
      </c>
      <c r="F36" s="2">
        <f>IF(D36="","",IFERROR(XLOOKUP(TRIM(D36),INVENTARIO!$A$2:$A$2000,INVENTARIO!$C$2:$C$2000),""))</f>
        <v/>
      </c>
      <c r="G36" s="2">
        <f>IF(D36="","",IF(E36="NO ENCONTRADO","CODIGO NO EXISTE",IF(COUNTIF($D$2:D36,D36)&gt;1,"DUPLICADO",IF(C36="","OK SIN PEDIDO",IF(COUNTIFS(PEDIDO_ITEMS!$A$2:$A$501,C36,PEDIDO_ITEMS!$B$2:$B$501,E36)=0,"NO PEDIDO",IF(COUNTIFS($C$2:C36,C36,$E$2:E36,E36)&gt;SUMIFS(PEDIDO_ITEMS!$C$2:$C$501,PEDIDO_ITEMS!$A$2:$A$501,C36,PEDIDO_ITEMS!$B$2:$B$501,E36),"EXCEDE PEDIDO","OK"))))))</f>
        <v/>
      </c>
    </row>
    <row r="37">
      <c r="A37" s="9" t="inlineStr"/>
      <c r="B37" s="2" t="inlineStr"/>
      <c r="C37" s="2" t="inlineStr"/>
      <c r="D37" s="2" t="inlineStr"/>
      <c r="E37" s="2">
        <f>IF(D37="","",IFERROR(XLOOKUP(TRIM(D37),INVENTARIO!$A$2:$A$2000,INVENTARIO!$B$2:$B$2000),"NO ENCONTRADO"))</f>
        <v/>
      </c>
      <c r="F37" s="2">
        <f>IF(D37="","",IFERROR(XLOOKUP(TRIM(D37),INVENTARIO!$A$2:$A$2000,INVENTARIO!$C$2:$C$2000),""))</f>
        <v/>
      </c>
      <c r="G37" s="2">
        <f>IF(D37="","",IF(E37="NO ENCONTRADO","CODIGO NO EXISTE",IF(COUNTIF($D$2:D37,D37)&gt;1,"DUPLICADO",IF(C37="","OK SIN PEDIDO",IF(COUNTIFS(PEDIDO_ITEMS!$A$2:$A$501,C37,PEDIDO_ITEMS!$B$2:$B$501,E37)=0,"NO PEDIDO",IF(COUNTIFS($C$2:C37,C37,$E$2:E37,E37)&gt;SUMIFS(PEDIDO_ITEMS!$C$2:$C$501,PEDIDO_ITEMS!$A$2:$A$501,C37,PEDIDO_ITEMS!$B$2:$B$501,E37),"EXCEDE PEDIDO","OK"))))))</f>
        <v/>
      </c>
    </row>
    <row r="38">
      <c r="A38" s="9" t="inlineStr"/>
      <c r="B38" s="2" t="inlineStr"/>
      <c r="C38" s="2" t="inlineStr"/>
      <c r="D38" s="2" t="inlineStr"/>
      <c r="E38" s="2">
        <f>IF(D38="","",IFERROR(XLOOKUP(TRIM(D38),INVENTARIO!$A$2:$A$2000,INVENTARIO!$B$2:$B$2000),"NO ENCONTRADO"))</f>
        <v/>
      </c>
      <c r="F38" s="2">
        <f>IF(D38="","",IFERROR(XLOOKUP(TRIM(D38),INVENTARIO!$A$2:$A$2000,INVENTARIO!$C$2:$C$2000),""))</f>
        <v/>
      </c>
      <c r="G38" s="2">
        <f>IF(D38="","",IF(E38="NO ENCONTRADO","CODIGO NO EXISTE",IF(COUNTIF($D$2:D38,D38)&gt;1,"DUPLICADO",IF(C38="","OK SIN PEDIDO",IF(COUNTIFS(PEDIDO_ITEMS!$A$2:$A$501,C38,PEDIDO_ITEMS!$B$2:$B$501,E38)=0,"NO PEDIDO",IF(COUNTIFS($C$2:C38,C38,$E$2:E38,E38)&gt;SUMIFS(PEDIDO_ITEMS!$C$2:$C$501,PEDIDO_ITEMS!$A$2:$A$501,C38,PEDIDO_ITEMS!$B$2:$B$501,E38),"EXCEDE PEDIDO","OK"))))))</f>
        <v/>
      </c>
    </row>
    <row r="39">
      <c r="A39" s="9" t="inlineStr"/>
      <c r="B39" s="2" t="inlineStr"/>
      <c r="C39" s="2" t="inlineStr"/>
      <c r="D39" s="2" t="inlineStr"/>
      <c r="E39" s="2">
        <f>IF(D39="","",IFERROR(XLOOKUP(TRIM(D39),INVENTARIO!$A$2:$A$2000,INVENTARIO!$B$2:$B$2000),"NO ENCONTRADO"))</f>
        <v/>
      </c>
      <c r="F39" s="2">
        <f>IF(D39="","",IFERROR(XLOOKUP(TRIM(D39),INVENTARIO!$A$2:$A$2000,INVENTARIO!$C$2:$C$2000),""))</f>
        <v/>
      </c>
      <c r="G39" s="2">
        <f>IF(D39="","",IF(E39="NO ENCONTRADO","CODIGO NO EXISTE",IF(COUNTIF($D$2:D39,D39)&gt;1,"DUPLICADO",IF(C39="","OK SIN PEDIDO",IF(COUNTIFS(PEDIDO_ITEMS!$A$2:$A$501,C39,PEDIDO_ITEMS!$B$2:$B$501,E39)=0,"NO PEDIDO",IF(COUNTIFS($C$2:C39,C39,$E$2:E39,E39)&gt;SUMIFS(PEDIDO_ITEMS!$C$2:$C$501,PEDIDO_ITEMS!$A$2:$A$501,C39,PEDIDO_ITEMS!$B$2:$B$501,E39),"EXCEDE PEDIDO","OK"))))))</f>
        <v/>
      </c>
    </row>
    <row r="40">
      <c r="A40" s="9" t="inlineStr"/>
      <c r="B40" s="2" t="inlineStr"/>
      <c r="C40" s="2" t="inlineStr"/>
      <c r="D40" s="2" t="inlineStr"/>
      <c r="E40" s="2">
        <f>IF(D40="","",IFERROR(XLOOKUP(TRIM(D40),INVENTARIO!$A$2:$A$2000,INVENTARIO!$B$2:$B$2000),"NO ENCONTRADO"))</f>
        <v/>
      </c>
      <c r="F40" s="2">
        <f>IF(D40="","",IFERROR(XLOOKUP(TRIM(D40),INVENTARIO!$A$2:$A$2000,INVENTARIO!$C$2:$C$2000),""))</f>
        <v/>
      </c>
      <c r="G40" s="2">
        <f>IF(D40="","",IF(E40="NO ENCONTRADO","CODIGO NO EXISTE",IF(COUNTIF($D$2:D40,D40)&gt;1,"DUPLICADO",IF(C40="","OK SIN PEDIDO",IF(COUNTIFS(PEDIDO_ITEMS!$A$2:$A$501,C40,PEDIDO_ITEMS!$B$2:$B$501,E40)=0,"NO PEDIDO",IF(COUNTIFS($C$2:C40,C40,$E$2:E40,E40)&gt;SUMIFS(PEDIDO_ITEMS!$C$2:$C$501,PEDIDO_ITEMS!$A$2:$A$501,C40,PEDIDO_ITEMS!$B$2:$B$501,E40),"EXCEDE PEDIDO","OK"))))))</f>
        <v/>
      </c>
    </row>
    <row r="41">
      <c r="A41" s="9" t="inlineStr"/>
      <c r="B41" s="2" t="inlineStr"/>
      <c r="C41" s="2" t="inlineStr"/>
      <c r="D41" s="2" t="inlineStr"/>
      <c r="E41" s="2">
        <f>IF(D41="","",IFERROR(XLOOKUP(TRIM(D41),INVENTARIO!$A$2:$A$2000,INVENTARIO!$B$2:$B$2000),"NO ENCONTRADO"))</f>
        <v/>
      </c>
      <c r="F41" s="2">
        <f>IF(D41="","",IFERROR(XLOOKUP(TRIM(D41),INVENTARIO!$A$2:$A$2000,INVENTARIO!$C$2:$C$2000),""))</f>
        <v/>
      </c>
      <c r="G41" s="2">
        <f>IF(D41="","",IF(E41="NO ENCONTRADO","CODIGO NO EXISTE",IF(COUNTIF($D$2:D41,D41)&gt;1,"DUPLICADO",IF(C41="","OK SIN PEDIDO",IF(COUNTIFS(PEDIDO_ITEMS!$A$2:$A$501,C41,PEDIDO_ITEMS!$B$2:$B$501,E41)=0,"NO PEDIDO",IF(COUNTIFS($C$2:C41,C41,$E$2:E41,E41)&gt;SUMIFS(PEDIDO_ITEMS!$C$2:$C$501,PEDIDO_ITEMS!$A$2:$A$501,C41,PEDIDO_ITEMS!$B$2:$B$501,E41),"EXCEDE PEDIDO","OK"))))))</f>
        <v/>
      </c>
    </row>
    <row r="42">
      <c r="A42" s="9" t="inlineStr"/>
      <c r="B42" s="2" t="inlineStr"/>
      <c r="C42" s="2" t="inlineStr"/>
      <c r="D42" s="2" t="inlineStr"/>
      <c r="E42" s="2">
        <f>IF(D42="","",IFERROR(XLOOKUP(TRIM(D42),INVENTARIO!$A$2:$A$2000,INVENTARIO!$B$2:$B$2000),"NO ENCONTRADO"))</f>
        <v/>
      </c>
      <c r="F42" s="2">
        <f>IF(D42="","",IFERROR(XLOOKUP(TRIM(D42),INVENTARIO!$A$2:$A$2000,INVENTARIO!$C$2:$C$2000),""))</f>
        <v/>
      </c>
      <c r="G42" s="2">
        <f>IF(D42="","",IF(E42="NO ENCONTRADO","CODIGO NO EXISTE",IF(COUNTIF($D$2:D42,D42)&gt;1,"DUPLICADO",IF(C42="","OK SIN PEDIDO",IF(COUNTIFS(PEDIDO_ITEMS!$A$2:$A$501,C42,PEDIDO_ITEMS!$B$2:$B$501,E42)=0,"NO PEDIDO",IF(COUNTIFS($C$2:C42,C42,$E$2:E42,E42)&gt;SUMIFS(PEDIDO_ITEMS!$C$2:$C$501,PEDIDO_ITEMS!$A$2:$A$501,C42,PEDIDO_ITEMS!$B$2:$B$501,E42),"EXCEDE PEDIDO","OK"))))))</f>
        <v/>
      </c>
    </row>
    <row r="43">
      <c r="A43" s="9" t="inlineStr"/>
      <c r="B43" s="2" t="inlineStr"/>
      <c r="C43" s="2" t="inlineStr"/>
      <c r="D43" s="2" t="inlineStr"/>
      <c r="E43" s="2">
        <f>IF(D43="","",IFERROR(XLOOKUP(TRIM(D43),INVENTARIO!$A$2:$A$2000,INVENTARIO!$B$2:$B$2000),"NO ENCONTRADO"))</f>
        <v/>
      </c>
      <c r="F43" s="2">
        <f>IF(D43="","",IFERROR(XLOOKUP(TRIM(D43),INVENTARIO!$A$2:$A$2000,INVENTARIO!$C$2:$C$2000),""))</f>
        <v/>
      </c>
      <c r="G43" s="2">
        <f>IF(D43="","",IF(E43="NO ENCONTRADO","CODIGO NO EXISTE",IF(COUNTIF($D$2:D43,D43)&gt;1,"DUPLICADO",IF(C43="","OK SIN PEDIDO",IF(COUNTIFS(PEDIDO_ITEMS!$A$2:$A$501,C43,PEDIDO_ITEMS!$B$2:$B$501,E43)=0,"NO PEDIDO",IF(COUNTIFS($C$2:C43,C43,$E$2:E43,E43)&gt;SUMIFS(PEDIDO_ITEMS!$C$2:$C$501,PEDIDO_ITEMS!$A$2:$A$501,C43,PEDIDO_ITEMS!$B$2:$B$501,E43),"EXCEDE PEDIDO","OK"))))))</f>
        <v/>
      </c>
    </row>
    <row r="44">
      <c r="A44" s="9" t="inlineStr"/>
      <c r="B44" s="2" t="inlineStr"/>
      <c r="C44" s="2" t="inlineStr"/>
      <c r="D44" s="2" t="inlineStr"/>
      <c r="E44" s="2">
        <f>IF(D44="","",IFERROR(XLOOKUP(TRIM(D44),INVENTARIO!$A$2:$A$2000,INVENTARIO!$B$2:$B$2000),"NO ENCONTRADO"))</f>
        <v/>
      </c>
      <c r="F44" s="2">
        <f>IF(D44="","",IFERROR(XLOOKUP(TRIM(D44),INVENTARIO!$A$2:$A$2000,INVENTARIO!$C$2:$C$2000),""))</f>
        <v/>
      </c>
      <c r="G44" s="2">
        <f>IF(D44="","",IF(E44="NO ENCONTRADO","CODIGO NO EXISTE",IF(COUNTIF($D$2:D44,D44)&gt;1,"DUPLICADO",IF(C44="","OK SIN PEDIDO",IF(COUNTIFS(PEDIDO_ITEMS!$A$2:$A$501,C44,PEDIDO_ITEMS!$B$2:$B$501,E44)=0,"NO PEDIDO",IF(COUNTIFS($C$2:C44,C44,$E$2:E44,E44)&gt;SUMIFS(PEDIDO_ITEMS!$C$2:$C$501,PEDIDO_ITEMS!$A$2:$A$501,C44,PEDIDO_ITEMS!$B$2:$B$501,E44),"EXCEDE PEDIDO","OK"))))))</f>
        <v/>
      </c>
    </row>
    <row r="45">
      <c r="A45" s="9" t="inlineStr"/>
      <c r="B45" s="2" t="inlineStr"/>
      <c r="C45" s="2" t="inlineStr"/>
      <c r="D45" s="2" t="inlineStr"/>
      <c r="E45" s="2">
        <f>IF(D45="","",IFERROR(XLOOKUP(TRIM(D45),INVENTARIO!$A$2:$A$2000,INVENTARIO!$B$2:$B$2000),"NO ENCONTRADO"))</f>
        <v/>
      </c>
      <c r="F45" s="2">
        <f>IF(D45="","",IFERROR(XLOOKUP(TRIM(D45),INVENTARIO!$A$2:$A$2000,INVENTARIO!$C$2:$C$2000),""))</f>
        <v/>
      </c>
      <c r="G45" s="2">
        <f>IF(D45="","",IF(E45="NO ENCONTRADO","CODIGO NO EXISTE",IF(COUNTIF($D$2:D45,D45)&gt;1,"DUPLICADO",IF(C45="","OK SIN PEDIDO",IF(COUNTIFS(PEDIDO_ITEMS!$A$2:$A$501,C45,PEDIDO_ITEMS!$B$2:$B$501,E45)=0,"NO PEDIDO",IF(COUNTIFS($C$2:C45,C45,$E$2:E45,E45)&gt;SUMIFS(PEDIDO_ITEMS!$C$2:$C$501,PEDIDO_ITEMS!$A$2:$A$501,C45,PEDIDO_ITEMS!$B$2:$B$501,E45),"EXCEDE PEDIDO","OK"))))))</f>
        <v/>
      </c>
    </row>
    <row r="46">
      <c r="A46" s="9" t="inlineStr"/>
      <c r="B46" s="2" t="inlineStr"/>
      <c r="C46" s="2" t="inlineStr"/>
      <c r="D46" s="2" t="inlineStr"/>
      <c r="E46" s="2">
        <f>IF(D46="","",IFERROR(XLOOKUP(TRIM(D46),INVENTARIO!$A$2:$A$2000,INVENTARIO!$B$2:$B$2000),"NO ENCONTRADO"))</f>
        <v/>
      </c>
      <c r="F46" s="2">
        <f>IF(D46="","",IFERROR(XLOOKUP(TRIM(D46),INVENTARIO!$A$2:$A$2000,INVENTARIO!$C$2:$C$2000),""))</f>
        <v/>
      </c>
      <c r="G46" s="2">
        <f>IF(D46="","",IF(E46="NO ENCONTRADO","CODIGO NO EXISTE",IF(COUNTIF($D$2:D46,D46)&gt;1,"DUPLICADO",IF(C46="","OK SIN PEDIDO",IF(COUNTIFS(PEDIDO_ITEMS!$A$2:$A$501,C46,PEDIDO_ITEMS!$B$2:$B$501,E46)=0,"NO PEDIDO",IF(COUNTIFS($C$2:C46,C46,$E$2:E46,E46)&gt;SUMIFS(PEDIDO_ITEMS!$C$2:$C$501,PEDIDO_ITEMS!$A$2:$A$501,C46,PEDIDO_ITEMS!$B$2:$B$501,E46),"EXCEDE PEDIDO","OK"))))))</f>
        <v/>
      </c>
    </row>
    <row r="47">
      <c r="A47" s="9" t="inlineStr"/>
      <c r="B47" s="2" t="inlineStr"/>
      <c r="C47" s="2" t="inlineStr"/>
      <c r="D47" s="2" t="inlineStr"/>
      <c r="E47" s="2">
        <f>IF(D47="","",IFERROR(XLOOKUP(TRIM(D47),INVENTARIO!$A$2:$A$2000,INVENTARIO!$B$2:$B$2000),"NO ENCONTRADO"))</f>
        <v/>
      </c>
      <c r="F47" s="2">
        <f>IF(D47="","",IFERROR(XLOOKUP(TRIM(D47),INVENTARIO!$A$2:$A$2000,INVENTARIO!$C$2:$C$2000),""))</f>
        <v/>
      </c>
      <c r="G47" s="2">
        <f>IF(D47="","",IF(E47="NO ENCONTRADO","CODIGO NO EXISTE",IF(COUNTIF($D$2:D47,D47)&gt;1,"DUPLICADO",IF(C47="","OK SIN PEDIDO",IF(COUNTIFS(PEDIDO_ITEMS!$A$2:$A$501,C47,PEDIDO_ITEMS!$B$2:$B$501,E47)=0,"NO PEDIDO",IF(COUNTIFS($C$2:C47,C47,$E$2:E47,E47)&gt;SUMIFS(PEDIDO_ITEMS!$C$2:$C$501,PEDIDO_ITEMS!$A$2:$A$501,C47,PEDIDO_ITEMS!$B$2:$B$501,E47),"EXCEDE PEDIDO","OK"))))))</f>
        <v/>
      </c>
    </row>
    <row r="48">
      <c r="A48" s="9" t="inlineStr"/>
      <c r="B48" s="2" t="inlineStr"/>
      <c r="C48" s="2" t="inlineStr"/>
      <c r="D48" s="2" t="inlineStr"/>
      <c r="E48" s="2">
        <f>IF(D48="","",IFERROR(XLOOKUP(TRIM(D48),INVENTARIO!$A$2:$A$2000,INVENTARIO!$B$2:$B$2000),"NO ENCONTRADO"))</f>
        <v/>
      </c>
      <c r="F48" s="2">
        <f>IF(D48="","",IFERROR(XLOOKUP(TRIM(D48),INVENTARIO!$A$2:$A$2000,INVENTARIO!$C$2:$C$2000),""))</f>
        <v/>
      </c>
      <c r="G48" s="2">
        <f>IF(D48="","",IF(E48="NO ENCONTRADO","CODIGO NO EXISTE",IF(COUNTIF($D$2:D48,D48)&gt;1,"DUPLICADO",IF(C48="","OK SIN PEDIDO",IF(COUNTIFS(PEDIDO_ITEMS!$A$2:$A$501,C48,PEDIDO_ITEMS!$B$2:$B$501,E48)=0,"NO PEDIDO",IF(COUNTIFS($C$2:C48,C48,$E$2:E48,E48)&gt;SUMIFS(PEDIDO_ITEMS!$C$2:$C$501,PEDIDO_ITEMS!$A$2:$A$501,C48,PEDIDO_ITEMS!$B$2:$B$501,E48),"EXCEDE PEDIDO","OK"))))))</f>
        <v/>
      </c>
    </row>
    <row r="49">
      <c r="A49" s="9" t="inlineStr"/>
      <c r="B49" s="2" t="inlineStr"/>
      <c r="C49" s="2" t="inlineStr"/>
      <c r="D49" s="2" t="inlineStr"/>
      <c r="E49" s="2">
        <f>IF(D49="","",IFERROR(XLOOKUP(TRIM(D49),INVENTARIO!$A$2:$A$2000,INVENTARIO!$B$2:$B$2000),"NO ENCONTRADO"))</f>
        <v/>
      </c>
      <c r="F49" s="2">
        <f>IF(D49="","",IFERROR(XLOOKUP(TRIM(D49),INVENTARIO!$A$2:$A$2000,INVENTARIO!$C$2:$C$2000),""))</f>
        <v/>
      </c>
      <c r="G49" s="2">
        <f>IF(D49="","",IF(E49="NO ENCONTRADO","CODIGO NO EXISTE",IF(COUNTIF($D$2:D49,D49)&gt;1,"DUPLICADO",IF(C49="","OK SIN PEDIDO",IF(COUNTIFS(PEDIDO_ITEMS!$A$2:$A$501,C49,PEDIDO_ITEMS!$B$2:$B$501,E49)=0,"NO PEDIDO",IF(COUNTIFS($C$2:C49,C49,$E$2:E49,E49)&gt;SUMIFS(PEDIDO_ITEMS!$C$2:$C$501,PEDIDO_ITEMS!$A$2:$A$501,C49,PEDIDO_ITEMS!$B$2:$B$501,E49),"EXCEDE PEDIDO","OK"))))))</f>
        <v/>
      </c>
    </row>
    <row r="50">
      <c r="A50" s="9" t="inlineStr"/>
      <c r="B50" s="2" t="inlineStr"/>
      <c r="C50" s="2" t="inlineStr"/>
      <c r="D50" s="2" t="inlineStr"/>
      <c r="E50" s="2">
        <f>IF(D50="","",IFERROR(XLOOKUP(TRIM(D50),INVENTARIO!$A$2:$A$2000,INVENTARIO!$B$2:$B$2000),"NO ENCONTRADO"))</f>
        <v/>
      </c>
      <c r="F50" s="2">
        <f>IF(D50="","",IFERROR(XLOOKUP(TRIM(D50),INVENTARIO!$A$2:$A$2000,INVENTARIO!$C$2:$C$2000),""))</f>
        <v/>
      </c>
      <c r="G50" s="2">
        <f>IF(D50="","",IF(E50="NO ENCONTRADO","CODIGO NO EXISTE",IF(COUNTIF($D$2:D50,D50)&gt;1,"DUPLICADO",IF(C50="","OK SIN PEDIDO",IF(COUNTIFS(PEDIDO_ITEMS!$A$2:$A$501,C50,PEDIDO_ITEMS!$B$2:$B$501,E50)=0,"NO PEDIDO",IF(COUNTIFS($C$2:C50,C50,$E$2:E50,E50)&gt;SUMIFS(PEDIDO_ITEMS!$C$2:$C$501,PEDIDO_ITEMS!$A$2:$A$501,C50,PEDIDO_ITEMS!$B$2:$B$501,E50),"EXCEDE PEDIDO","OK"))))))</f>
        <v/>
      </c>
    </row>
    <row r="51">
      <c r="A51" s="9" t="inlineStr"/>
      <c r="B51" s="2" t="inlineStr"/>
      <c r="C51" s="2" t="inlineStr"/>
      <c r="D51" s="2" t="inlineStr"/>
      <c r="E51" s="2">
        <f>IF(D51="","",IFERROR(XLOOKUP(TRIM(D51),INVENTARIO!$A$2:$A$2000,INVENTARIO!$B$2:$B$2000),"NO ENCONTRADO"))</f>
        <v/>
      </c>
      <c r="F51" s="2">
        <f>IF(D51="","",IFERROR(XLOOKUP(TRIM(D51),INVENTARIO!$A$2:$A$2000,INVENTARIO!$C$2:$C$2000),""))</f>
        <v/>
      </c>
      <c r="G51" s="2">
        <f>IF(D51="","",IF(E51="NO ENCONTRADO","CODIGO NO EXISTE",IF(COUNTIF($D$2:D51,D51)&gt;1,"DUPLICADO",IF(C51="","OK SIN PEDIDO",IF(COUNTIFS(PEDIDO_ITEMS!$A$2:$A$501,C51,PEDIDO_ITEMS!$B$2:$B$501,E51)=0,"NO PEDIDO",IF(COUNTIFS($C$2:C51,C51,$E$2:E51,E51)&gt;SUMIFS(PEDIDO_ITEMS!$C$2:$C$501,PEDIDO_ITEMS!$A$2:$A$501,C51,PEDIDO_ITEMS!$B$2:$B$501,E51),"EXCEDE PEDIDO","OK"))))))</f>
        <v/>
      </c>
    </row>
    <row r="52">
      <c r="A52" s="9" t="inlineStr"/>
      <c r="B52" s="2" t="inlineStr"/>
      <c r="C52" s="2" t="inlineStr"/>
      <c r="D52" s="2" t="inlineStr"/>
      <c r="E52" s="2">
        <f>IF(D52="","",IFERROR(XLOOKUP(TRIM(D52),INVENTARIO!$A$2:$A$2000,INVENTARIO!$B$2:$B$2000),"NO ENCONTRADO"))</f>
        <v/>
      </c>
      <c r="F52" s="2">
        <f>IF(D52="","",IFERROR(XLOOKUP(TRIM(D52),INVENTARIO!$A$2:$A$2000,INVENTARIO!$C$2:$C$2000),""))</f>
        <v/>
      </c>
      <c r="G52" s="2">
        <f>IF(D52="","",IF(E52="NO ENCONTRADO","CODIGO NO EXISTE",IF(COUNTIF($D$2:D52,D52)&gt;1,"DUPLICADO",IF(C52="","OK SIN PEDIDO",IF(COUNTIFS(PEDIDO_ITEMS!$A$2:$A$501,C52,PEDIDO_ITEMS!$B$2:$B$501,E52)=0,"NO PEDIDO",IF(COUNTIFS($C$2:C52,C52,$E$2:E52,E52)&gt;SUMIFS(PEDIDO_ITEMS!$C$2:$C$501,PEDIDO_ITEMS!$A$2:$A$501,C52,PEDIDO_ITEMS!$B$2:$B$501,E52),"EXCEDE PEDIDO","OK"))))))</f>
        <v/>
      </c>
    </row>
    <row r="53">
      <c r="A53" s="9" t="inlineStr"/>
      <c r="B53" s="2" t="inlineStr"/>
      <c r="C53" s="2" t="inlineStr"/>
      <c r="D53" s="2" t="inlineStr"/>
      <c r="E53" s="2">
        <f>IF(D53="","",IFERROR(XLOOKUP(TRIM(D53),INVENTARIO!$A$2:$A$2000,INVENTARIO!$B$2:$B$2000),"NO ENCONTRADO"))</f>
        <v/>
      </c>
      <c r="F53" s="2">
        <f>IF(D53="","",IFERROR(XLOOKUP(TRIM(D53),INVENTARIO!$A$2:$A$2000,INVENTARIO!$C$2:$C$2000),""))</f>
        <v/>
      </c>
      <c r="G53" s="2">
        <f>IF(D53="","",IF(E53="NO ENCONTRADO","CODIGO NO EXISTE",IF(COUNTIF($D$2:D53,D53)&gt;1,"DUPLICADO",IF(C53="","OK SIN PEDIDO",IF(COUNTIFS(PEDIDO_ITEMS!$A$2:$A$501,C53,PEDIDO_ITEMS!$B$2:$B$501,E53)=0,"NO PEDIDO",IF(COUNTIFS($C$2:C53,C53,$E$2:E53,E53)&gt;SUMIFS(PEDIDO_ITEMS!$C$2:$C$501,PEDIDO_ITEMS!$A$2:$A$501,C53,PEDIDO_ITEMS!$B$2:$B$501,E53),"EXCEDE PEDIDO","OK"))))))</f>
        <v/>
      </c>
    </row>
    <row r="54">
      <c r="A54" s="9" t="inlineStr"/>
      <c r="B54" s="2" t="inlineStr"/>
      <c r="C54" s="2" t="inlineStr"/>
      <c r="D54" s="2" t="inlineStr"/>
      <c r="E54" s="2">
        <f>IF(D54="","",IFERROR(XLOOKUP(TRIM(D54),INVENTARIO!$A$2:$A$2000,INVENTARIO!$B$2:$B$2000),"NO ENCONTRADO"))</f>
        <v/>
      </c>
      <c r="F54" s="2">
        <f>IF(D54="","",IFERROR(XLOOKUP(TRIM(D54),INVENTARIO!$A$2:$A$2000,INVENTARIO!$C$2:$C$2000),""))</f>
        <v/>
      </c>
      <c r="G54" s="2">
        <f>IF(D54="","",IF(E54="NO ENCONTRADO","CODIGO NO EXISTE",IF(COUNTIF($D$2:D54,D54)&gt;1,"DUPLICADO",IF(C54="","OK SIN PEDIDO",IF(COUNTIFS(PEDIDO_ITEMS!$A$2:$A$501,C54,PEDIDO_ITEMS!$B$2:$B$501,E54)=0,"NO PEDIDO",IF(COUNTIFS($C$2:C54,C54,$E$2:E54,E54)&gt;SUMIFS(PEDIDO_ITEMS!$C$2:$C$501,PEDIDO_ITEMS!$A$2:$A$501,C54,PEDIDO_ITEMS!$B$2:$B$501,E54),"EXCEDE PEDIDO","OK"))))))</f>
        <v/>
      </c>
    </row>
    <row r="55">
      <c r="A55" s="9" t="inlineStr"/>
      <c r="B55" s="2" t="inlineStr"/>
      <c r="C55" s="2" t="inlineStr"/>
      <c r="D55" s="2" t="inlineStr"/>
      <c r="E55" s="2">
        <f>IF(D55="","",IFERROR(XLOOKUP(TRIM(D55),INVENTARIO!$A$2:$A$2000,INVENTARIO!$B$2:$B$2000),"NO ENCONTRADO"))</f>
        <v/>
      </c>
      <c r="F55" s="2">
        <f>IF(D55="","",IFERROR(XLOOKUP(TRIM(D55),INVENTARIO!$A$2:$A$2000,INVENTARIO!$C$2:$C$2000),""))</f>
        <v/>
      </c>
      <c r="G55" s="2">
        <f>IF(D55="","",IF(E55="NO ENCONTRADO","CODIGO NO EXISTE",IF(COUNTIF($D$2:D55,D55)&gt;1,"DUPLICADO",IF(C55="","OK SIN PEDIDO",IF(COUNTIFS(PEDIDO_ITEMS!$A$2:$A$501,C55,PEDIDO_ITEMS!$B$2:$B$501,E55)=0,"NO PEDIDO",IF(COUNTIFS($C$2:C55,C55,$E$2:E55,E55)&gt;SUMIFS(PEDIDO_ITEMS!$C$2:$C$501,PEDIDO_ITEMS!$A$2:$A$501,C55,PEDIDO_ITEMS!$B$2:$B$501,E55),"EXCEDE PEDIDO","OK"))))))</f>
        <v/>
      </c>
    </row>
    <row r="56">
      <c r="A56" s="9" t="inlineStr"/>
      <c r="B56" s="2" t="inlineStr"/>
      <c r="C56" s="2" t="inlineStr"/>
      <c r="D56" s="2" t="inlineStr"/>
      <c r="E56" s="2">
        <f>IF(D56="","",IFERROR(XLOOKUP(TRIM(D56),INVENTARIO!$A$2:$A$2000,INVENTARIO!$B$2:$B$2000),"NO ENCONTRADO"))</f>
        <v/>
      </c>
      <c r="F56" s="2">
        <f>IF(D56="","",IFERROR(XLOOKUP(TRIM(D56),INVENTARIO!$A$2:$A$2000,INVENTARIO!$C$2:$C$2000),""))</f>
        <v/>
      </c>
      <c r="G56" s="2">
        <f>IF(D56="","",IF(E56="NO ENCONTRADO","CODIGO NO EXISTE",IF(COUNTIF($D$2:D56,D56)&gt;1,"DUPLICADO",IF(C56="","OK SIN PEDIDO",IF(COUNTIFS(PEDIDO_ITEMS!$A$2:$A$501,C56,PEDIDO_ITEMS!$B$2:$B$501,E56)=0,"NO PEDIDO",IF(COUNTIFS($C$2:C56,C56,$E$2:E56,E56)&gt;SUMIFS(PEDIDO_ITEMS!$C$2:$C$501,PEDIDO_ITEMS!$A$2:$A$501,C56,PEDIDO_ITEMS!$B$2:$B$501,E56),"EXCEDE PEDIDO","OK"))))))</f>
        <v/>
      </c>
    </row>
    <row r="57">
      <c r="A57" s="9" t="inlineStr"/>
      <c r="B57" s="2" t="inlineStr"/>
      <c r="C57" s="2" t="inlineStr"/>
      <c r="D57" s="2" t="inlineStr"/>
      <c r="E57" s="2">
        <f>IF(D57="","",IFERROR(XLOOKUP(TRIM(D57),INVENTARIO!$A$2:$A$2000,INVENTARIO!$B$2:$B$2000),"NO ENCONTRADO"))</f>
        <v/>
      </c>
      <c r="F57" s="2">
        <f>IF(D57="","",IFERROR(XLOOKUP(TRIM(D57),INVENTARIO!$A$2:$A$2000,INVENTARIO!$C$2:$C$2000),""))</f>
        <v/>
      </c>
      <c r="G57" s="2">
        <f>IF(D57="","",IF(E57="NO ENCONTRADO","CODIGO NO EXISTE",IF(COUNTIF($D$2:D57,D57)&gt;1,"DUPLICADO",IF(C57="","OK SIN PEDIDO",IF(COUNTIFS(PEDIDO_ITEMS!$A$2:$A$501,C57,PEDIDO_ITEMS!$B$2:$B$501,E57)=0,"NO PEDIDO",IF(COUNTIFS($C$2:C57,C57,$E$2:E57,E57)&gt;SUMIFS(PEDIDO_ITEMS!$C$2:$C$501,PEDIDO_ITEMS!$A$2:$A$501,C57,PEDIDO_ITEMS!$B$2:$B$501,E57),"EXCEDE PEDIDO","OK"))))))</f>
        <v/>
      </c>
    </row>
    <row r="58">
      <c r="A58" s="9" t="inlineStr"/>
      <c r="B58" s="2" t="inlineStr"/>
      <c r="C58" s="2" t="inlineStr"/>
      <c r="D58" s="2" t="inlineStr"/>
      <c r="E58" s="2">
        <f>IF(D58="","",IFERROR(XLOOKUP(TRIM(D58),INVENTARIO!$A$2:$A$2000,INVENTARIO!$B$2:$B$2000),"NO ENCONTRADO"))</f>
        <v/>
      </c>
      <c r="F58" s="2">
        <f>IF(D58="","",IFERROR(XLOOKUP(TRIM(D58),INVENTARIO!$A$2:$A$2000,INVENTARIO!$C$2:$C$2000),""))</f>
        <v/>
      </c>
      <c r="G58" s="2">
        <f>IF(D58="","",IF(E58="NO ENCONTRADO","CODIGO NO EXISTE",IF(COUNTIF($D$2:D58,D58)&gt;1,"DUPLICADO",IF(C58="","OK SIN PEDIDO",IF(COUNTIFS(PEDIDO_ITEMS!$A$2:$A$501,C58,PEDIDO_ITEMS!$B$2:$B$501,E58)=0,"NO PEDIDO",IF(COUNTIFS($C$2:C58,C58,$E$2:E58,E58)&gt;SUMIFS(PEDIDO_ITEMS!$C$2:$C$501,PEDIDO_ITEMS!$A$2:$A$501,C58,PEDIDO_ITEMS!$B$2:$B$501,E58),"EXCEDE PEDIDO","OK"))))))</f>
        <v/>
      </c>
    </row>
    <row r="59">
      <c r="A59" s="9" t="inlineStr"/>
      <c r="B59" s="2" t="inlineStr"/>
      <c r="C59" s="2" t="inlineStr"/>
      <c r="D59" s="2" t="inlineStr"/>
      <c r="E59" s="2">
        <f>IF(D59="","",IFERROR(XLOOKUP(TRIM(D59),INVENTARIO!$A$2:$A$2000,INVENTARIO!$B$2:$B$2000),"NO ENCONTRADO"))</f>
        <v/>
      </c>
      <c r="F59" s="2">
        <f>IF(D59="","",IFERROR(XLOOKUP(TRIM(D59),INVENTARIO!$A$2:$A$2000,INVENTARIO!$C$2:$C$2000),""))</f>
        <v/>
      </c>
      <c r="G59" s="2">
        <f>IF(D59="","",IF(E59="NO ENCONTRADO","CODIGO NO EXISTE",IF(COUNTIF($D$2:D59,D59)&gt;1,"DUPLICADO",IF(C59="","OK SIN PEDIDO",IF(COUNTIFS(PEDIDO_ITEMS!$A$2:$A$501,C59,PEDIDO_ITEMS!$B$2:$B$501,E59)=0,"NO PEDIDO",IF(COUNTIFS($C$2:C59,C59,$E$2:E59,E59)&gt;SUMIFS(PEDIDO_ITEMS!$C$2:$C$501,PEDIDO_ITEMS!$A$2:$A$501,C59,PEDIDO_ITEMS!$B$2:$B$501,E59),"EXCEDE PEDIDO","OK"))))))</f>
        <v/>
      </c>
    </row>
    <row r="60">
      <c r="A60" s="9" t="inlineStr"/>
      <c r="B60" s="2" t="inlineStr"/>
      <c r="C60" s="2" t="inlineStr"/>
      <c r="D60" s="2" t="inlineStr"/>
      <c r="E60" s="2">
        <f>IF(D60="","",IFERROR(XLOOKUP(TRIM(D60),INVENTARIO!$A$2:$A$2000,INVENTARIO!$B$2:$B$2000),"NO ENCONTRADO"))</f>
        <v/>
      </c>
      <c r="F60" s="2">
        <f>IF(D60="","",IFERROR(XLOOKUP(TRIM(D60),INVENTARIO!$A$2:$A$2000,INVENTARIO!$C$2:$C$2000),""))</f>
        <v/>
      </c>
      <c r="G60" s="2">
        <f>IF(D60="","",IF(E60="NO ENCONTRADO","CODIGO NO EXISTE",IF(COUNTIF($D$2:D60,D60)&gt;1,"DUPLICADO",IF(C60="","OK SIN PEDIDO",IF(COUNTIFS(PEDIDO_ITEMS!$A$2:$A$501,C60,PEDIDO_ITEMS!$B$2:$B$501,E60)=0,"NO PEDIDO",IF(COUNTIFS($C$2:C60,C60,$E$2:E60,E60)&gt;SUMIFS(PEDIDO_ITEMS!$C$2:$C$501,PEDIDO_ITEMS!$A$2:$A$501,C60,PEDIDO_ITEMS!$B$2:$B$501,E60),"EXCEDE PEDIDO","OK"))))))</f>
        <v/>
      </c>
    </row>
    <row r="61">
      <c r="A61" s="9" t="inlineStr"/>
      <c r="B61" s="2" t="inlineStr"/>
      <c r="C61" s="2" t="inlineStr"/>
      <c r="D61" s="2" t="inlineStr"/>
      <c r="E61" s="2">
        <f>IF(D61="","",IFERROR(XLOOKUP(TRIM(D61),INVENTARIO!$A$2:$A$2000,INVENTARIO!$B$2:$B$2000),"NO ENCONTRADO"))</f>
        <v/>
      </c>
      <c r="F61" s="2">
        <f>IF(D61="","",IFERROR(XLOOKUP(TRIM(D61),INVENTARIO!$A$2:$A$2000,INVENTARIO!$C$2:$C$2000),""))</f>
        <v/>
      </c>
      <c r="G61" s="2">
        <f>IF(D61="","",IF(E61="NO ENCONTRADO","CODIGO NO EXISTE",IF(COUNTIF($D$2:D61,D61)&gt;1,"DUPLICADO",IF(C61="","OK SIN PEDIDO",IF(COUNTIFS(PEDIDO_ITEMS!$A$2:$A$501,C61,PEDIDO_ITEMS!$B$2:$B$501,E61)=0,"NO PEDIDO",IF(COUNTIFS($C$2:C61,C61,$E$2:E61,E61)&gt;SUMIFS(PEDIDO_ITEMS!$C$2:$C$501,PEDIDO_ITEMS!$A$2:$A$501,C61,PEDIDO_ITEMS!$B$2:$B$501,E61),"EXCEDE PEDIDO","OK"))))))</f>
        <v/>
      </c>
    </row>
    <row r="62">
      <c r="A62" s="9" t="inlineStr"/>
      <c r="B62" s="2" t="inlineStr"/>
      <c r="C62" s="2" t="inlineStr"/>
      <c r="D62" s="2" t="inlineStr"/>
      <c r="E62" s="2">
        <f>IF(D62="","",IFERROR(XLOOKUP(TRIM(D62),INVENTARIO!$A$2:$A$2000,INVENTARIO!$B$2:$B$2000),"NO ENCONTRADO"))</f>
        <v/>
      </c>
      <c r="F62" s="2">
        <f>IF(D62="","",IFERROR(XLOOKUP(TRIM(D62),INVENTARIO!$A$2:$A$2000,INVENTARIO!$C$2:$C$2000),""))</f>
        <v/>
      </c>
      <c r="G62" s="2">
        <f>IF(D62="","",IF(E62="NO ENCONTRADO","CODIGO NO EXISTE",IF(COUNTIF($D$2:D62,D62)&gt;1,"DUPLICADO",IF(C62="","OK SIN PEDIDO",IF(COUNTIFS(PEDIDO_ITEMS!$A$2:$A$501,C62,PEDIDO_ITEMS!$B$2:$B$501,E62)=0,"NO PEDIDO",IF(COUNTIFS($C$2:C62,C62,$E$2:E62,E62)&gt;SUMIFS(PEDIDO_ITEMS!$C$2:$C$501,PEDIDO_ITEMS!$A$2:$A$501,C62,PEDIDO_ITEMS!$B$2:$B$501,E62),"EXCEDE PEDIDO","OK"))))))</f>
        <v/>
      </c>
    </row>
    <row r="63">
      <c r="A63" s="9" t="inlineStr"/>
      <c r="B63" s="2" t="inlineStr"/>
      <c r="C63" s="2" t="inlineStr"/>
      <c r="D63" s="2" t="inlineStr"/>
      <c r="E63" s="2">
        <f>IF(D63="","",IFERROR(XLOOKUP(TRIM(D63),INVENTARIO!$A$2:$A$2000,INVENTARIO!$B$2:$B$2000),"NO ENCONTRADO"))</f>
        <v/>
      </c>
      <c r="F63" s="2">
        <f>IF(D63="","",IFERROR(XLOOKUP(TRIM(D63),INVENTARIO!$A$2:$A$2000,INVENTARIO!$C$2:$C$2000),""))</f>
        <v/>
      </c>
      <c r="G63" s="2">
        <f>IF(D63="","",IF(E63="NO ENCONTRADO","CODIGO NO EXISTE",IF(COUNTIF($D$2:D63,D63)&gt;1,"DUPLICADO",IF(C63="","OK SIN PEDIDO",IF(COUNTIFS(PEDIDO_ITEMS!$A$2:$A$501,C63,PEDIDO_ITEMS!$B$2:$B$501,E63)=0,"NO PEDIDO",IF(COUNTIFS($C$2:C63,C63,$E$2:E63,E63)&gt;SUMIFS(PEDIDO_ITEMS!$C$2:$C$501,PEDIDO_ITEMS!$A$2:$A$501,C63,PEDIDO_ITEMS!$B$2:$B$501,E63),"EXCEDE PEDIDO","OK"))))))</f>
        <v/>
      </c>
    </row>
    <row r="64">
      <c r="A64" s="9" t="inlineStr"/>
      <c r="B64" s="2" t="inlineStr"/>
      <c r="C64" s="2" t="inlineStr"/>
      <c r="D64" s="2" t="inlineStr"/>
      <c r="E64" s="2">
        <f>IF(D64="","",IFERROR(XLOOKUP(TRIM(D64),INVENTARIO!$A$2:$A$2000,INVENTARIO!$B$2:$B$2000),"NO ENCONTRADO"))</f>
        <v/>
      </c>
      <c r="F64" s="2">
        <f>IF(D64="","",IFERROR(XLOOKUP(TRIM(D64),INVENTARIO!$A$2:$A$2000,INVENTARIO!$C$2:$C$2000),""))</f>
        <v/>
      </c>
      <c r="G64" s="2">
        <f>IF(D64="","",IF(E64="NO ENCONTRADO","CODIGO NO EXISTE",IF(COUNTIF($D$2:D64,D64)&gt;1,"DUPLICADO",IF(C64="","OK SIN PEDIDO",IF(COUNTIFS(PEDIDO_ITEMS!$A$2:$A$501,C64,PEDIDO_ITEMS!$B$2:$B$501,E64)=0,"NO PEDIDO",IF(COUNTIFS($C$2:C64,C64,$E$2:E64,E64)&gt;SUMIFS(PEDIDO_ITEMS!$C$2:$C$501,PEDIDO_ITEMS!$A$2:$A$501,C64,PEDIDO_ITEMS!$B$2:$B$501,E64),"EXCEDE PEDIDO","OK"))))))</f>
        <v/>
      </c>
    </row>
    <row r="65">
      <c r="A65" s="9" t="inlineStr"/>
      <c r="B65" s="2" t="inlineStr"/>
      <c r="C65" s="2" t="inlineStr"/>
      <c r="D65" s="2" t="inlineStr"/>
      <c r="E65" s="2">
        <f>IF(D65="","",IFERROR(XLOOKUP(TRIM(D65),INVENTARIO!$A$2:$A$2000,INVENTARIO!$B$2:$B$2000),"NO ENCONTRADO"))</f>
        <v/>
      </c>
      <c r="F65" s="2">
        <f>IF(D65="","",IFERROR(XLOOKUP(TRIM(D65),INVENTARIO!$A$2:$A$2000,INVENTARIO!$C$2:$C$2000),""))</f>
        <v/>
      </c>
      <c r="G65" s="2">
        <f>IF(D65="","",IF(E65="NO ENCONTRADO","CODIGO NO EXISTE",IF(COUNTIF($D$2:D65,D65)&gt;1,"DUPLICADO",IF(C65="","OK SIN PEDIDO",IF(COUNTIFS(PEDIDO_ITEMS!$A$2:$A$501,C65,PEDIDO_ITEMS!$B$2:$B$501,E65)=0,"NO PEDIDO",IF(COUNTIFS($C$2:C65,C65,$E$2:E65,E65)&gt;SUMIFS(PEDIDO_ITEMS!$C$2:$C$501,PEDIDO_ITEMS!$A$2:$A$501,C65,PEDIDO_ITEMS!$B$2:$B$501,E65),"EXCEDE PEDIDO","OK"))))))</f>
        <v/>
      </c>
    </row>
    <row r="66">
      <c r="A66" s="9" t="inlineStr"/>
      <c r="B66" s="2" t="inlineStr"/>
      <c r="C66" s="2" t="inlineStr"/>
      <c r="D66" s="2" t="inlineStr"/>
      <c r="E66" s="2">
        <f>IF(D66="","",IFERROR(XLOOKUP(TRIM(D66),INVENTARIO!$A$2:$A$2000,INVENTARIO!$B$2:$B$2000),"NO ENCONTRADO"))</f>
        <v/>
      </c>
      <c r="F66" s="2">
        <f>IF(D66="","",IFERROR(XLOOKUP(TRIM(D66),INVENTARIO!$A$2:$A$2000,INVENTARIO!$C$2:$C$2000),""))</f>
        <v/>
      </c>
      <c r="G66" s="2">
        <f>IF(D66="","",IF(E66="NO ENCONTRADO","CODIGO NO EXISTE",IF(COUNTIF($D$2:D66,D66)&gt;1,"DUPLICADO",IF(C66="","OK SIN PEDIDO",IF(COUNTIFS(PEDIDO_ITEMS!$A$2:$A$501,C66,PEDIDO_ITEMS!$B$2:$B$501,E66)=0,"NO PEDIDO",IF(COUNTIFS($C$2:C66,C66,$E$2:E66,E66)&gt;SUMIFS(PEDIDO_ITEMS!$C$2:$C$501,PEDIDO_ITEMS!$A$2:$A$501,C66,PEDIDO_ITEMS!$B$2:$B$501,E66),"EXCEDE PEDIDO","OK"))))))</f>
        <v/>
      </c>
    </row>
    <row r="67">
      <c r="A67" s="9" t="inlineStr"/>
      <c r="B67" s="2" t="inlineStr"/>
      <c r="C67" s="2" t="inlineStr"/>
      <c r="D67" s="2" t="inlineStr"/>
      <c r="E67" s="2">
        <f>IF(D67="","",IFERROR(XLOOKUP(TRIM(D67),INVENTARIO!$A$2:$A$2000,INVENTARIO!$B$2:$B$2000),"NO ENCONTRADO"))</f>
        <v/>
      </c>
      <c r="F67" s="2">
        <f>IF(D67="","",IFERROR(XLOOKUP(TRIM(D67),INVENTARIO!$A$2:$A$2000,INVENTARIO!$C$2:$C$2000),""))</f>
        <v/>
      </c>
      <c r="G67" s="2">
        <f>IF(D67="","",IF(E67="NO ENCONTRADO","CODIGO NO EXISTE",IF(COUNTIF($D$2:D67,D67)&gt;1,"DUPLICADO",IF(C67="","OK SIN PEDIDO",IF(COUNTIFS(PEDIDO_ITEMS!$A$2:$A$501,C67,PEDIDO_ITEMS!$B$2:$B$501,E67)=0,"NO PEDIDO",IF(COUNTIFS($C$2:C67,C67,$E$2:E67,E67)&gt;SUMIFS(PEDIDO_ITEMS!$C$2:$C$501,PEDIDO_ITEMS!$A$2:$A$501,C67,PEDIDO_ITEMS!$B$2:$B$501,E67),"EXCEDE PEDIDO","OK"))))))</f>
        <v/>
      </c>
    </row>
    <row r="68">
      <c r="A68" s="9" t="inlineStr"/>
      <c r="B68" s="2" t="inlineStr"/>
      <c r="C68" s="2" t="inlineStr"/>
      <c r="D68" s="2" t="inlineStr"/>
      <c r="E68" s="2">
        <f>IF(D68="","",IFERROR(XLOOKUP(TRIM(D68),INVENTARIO!$A$2:$A$2000,INVENTARIO!$B$2:$B$2000),"NO ENCONTRADO"))</f>
        <v/>
      </c>
      <c r="F68" s="2">
        <f>IF(D68="","",IFERROR(XLOOKUP(TRIM(D68),INVENTARIO!$A$2:$A$2000,INVENTARIO!$C$2:$C$2000),""))</f>
        <v/>
      </c>
      <c r="G68" s="2">
        <f>IF(D68="","",IF(E68="NO ENCONTRADO","CODIGO NO EXISTE",IF(COUNTIF($D$2:D68,D68)&gt;1,"DUPLICADO",IF(C68="","OK SIN PEDIDO",IF(COUNTIFS(PEDIDO_ITEMS!$A$2:$A$501,C68,PEDIDO_ITEMS!$B$2:$B$501,E68)=0,"NO PEDIDO",IF(COUNTIFS($C$2:C68,C68,$E$2:E68,E68)&gt;SUMIFS(PEDIDO_ITEMS!$C$2:$C$501,PEDIDO_ITEMS!$A$2:$A$501,C68,PEDIDO_ITEMS!$B$2:$B$501,E68),"EXCEDE PEDIDO","OK"))))))</f>
        <v/>
      </c>
    </row>
    <row r="69">
      <c r="A69" s="9" t="inlineStr"/>
      <c r="B69" s="2" t="inlineStr"/>
      <c r="C69" s="2" t="inlineStr"/>
      <c r="D69" s="2" t="inlineStr"/>
      <c r="E69" s="2">
        <f>IF(D69="","",IFERROR(XLOOKUP(TRIM(D69),INVENTARIO!$A$2:$A$2000,INVENTARIO!$B$2:$B$2000),"NO ENCONTRADO"))</f>
        <v/>
      </c>
      <c r="F69" s="2">
        <f>IF(D69="","",IFERROR(XLOOKUP(TRIM(D69),INVENTARIO!$A$2:$A$2000,INVENTARIO!$C$2:$C$2000),""))</f>
        <v/>
      </c>
      <c r="G69" s="2">
        <f>IF(D69="","",IF(E69="NO ENCONTRADO","CODIGO NO EXISTE",IF(COUNTIF($D$2:D69,D69)&gt;1,"DUPLICADO",IF(C69="","OK SIN PEDIDO",IF(COUNTIFS(PEDIDO_ITEMS!$A$2:$A$501,C69,PEDIDO_ITEMS!$B$2:$B$501,E69)=0,"NO PEDIDO",IF(COUNTIFS($C$2:C69,C69,$E$2:E69,E69)&gt;SUMIFS(PEDIDO_ITEMS!$C$2:$C$501,PEDIDO_ITEMS!$A$2:$A$501,C69,PEDIDO_ITEMS!$B$2:$B$501,E69),"EXCEDE PEDIDO","OK"))))))</f>
        <v/>
      </c>
    </row>
    <row r="70">
      <c r="A70" s="9" t="inlineStr"/>
      <c r="B70" s="2" t="inlineStr"/>
      <c r="C70" s="2" t="inlineStr"/>
      <c r="D70" s="2" t="inlineStr"/>
      <c r="E70" s="2">
        <f>IF(D70="","",IFERROR(XLOOKUP(TRIM(D70),INVENTARIO!$A$2:$A$2000,INVENTARIO!$B$2:$B$2000),"NO ENCONTRADO"))</f>
        <v/>
      </c>
      <c r="F70" s="2">
        <f>IF(D70="","",IFERROR(XLOOKUP(TRIM(D70),INVENTARIO!$A$2:$A$2000,INVENTARIO!$C$2:$C$2000),""))</f>
        <v/>
      </c>
      <c r="G70" s="2">
        <f>IF(D70="","",IF(E70="NO ENCONTRADO","CODIGO NO EXISTE",IF(COUNTIF($D$2:D70,D70)&gt;1,"DUPLICADO",IF(C70="","OK SIN PEDIDO",IF(COUNTIFS(PEDIDO_ITEMS!$A$2:$A$501,C70,PEDIDO_ITEMS!$B$2:$B$501,E70)=0,"NO PEDIDO",IF(COUNTIFS($C$2:C70,C70,$E$2:E70,E70)&gt;SUMIFS(PEDIDO_ITEMS!$C$2:$C$501,PEDIDO_ITEMS!$A$2:$A$501,C70,PEDIDO_ITEMS!$B$2:$B$501,E70),"EXCEDE PEDIDO","OK"))))))</f>
        <v/>
      </c>
    </row>
    <row r="71">
      <c r="A71" s="9" t="inlineStr"/>
      <c r="B71" s="2" t="inlineStr"/>
      <c r="C71" s="2" t="inlineStr"/>
      <c r="D71" s="2" t="inlineStr"/>
      <c r="E71" s="2">
        <f>IF(D71="","",IFERROR(XLOOKUP(TRIM(D71),INVENTARIO!$A$2:$A$2000,INVENTARIO!$B$2:$B$2000),"NO ENCONTRADO"))</f>
        <v/>
      </c>
      <c r="F71" s="2">
        <f>IF(D71="","",IFERROR(XLOOKUP(TRIM(D71),INVENTARIO!$A$2:$A$2000,INVENTARIO!$C$2:$C$2000),""))</f>
        <v/>
      </c>
      <c r="G71" s="2">
        <f>IF(D71="","",IF(E71="NO ENCONTRADO","CODIGO NO EXISTE",IF(COUNTIF($D$2:D71,D71)&gt;1,"DUPLICADO",IF(C71="","OK SIN PEDIDO",IF(COUNTIFS(PEDIDO_ITEMS!$A$2:$A$501,C71,PEDIDO_ITEMS!$B$2:$B$501,E71)=0,"NO PEDIDO",IF(COUNTIFS($C$2:C71,C71,$E$2:E71,E71)&gt;SUMIFS(PEDIDO_ITEMS!$C$2:$C$501,PEDIDO_ITEMS!$A$2:$A$501,C71,PEDIDO_ITEMS!$B$2:$B$501,E71),"EXCEDE PEDIDO","OK"))))))</f>
        <v/>
      </c>
    </row>
    <row r="72">
      <c r="A72" s="9" t="inlineStr"/>
      <c r="B72" s="2" t="inlineStr"/>
      <c r="C72" s="2" t="inlineStr"/>
      <c r="D72" s="2" t="inlineStr"/>
      <c r="E72" s="2">
        <f>IF(D72="","",IFERROR(XLOOKUP(TRIM(D72),INVENTARIO!$A$2:$A$2000,INVENTARIO!$B$2:$B$2000),"NO ENCONTRADO"))</f>
        <v/>
      </c>
      <c r="F72" s="2">
        <f>IF(D72="","",IFERROR(XLOOKUP(TRIM(D72),INVENTARIO!$A$2:$A$2000,INVENTARIO!$C$2:$C$2000),""))</f>
        <v/>
      </c>
      <c r="G72" s="2">
        <f>IF(D72="","",IF(E72="NO ENCONTRADO","CODIGO NO EXISTE",IF(COUNTIF($D$2:D72,D72)&gt;1,"DUPLICADO",IF(C72="","OK SIN PEDIDO",IF(COUNTIFS(PEDIDO_ITEMS!$A$2:$A$501,C72,PEDIDO_ITEMS!$B$2:$B$501,E72)=0,"NO PEDIDO",IF(COUNTIFS($C$2:C72,C72,$E$2:E72,E72)&gt;SUMIFS(PEDIDO_ITEMS!$C$2:$C$501,PEDIDO_ITEMS!$A$2:$A$501,C72,PEDIDO_ITEMS!$B$2:$B$501,E72),"EXCEDE PEDIDO","OK"))))))</f>
        <v/>
      </c>
    </row>
    <row r="73">
      <c r="A73" s="9" t="inlineStr"/>
      <c r="B73" s="2" t="inlineStr"/>
      <c r="C73" s="2" t="inlineStr"/>
      <c r="D73" s="2" t="inlineStr"/>
      <c r="E73" s="2">
        <f>IF(D73="","",IFERROR(XLOOKUP(TRIM(D73),INVENTARIO!$A$2:$A$2000,INVENTARIO!$B$2:$B$2000),"NO ENCONTRADO"))</f>
        <v/>
      </c>
      <c r="F73" s="2">
        <f>IF(D73="","",IFERROR(XLOOKUP(TRIM(D73),INVENTARIO!$A$2:$A$2000,INVENTARIO!$C$2:$C$2000),""))</f>
        <v/>
      </c>
      <c r="G73" s="2">
        <f>IF(D73="","",IF(E73="NO ENCONTRADO","CODIGO NO EXISTE",IF(COUNTIF($D$2:D73,D73)&gt;1,"DUPLICADO",IF(C73="","OK SIN PEDIDO",IF(COUNTIFS(PEDIDO_ITEMS!$A$2:$A$501,C73,PEDIDO_ITEMS!$B$2:$B$501,E73)=0,"NO PEDIDO",IF(COUNTIFS($C$2:C73,C73,$E$2:E73,E73)&gt;SUMIFS(PEDIDO_ITEMS!$C$2:$C$501,PEDIDO_ITEMS!$A$2:$A$501,C73,PEDIDO_ITEMS!$B$2:$B$501,E73),"EXCEDE PEDIDO","OK"))))))</f>
        <v/>
      </c>
    </row>
    <row r="74">
      <c r="A74" s="9" t="inlineStr"/>
      <c r="B74" s="2" t="inlineStr"/>
      <c r="C74" s="2" t="inlineStr"/>
      <c r="D74" s="2" t="inlineStr"/>
      <c r="E74" s="2">
        <f>IF(D74="","",IFERROR(XLOOKUP(TRIM(D74),INVENTARIO!$A$2:$A$2000,INVENTARIO!$B$2:$B$2000),"NO ENCONTRADO"))</f>
        <v/>
      </c>
      <c r="F74" s="2">
        <f>IF(D74="","",IFERROR(XLOOKUP(TRIM(D74),INVENTARIO!$A$2:$A$2000,INVENTARIO!$C$2:$C$2000),""))</f>
        <v/>
      </c>
      <c r="G74" s="2">
        <f>IF(D74="","",IF(E74="NO ENCONTRADO","CODIGO NO EXISTE",IF(COUNTIF($D$2:D74,D74)&gt;1,"DUPLICADO",IF(C74="","OK SIN PEDIDO",IF(COUNTIFS(PEDIDO_ITEMS!$A$2:$A$501,C74,PEDIDO_ITEMS!$B$2:$B$501,E74)=0,"NO PEDIDO",IF(COUNTIFS($C$2:C74,C74,$E$2:E74,E74)&gt;SUMIFS(PEDIDO_ITEMS!$C$2:$C$501,PEDIDO_ITEMS!$A$2:$A$501,C74,PEDIDO_ITEMS!$B$2:$B$501,E74),"EXCEDE PEDIDO","OK"))))))</f>
        <v/>
      </c>
    </row>
    <row r="75">
      <c r="A75" s="9" t="inlineStr"/>
      <c r="B75" s="2" t="inlineStr"/>
      <c r="C75" s="2" t="inlineStr"/>
      <c r="D75" s="2" t="inlineStr"/>
      <c r="E75" s="2">
        <f>IF(D75="","",IFERROR(XLOOKUP(TRIM(D75),INVENTARIO!$A$2:$A$2000,INVENTARIO!$B$2:$B$2000),"NO ENCONTRADO"))</f>
        <v/>
      </c>
      <c r="F75" s="2">
        <f>IF(D75="","",IFERROR(XLOOKUP(TRIM(D75),INVENTARIO!$A$2:$A$2000,INVENTARIO!$C$2:$C$2000),""))</f>
        <v/>
      </c>
      <c r="G75" s="2">
        <f>IF(D75="","",IF(E75="NO ENCONTRADO","CODIGO NO EXISTE",IF(COUNTIF($D$2:D75,D75)&gt;1,"DUPLICADO",IF(C75="","OK SIN PEDIDO",IF(COUNTIFS(PEDIDO_ITEMS!$A$2:$A$501,C75,PEDIDO_ITEMS!$B$2:$B$501,E75)=0,"NO PEDIDO",IF(COUNTIFS($C$2:C75,C75,$E$2:E75,E75)&gt;SUMIFS(PEDIDO_ITEMS!$C$2:$C$501,PEDIDO_ITEMS!$A$2:$A$501,C75,PEDIDO_ITEMS!$B$2:$B$501,E75),"EXCEDE PEDIDO","OK"))))))</f>
        <v/>
      </c>
    </row>
    <row r="76">
      <c r="A76" s="9" t="inlineStr"/>
      <c r="B76" s="2" t="inlineStr"/>
      <c r="C76" s="2" t="inlineStr"/>
      <c r="D76" s="2" t="inlineStr"/>
      <c r="E76" s="2">
        <f>IF(D76="","",IFERROR(XLOOKUP(TRIM(D76),INVENTARIO!$A$2:$A$2000,INVENTARIO!$B$2:$B$2000),"NO ENCONTRADO"))</f>
        <v/>
      </c>
      <c r="F76" s="2">
        <f>IF(D76="","",IFERROR(XLOOKUP(TRIM(D76),INVENTARIO!$A$2:$A$2000,INVENTARIO!$C$2:$C$2000),""))</f>
        <v/>
      </c>
      <c r="G76" s="2">
        <f>IF(D76="","",IF(E76="NO ENCONTRADO","CODIGO NO EXISTE",IF(COUNTIF($D$2:D76,D76)&gt;1,"DUPLICADO",IF(C76="","OK SIN PEDIDO",IF(COUNTIFS(PEDIDO_ITEMS!$A$2:$A$501,C76,PEDIDO_ITEMS!$B$2:$B$501,E76)=0,"NO PEDIDO",IF(COUNTIFS($C$2:C76,C76,$E$2:E76,E76)&gt;SUMIFS(PEDIDO_ITEMS!$C$2:$C$501,PEDIDO_ITEMS!$A$2:$A$501,C76,PEDIDO_ITEMS!$B$2:$B$501,E76),"EXCEDE PEDIDO","OK"))))))</f>
        <v/>
      </c>
    </row>
    <row r="77">
      <c r="A77" s="9" t="inlineStr"/>
      <c r="B77" s="2" t="inlineStr"/>
      <c r="C77" s="2" t="inlineStr"/>
      <c r="D77" s="2" t="inlineStr"/>
      <c r="E77" s="2">
        <f>IF(D77="","",IFERROR(XLOOKUP(TRIM(D77),INVENTARIO!$A$2:$A$2000,INVENTARIO!$B$2:$B$2000),"NO ENCONTRADO"))</f>
        <v/>
      </c>
      <c r="F77" s="2">
        <f>IF(D77="","",IFERROR(XLOOKUP(TRIM(D77),INVENTARIO!$A$2:$A$2000,INVENTARIO!$C$2:$C$2000),""))</f>
        <v/>
      </c>
      <c r="G77" s="2">
        <f>IF(D77="","",IF(E77="NO ENCONTRADO","CODIGO NO EXISTE",IF(COUNTIF($D$2:D77,D77)&gt;1,"DUPLICADO",IF(C77="","OK SIN PEDIDO",IF(COUNTIFS(PEDIDO_ITEMS!$A$2:$A$501,C77,PEDIDO_ITEMS!$B$2:$B$501,E77)=0,"NO PEDIDO",IF(COUNTIFS($C$2:C77,C77,$E$2:E77,E77)&gt;SUMIFS(PEDIDO_ITEMS!$C$2:$C$501,PEDIDO_ITEMS!$A$2:$A$501,C77,PEDIDO_ITEMS!$B$2:$B$501,E77),"EXCEDE PEDIDO","OK"))))))</f>
        <v/>
      </c>
    </row>
    <row r="78">
      <c r="A78" s="9" t="inlineStr"/>
      <c r="B78" s="2" t="inlineStr"/>
      <c r="C78" s="2" t="inlineStr"/>
      <c r="D78" s="2" t="inlineStr"/>
      <c r="E78" s="2">
        <f>IF(D78="","",IFERROR(XLOOKUP(TRIM(D78),INVENTARIO!$A$2:$A$2000,INVENTARIO!$B$2:$B$2000),"NO ENCONTRADO"))</f>
        <v/>
      </c>
      <c r="F78" s="2">
        <f>IF(D78="","",IFERROR(XLOOKUP(TRIM(D78),INVENTARIO!$A$2:$A$2000,INVENTARIO!$C$2:$C$2000),""))</f>
        <v/>
      </c>
      <c r="G78" s="2">
        <f>IF(D78="","",IF(E78="NO ENCONTRADO","CODIGO NO EXISTE",IF(COUNTIF($D$2:D78,D78)&gt;1,"DUPLICADO",IF(C78="","OK SIN PEDIDO",IF(COUNTIFS(PEDIDO_ITEMS!$A$2:$A$501,C78,PEDIDO_ITEMS!$B$2:$B$501,E78)=0,"NO PEDIDO",IF(COUNTIFS($C$2:C78,C78,$E$2:E78,E78)&gt;SUMIFS(PEDIDO_ITEMS!$C$2:$C$501,PEDIDO_ITEMS!$A$2:$A$501,C78,PEDIDO_ITEMS!$B$2:$B$501,E78),"EXCEDE PEDIDO","OK"))))))</f>
        <v/>
      </c>
    </row>
    <row r="79">
      <c r="A79" s="9" t="inlineStr"/>
      <c r="B79" s="2" t="inlineStr"/>
      <c r="C79" s="2" t="inlineStr"/>
      <c r="D79" s="2" t="inlineStr"/>
      <c r="E79" s="2">
        <f>IF(D79="","",IFERROR(XLOOKUP(TRIM(D79),INVENTARIO!$A$2:$A$2000,INVENTARIO!$B$2:$B$2000),"NO ENCONTRADO"))</f>
        <v/>
      </c>
      <c r="F79" s="2">
        <f>IF(D79="","",IFERROR(XLOOKUP(TRIM(D79),INVENTARIO!$A$2:$A$2000,INVENTARIO!$C$2:$C$2000),""))</f>
        <v/>
      </c>
      <c r="G79" s="2">
        <f>IF(D79="","",IF(E79="NO ENCONTRADO","CODIGO NO EXISTE",IF(COUNTIF($D$2:D79,D79)&gt;1,"DUPLICADO",IF(C79="","OK SIN PEDIDO",IF(COUNTIFS(PEDIDO_ITEMS!$A$2:$A$501,C79,PEDIDO_ITEMS!$B$2:$B$501,E79)=0,"NO PEDIDO",IF(COUNTIFS($C$2:C79,C79,$E$2:E79,E79)&gt;SUMIFS(PEDIDO_ITEMS!$C$2:$C$501,PEDIDO_ITEMS!$A$2:$A$501,C79,PEDIDO_ITEMS!$B$2:$B$501,E79),"EXCEDE PEDIDO","OK"))))))</f>
        <v/>
      </c>
    </row>
    <row r="80">
      <c r="A80" s="9" t="inlineStr"/>
      <c r="B80" s="2" t="inlineStr"/>
      <c r="C80" s="2" t="inlineStr"/>
      <c r="D80" s="2" t="inlineStr"/>
      <c r="E80" s="2">
        <f>IF(D80="","",IFERROR(XLOOKUP(TRIM(D80),INVENTARIO!$A$2:$A$2000,INVENTARIO!$B$2:$B$2000),"NO ENCONTRADO"))</f>
        <v/>
      </c>
      <c r="F80" s="2">
        <f>IF(D80="","",IFERROR(XLOOKUP(TRIM(D80),INVENTARIO!$A$2:$A$2000,INVENTARIO!$C$2:$C$2000),""))</f>
        <v/>
      </c>
      <c r="G80" s="2">
        <f>IF(D80="","",IF(E80="NO ENCONTRADO","CODIGO NO EXISTE",IF(COUNTIF($D$2:D80,D80)&gt;1,"DUPLICADO",IF(C80="","OK SIN PEDIDO",IF(COUNTIFS(PEDIDO_ITEMS!$A$2:$A$501,C80,PEDIDO_ITEMS!$B$2:$B$501,E80)=0,"NO PEDIDO",IF(COUNTIFS($C$2:C80,C80,$E$2:E80,E80)&gt;SUMIFS(PEDIDO_ITEMS!$C$2:$C$501,PEDIDO_ITEMS!$A$2:$A$501,C80,PEDIDO_ITEMS!$B$2:$B$501,E80),"EXCEDE PEDIDO","OK"))))))</f>
        <v/>
      </c>
    </row>
    <row r="81">
      <c r="A81" s="9" t="inlineStr"/>
      <c r="B81" s="2" t="inlineStr"/>
      <c r="C81" s="2" t="inlineStr"/>
      <c r="D81" s="2" t="inlineStr"/>
      <c r="E81" s="2">
        <f>IF(D81="","",IFERROR(XLOOKUP(TRIM(D81),INVENTARIO!$A$2:$A$2000,INVENTARIO!$B$2:$B$2000),"NO ENCONTRADO"))</f>
        <v/>
      </c>
      <c r="F81" s="2">
        <f>IF(D81="","",IFERROR(XLOOKUP(TRIM(D81),INVENTARIO!$A$2:$A$2000,INVENTARIO!$C$2:$C$2000),""))</f>
        <v/>
      </c>
      <c r="G81" s="2">
        <f>IF(D81="","",IF(E81="NO ENCONTRADO","CODIGO NO EXISTE",IF(COUNTIF($D$2:D81,D81)&gt;1,"DUPLICADO",IF(C81="","OK SIN PEDIDO",IF(COUNTIFS(PEDIDO_ITEMS!$A$2:$A$501,C81,PEDIDO_ITEMS!$B$2:$B$501,E81)=0,"NO PEDIDO",IF(COUNTIFS($C$2:C81,C81,$E$2:E81,E81)&gt;SUMIFS(PEDIDO_ITEMS!$C$2:$C$501,PEDIDO_ITEMS!$A$2:$A$501,C81,PEDIDO_ITEMS!$B$2:$B$501,E81),"EXCEDE PEDIDO","OK"))))))</f>
        <v/>
      </c>
    </row>
    <row r="82">
      <c r="A82" s="9" t="inlineStr"/>
      <c r="B82" s="2" t="inlineStr"/>
      <c r="C82" s="2" t="inlineStr"/>
      <c r="D82" s="2" t="inlineStr"/>
      <c r="E82" s="2">
        <f>IF(D82="","",IFERROR(XLOOKUP(TRIM(D82),INVENTARIO!$A$2:$A$2000,INVENTARIO!$B$2:$B$2000),"NO ENCONTRADO"))</f>
        <v/>
      </c>
      <c r="F82" s="2">
        <f>IF(D82="","",IFERROR(XLOOKUP(TRIM(D82),INVENTARIO!$A$2:$A$2000,INVENTARIO!$C$2:$C$2000),""))</f>
        <v/>
      </c>
      <c r="G82" s="2">
        <f>IF(D82="","",IF(E82="NO ENCONTRADO","CODIGO NO EXISTE",IF(COUNTIF($D$2:D82,D82)&gt;1,"DUPLICADO",IF(C82="","OK SIN PEDIDO",IF(COUNTIFS(PEDIDO_ITEMS!$A$2:$A$501,C82,PEDIDO_ITEMS!$B$2:$B$501,E82)=0,"NO PEDIDO",IF(COUNTIFS($C$2:C82,C82,$E$2:E82,E82)&gt;SUMIFS(PEDIDO_ITEMS!$C$2:$C$501,PEDIDO_ITEMS!$A$2:$A$501,C82,PEDIDO_ITEMS!$B$2:$B$501,E82),"EXCEDE PEDIDO","OK"))))))</f>
        <v/>
      </c>
    </row>
    <row r="83">
      <c r="A83" s="9" t="inlineStr"/>
      <c r="B83" s="2" t="inlineStr"/>
      <c r="C83" s="2" t="inlineStr"/>
      <c r="D83" s="2" t="inlineStr"/>
      <c r="E83" s="2">
        <f>IF(D83="","",IFERROR(XLOOKUP(TRIM(D83),INVENTARIO!$A$2:$A$2000,INVENTARIO!$B$2:$B$2000),"NO ENCONTRADO"))</f>
        <v/>
      </c>
      <c r="F83" s="2">
        <f>IF(D83="","",IFERROR(XLOOKUP(TRIM(D83),INVENTARIO!$A$2:$A$2000,INVENTARIO!$C$2:$C$2000),""))</f>
        <v/>
      </c>
      <c r="G83" s="2">
        <f>IF(D83="","",IF(E83="NO ENCONTRADO","CODIGO NO EXISTE",IF(COUNTIF($D$2:D83,D83)&gt;1,"DUPLICADO",IF(C83="","OK SIN PEDIDO",IF(COUNTIFS(PEDIDO_ITEMS!$A$2:$A$501,C83,PEDIDO_ITEMS!$B$2:$B$501,E83)=0,"NO PEDIDO",IF(COUNTIFS($C$2:C83,C83,$E$2:E83,E83)&gt;SUMIFS(PEDIDO_ITEMS!$C$2:$C$501,PEDIDO_ITEMS!$A$2:$A$501,C83,PEDIDO_ITEMS!$B$2:$B$501,E83),"EXCEDE PEDIDO","OK"))))))</f>
        <v/>
      </c>
    </row>
    <row r="84">
      <c r="A84" s="9" t="inlineStr"/>
      <c r="B84" s="2" t="inlineStr"/>
      <c r="C84" s="2" t="inlineStr"/>
      <c r="D84" s="2" t="inlineStr"/>
      <c r="E84" s="2">
        <f>IF(D84="","",IFERROR(XLOOKUP(TRIM(D84),INVENTARIO!$A$2:$A$2000,INVENTARIO!$B$2:$B$2000),"NO ENCONTRADO"))</f>
        <v/>
      </c>
      <c r="F84" s="2">
        <f>IF(D84="","",IFERROR(XLOOKUP(TRIM(D84),INVENTARIO!$A$2:$A$2000,INVENTARIO!$C$2:$C$2000),""))</f>
        <v/>
      </c>
      <c r="G84" s="2">
        <f>IF(D84="","",IF(E84="NO ENCONTRADO","CODIGO NO EXISTE",IF(COUNTIF($D$2:D84,D84)&gt;1,"DUPLICADO",IF(C84="","OK SIN PEDIDO",IF(COUNTIFS(PEDIDO_ITEMS!$A$2:$A$501,C84,PEDIDO_ITEMS!$B$2:$B$501,E84)=0,"NO PEDIDO",IF(COUNTIFS($C$2:C84,C84,$E$2:E84,E84)&gt;SUMIFS(PEDIDO_ITEMS!$C$2:$C$501,PEDIDO_ITEMS!$A$2:$A$501,C84,PEDIDO_ITEMS!$B$2:$B$501,E84),"EXCEDE PEDIDO","OK"))))))</f>
        <v/>
      </c>
    </row>
    <row r="85">
      <c r="A85" s="9" t="inlineStr"/>
      <c r="B85" s="2" t="inlineStr"/>
      <c r="C85" s="2" t="inlineStr"/>
      <c r="D85" s="2" t="inlineStr"/>
      <c r="E85" s="2">
        <f>IF(D85="","",IFERROR(XLOOKUP(TRIM(D85),INVENTARIO!$A$2:$A$2000,INVENTARIO!$B$2:$B$2000),"NO ENCONTRADO"))</f>
        <v/>
      </c>
      <c r="F85" s="2">
        <f>IF(D85="","",IFERROR(XLOOKUP(TRIM(D85),INVENTARIO!$A$2:$A$2000,INVENTARIO!$C$2:$C$2000),""))</f>
        <v/>
      </c>
      <c r="G85" s="2">
        <f>IF(D85="","",IF(E85="NO ENCONTRADO","CODIGO NO EXISTE",IF(COUNTIF($D$2:D85,D85)&gt;1,"DUPLICADO",IF(C85="","OK SIN PEDIDO",IF(COUNTIFS(PEDIDO_ITEMS!$A$2:$A$501,C85,PEDIDO_ITEMS!$B$2:$B$501,E85)=0,"NO PEDIDO",IF(COUNTIFS($C$2:C85,C85,$E$2:E85,E85)&gt;SUMIFS(PEDIDO_ITEMS!$C$2:$C$501,PEDIDO_ITEMS!$A$2:$A$501,C85,PEDIDO_ITEMS!$B$2:$B$501,E85),"EXCEDE PEDIDO","OK"))))))</f>
        <v/>
      </c>
    </row>
    <row r="86">
      <c r="A86" s="9" t="inlineStr"/>
      <c r="B86" s="2" t="inlineStr"/>
      <c r="C86" s="2" t="inlineStr"/>
      <c r="D86" s="2" t="inlineStr"/>
      <c r="E86" s="2">
        <f>IF(D86="","",IFERROR(XLOOKUP(TRIM(D86),INVENTARIO!$A$2:$A$2000,INVENTARIO!$B$2:$B$2000),"NO ENCONTRADO"))</f>
        <v/>
      </c>
      <c r="F86" s="2">
        <f>IF(D86="","",IFERROR(XLOOKUP(TRIM(D86),INVENTARIO!$A$2:$A$2000,INVENTARIO!$C$2:$C$2000),""))</f>
        <v/>
      </c>
      <c r="G86" s="2">
        <f>IF(D86="","",IF(E86="NO ENCONTRADO","CODIGO NO EXISTE",IF(COUNTIF($D$2:D86,D86)&gt;1,"DUPLICADO",IF(C86="","OK SIN PEDIDO",IF(COUNTIFS(PEDIDO_ITEMS!$A$2:$A$501,C86,PEDIDO_ITEMS!$B$2:$B$501,E86)=0,"NO PEDIDO",IF(COUNTIFS($C$2:C86,C86,$E$2:E86,E86)&gt;SUMIFS(PEDIDO_ITEMS!$C$2:$C$501,PEDIDO_ITEMS!$A$2:$A$501,C86,PEDIDO_ITEMS!$B$2:$B$501,E86),"EXCEDE PEDIDO","OK"))))))</f>
        <v/>
      </c>
    </row>
    <row r="87">
      <c r="A87" s="9" t="inlineStr"/>
      <c r="B87" s="2" t="inlineStr"/>
      <c r="C87" s="2" t="inlineStr"/>
      <c r="D87" s="2" t="inlineStr"/>
      <c r="E87" s="2">
        <f>IF(D87="","",IFERROR(XLOOKUP(TRIM(D87),INVENTARIO!$A$2:$A$2000,INVENTARIO!$B$2:$B$2000),"NO ENCONTRADO"))</f>
        <v/>
      </c>
      <c r="F87" s="2">
        <f>IF(D87="","",IFERROR(XLOOKUP(TRIM(D87),INVENTARIO!$A$2:$A$2000,INVENTARIO!$C$2:$C$2000),""))</f>
        <v/>
      </c>
      <c r="G87" s="2">
        <f>IF(D87="","",IF(E87="NO ENCONTRADO","CODIGO NO EXISTE",IF(COUNTIF($D$2:D87,D87)&gt;1,"DUPLICADO",IF(C87="","OK SIN PEDIDO",IF(COUNTIFS(PEDIDO_ITEMS!$A$2:$A$501,C87,PEDIDO_ITEMS!$B$2:$B$501,E87)=0,"NO PEDIDO",IF(COUNTIFS($C$2:C87,C87,$E$2:E87,E87)&gt;SUMIFS(PEDIDO_ITEMS!$C$2:$C$501,PEDIDO_ITEMS!$A$2:$A$501,C87,PEDIDO_ITEMS!$B$2:$B$501,E87),"EXCEDE PEDIDO","OK"))))))</f>
        <v/>
      </c>
    </row>
    <row r="88">
      <c r="A88" s="9" t="inlineStr"/>
      <c r="B88" s="2" t="inlineStr"/>
      <c r="C88" s="2" t="inlineStr"/>
      <c r="D88" s="2" t="inlineStr"/>
      <c r="E88" s="2">
        <f>IF(D88="","",IFERROR(XLOOKUP(TRIM(D88),INVENTARIO!$A$2:$A$2000,INVENTARIO!$B$2:$B$2000),"NO ENCONTRADO"))</f>
        <v/>
      </c>
      <c r="F88" s="2">
        <f>IF(D88="","",IFERROR(XLOOKUP(TRIM(D88),INVENTARIO!$A$2:$A$2000,INVENTARIO!$C$2:$C$2000),""))</f>
        <v/>
      </c>
      <c r="G88" s="2">
        <f>IF(D88="","",IF(E88="NO ENCONTRADO","CODIGO NO EXISTE",IF(COUNTIF($D$2:D88,D88)&gt;1,"DUPLICADO",IF(C88="","OK SIN PEDIDO",IF(COUNTIFS(PEDIDO_ITEMS!$A$2:$A$501,C88,PEDIDO_ITEMS!$B$2:$B$501,E88)=0,"NO PEDIDO",IF(COUNTIFS($C$2:C88,C88,$E$2:E88,E88)&gt;SUMIFS(PEDIDO_ITEMS!$C$2:$C$501,PEDIDO_ITEMS!$A$2:$A$501,C88,PEDIDO_ITEMS!$B$2:$B$501,E88),"EXCEDE PEDIDO","OK"))))))</f>
        <v/>
      </c>
    </row>
    <row r="89">
      <c r="A89" s="9" t="inlineStr"/>
      <c r="B89" s="2" t="inlineStr"/>
      <c r="C89" s="2" t="inlineStr"/>
      <c r="D89" s="2" t="inlineStr"/>
      <c r="E89" s="2">
        <f>IF(D89="","",IFERROR(XLOOKUP(TRIM(D89),INVENTARIO!$A$2:$A$2000,INVENTARIO!$B$2:$B$2000),"NO ENCONTRADO"))</f>
        <v/>
      </c>
      <c r="F89" s="2">
        <f>IF(D89="","",IFERROR(XLOOKUP(TRIM(D89),INVENTARIO!$A$2:$A$2000,INVENTARIO!$C$2:$C$2000),""))</f>
        <v/>
      </c>
      <c r="G89" s="2">
        <f>IF(D89="","",IF(E89="NO ENCONTRADO","CODIGO NO EXISTE",IF(COUNTIF($D$2:D89,D89)&gt;1,"DUPLICADO",IF(C89="","OK SIN PEDIDO",IF(COUNTIFS(PEDIDO_ITEMS!$A$2:$A$501,C89,PEDIDO_ITEMS!$B$2:$B$501,E89)=0,"NO PEDIDO",IF(COUNTIFS($C$2:C89,C89,$E$2:E89,E89)&gt;SUMIFS(PEDIDO_ITEMS!$C$2:$C$501,PEDIDO_ITEMS!$A$2:$A$501,C89,PEDIDO_ITEMS!$B$2:$B$501,E89),"EXCEDE PEDIDO","OK"))))))</f>
        <v/>
      </c>
    </row>
    <row r="90">
      <c r="A90" s="9" t="inlineStr"/>
      <c r="B90" s="2" t="inlineStr"/>
      <c r="C90" s="2" t="inlineStr"/>
      <c r="D90" s="2" t="inlineStr"/>
      <c r="E90" s="2">
        <f>IF(D90="","",IFERROR(XLOOKUP(TRIM(D90),INVENTARIO!$A$2:$A$2000,INVENTARIO!$B$2:$B$2000),"NO ENCONTRADO"))</f>
        <v/>
      </c>
      <c r="F90" s="2">
        <f>IF(D90="","",IFERROR(XLOOKUP(TRIM(D90),INVENTARIO!$A$2:$A$2000,INVENTARIO!$C$2:$C$2000),""))</f>
        <v/>
      </c>
      <c r="G90" s="2">
        <f>IF(D90="","",IF(E90="NO ENCONTRADO","CODIGO NO EXISTE",IF(COUNTIF($D$2:D90,D90)&gt;1,"DUPLICADO",IF(C90="","OK SIN PEDIDO",IF(COUNTIFS(PEDIDO_ITEMS!$A$2:$A$501,C90,PEDIDO_ITEMS!$B$2:$B$501,E90)=0,"NO PEDIDO",IF(COUNTIFS($C$2:C90,C90,$E$2:E90,E90)&gt;SUMIFS(PEDIDO_ITEMS!$C$2:$C$501,PEDIDO_ITEMS!$A$2:$A$501,C90,PEDIDO_ITEMS!$B$2:$B$501,E90),"EXCEDE PEDIDO","OK"))))))</f>
        <v/>
      </c>
    </row>
    <row r="91">
      <c r="A91" s="9" t="inlineStr"/>
      <c r="B91" s="2" t="inlineStr"/>
      <c r="C91" s="2" t="inlineStr"/>
      <c r="D91" s="2" t="inlineStr"/>
      <c r="E91" s="2">
        <f>IF(D91="","",IFERROR(XLOOKUP(TRIM(D91),INVENTARIO!$A$2:$A$2000,INVENTARIO!$B$2:$B$2000),"NO ENCONTRADO"))</f>
        <v/>
      </c>
      <c r="F91" s="2">
        <f>IF(D91="","",IFERROR(XLOOKUP(TRIM(D91),INVENTARIO!$A$2:$A$2000,INVENTARIO!$C$2:$C$2000),""))</f>
        <v/>
      </c>
      <c r="G91" s="2">
        <f>IF(D91="","",IF(E91="NO ENCONTRADO","CODIGO NO EXISTE",IF(COUNTIF($D$2:D91,D91)&gt;1,"DUPLICADO",IF(C91="","OK SIN PEDIDO",IF(COUNTIFS(PEDIDO_ITEMS!$A$2:$A$501,C91,PEDIDO_ITEMS!$B$2:$B$501,E91)=0,"NO PEDIDO",IF(COUNTIFS($C$2:C91,C91,$E$2:E91,E91)&gt;SUMIFS(PEDIDO_ITEMS!$C$2:$C$501,PEDIDO_ITEMS!$A$2:$A$501,C91,PEDIDO_ITEMS!$B$2:$B$501,E91),"EXCEDE PEDIDO","OK"))))))</f>
        <v/>
      </c>
    </row>
    <row r="92">
      <c r="A92" s="9" t="inlineStr"/>
      <c r="B92" s="2" t="inlineStr"/>
      <c r="C92" s="2" t="inlineStr"/>
      <c r="D92" s="2" t="inlineStr"/>
      <c r="E92" s="2">
        <f>IF(D92="","",IFERROR(XLOOKUP(TRIM(D92),INVENTARIO!$A$2:$A$2000,INVENTARIO!$B$2:$B$2000),"NO ENCONTRADO"))</f>
        <v/>
      </c>
      <c r="F92" s="2">
        <f>IF(D92="","",IFERROR(XLOOKUP(TRIM(D92),INVENTARIO!$A$2:$A$2000,INVENTARIO!$C$2:$C$2000),""))</f>
        <v/>
      </c>
      <c r="G92" s="2">
        <f>IF(D92="","",IF(E92="NO ENCONTRADO","CODIGO NO EXISTE",IF(COUNTIF($D$2:D92,D92)&gt;1,"DUPLICADO",IF(C92="","OK SIN PEDIDO",IF(COUNTIFS(PEDIDO_ITEMS!$A$2:$A$501,C92,PEDIDO_ITEMS!$B$2:$B$501,E92)=0,"NO PEDIDO",IF(COUNTIFS($C$2:C92,C92,$E$2:E92,E92)&gt;SUMIFS(PEDIDO_ITEMS!$C$2:$C$501,PEDIDO_ITEMS!$A$2:$A$501,C92,PEDIDO_ITEMS!$B$2:$B$501,E92),"EXCEDE PEDIDO","OK"))))))</f>
        <v/>
      </c>
    </row>
    <row r="93">
      <c r="A93" s="9" t="inlineStr"/>
      <c r="B93" s="2" t="inlineStr"/>
      <c r="C93" s="2" t="inlineStr"/>
      <c r="D93" s="2" t="inlineStr"/>
      <c r="E93" s="2">
        <f>IF(D93="","",IFERROR(XLOOKUP(TRIM(D93),INVENTARIO!$A$2:$A$2000,INVENTARIO!$B$2:$B$2000),"NO ENCONTRADO"))</f>
        <v/>
      </c>
      <c r="F93" s="2">
        <f>IF(D93="","",IFERROR(XLOOKUP(TRIM(D93),INVENTARIO!$A$2:$A$2000,INVENTARIO!$C$2:$C$2000),""))</f>
        <v/>
      </c>
      <c r="G93" s="2">
        <f>IF(D93="","",IF(E93="NO ENCONTRADO","CODIGO NO EXISTE",IF(COUNTIF($D$2:D93,D93)&gt;1,"DUPLICADO",IF(C93="","OK SIN PEDIDO",IF(COUNTIFS(PEDIDO_ITEMS!$A$2:$A$501,C93,PEDIDO_ITEMS!$B$2:$B$501,E93)=0,"NO PEDIDO",IF(COUNTIFS($C$2:C93,C93,$E$2:E93,E93)&gt;SUMIFS(PEDIDO_ITEMS!$C$2:$C$501,PEDIDO_ITEMS!$A$2:$A$501,C93,PEDIDO_ITEMS!$B$2:$B$501,E93),"EXCEDE PEDIDO","OK"))))))</f>
        <v/>
      </c>
    </row>
    <row r="94">
      <c r="A94" s="9" t="inlineStr"/>
      <c r="B94" s="2" t="inlineStr"/>
      <c r="C94" s="2" t="inlineStr"/>
      <c r="D94" s="2" t="inlineStr"/>
      <c r="E94" s="2">
        <f>IF(D94="","",IFERROR(XLOOKUP(TRIM(D94),INVENTARIO!$A$2:$A$2000,INVENTARIO!$B$2:$B$2000),"NO ENCONTRADO"))</f>
        <v/>
      </c>
      <c r="F94" s="2">
        <f>IF(D94="","",IFERROR(XLOOKUP(TRIM(D94),INVENTARIO!$A$2:$A$2000,INVENTARIO!$C$2:$C$2000),""))</f>
        <v/>
      </c>
      <c r="G94" s="2">
        <f>IF(D94="","",IF(E94="NO ENCONTRADO","CODIGO NO EXISTE",IF(COUNTIF($D$2:D94,D94)&gt;1,"DUPLICADO",IF(C94="","OK SIN PEDIDO",IF(COUNTIFS(PEDIDO_ITEMS!$A$2:$A$501,C94,PEDIDO_ITEMS!$B$2:$B$501,E94)=0,"NO PEDIDO",IF(COUNTIFS($C$2:C94,C94,$E$2:E94,E94)&gt;SUMIFS(PEDIDO_ITEMS!$C$2:$C$501,PEDIDO_ITEMS!$A$2:$A$501,C94,PEDIDO_ITEMS!$B$2:$B$501,E94),"EXCEDE PEDIDO","OK"))))))</f>
        <v/>
      </c>
    </row>
    <row r="95">
      <c r="A95" s="9" t="inlineStr"/>
      <c r="B95" s="2" t="inlineStr"/>
      <c r="C95" s="2" t="inlineStr"/>
      <c r="D95" s="2" t="inlineStr"/>
      <c r="E95" s="2">
        <f>IF(D95="","",IFERROR(XLOOKUP(TRIM(D95),INVENTARIO!$A$2:$A$2000,INVENTARIO!$B$2:$B$2000),"NO ENCONTRADO"))</f>
        <v/>
      </c>
      <c r="F95" s="2">
        <f>IF(D95="","",IFERROR(XLOOKUP(TRIM(D95),INVENTARIO!$A$2:$A$2000,INVENTARIO!$C$2:$C$2000),""))</f>
        <v/>
      </c>
      <c r="G95" s="2">
        <f>IF(D95="","",IF(E95="NO ENCONTRADO","CODIGO NO EXISTE",IF(COUNTIF($D$2:D95,D95)&gt;1,"DUPLICADO",IF(C95="","OK SIN PEDIDO",IF(COUNTIFS(PEDIDO_ITEMS!$A$2:$A$501,C95,PEDIDO_ITEMS!$B$2:$B$501,E95)=0,"NO PEDIDO",IF(COUNTIFS($C$2:C95,C95,$E$2:E95,E95)&gt;SUMIFS(PEDIDO_ITEMS!$C$2:$C$501,PEDIDO_ITEMS!$A$2:$A$501,C95,PEDIDO_ITEMS!$B$2:$B$501,E95),"EXCEDE PEDIDO","OK"))))))</f>
        <v/>
      </c>
    </row>
    <row r="96">
      <c r="A96" s="9" t="inlineStr"/>
      <c r="B96" s="2" t="inlineStr"/>
      <c r="C96" s="2" t="inlineStr"/>
      <c r="D96" s="2" t="inlineStr"/>
      <c r="E96" s="2">
        <f>IF(D96="","",IFERROR(XLOOKUP(TRIM(D96),INVENTARIO!$A$2:$A$2000,INVENTARIO!$B$2:$B$2000),"NO ENCONTRADO"))</f>
        <v/>
      </c>
      <c r="F96" s="2">
        <f>IF(D96="","",IFERROR(XLOOKUP(TRIM(D96),INVENTARIO!$A$2:$A$2000,INVENTARIO!$C$2:$C$2000),""))</f>
        <v/>
      </c>
      <c r="G96" s="2">
        <f>IF(D96="","",IF(E96="NO ENCONTRADO","CODIGO NO EXISTE",IF(COUNTIF($D$2:D96,D96)&gt;1,"DUPLICADO",IF(C96="","OK SIN PEDIDO",IF(COUNTIFS(PEDIDO_ITEMS!$A$2:$A$501,C96,PEDIDO_ITEMS!$B$2:$B$501,E96)=0,"NO PEDIDO",IF(COUNTIFS($C$2:C96,C96,$E$2:E96,E96)&gt;SUMIFS(PEDIDO_ITEMS!$C$2:$C$501,PEDIDO_ITEMS!$A$2:$A$501,C96,PEDIDO_ITEMS!$B$2:$B$501,E96),"EXCEDE PEDIDO","OK"))))))</f>
        <v/>
      </c>
    </row>
    <row r="97">
      <c r="A97" s="9" t="inlineStr"/>
      <c r="B97" s="2" t="inlineStr"/>
      <c r="C97" s="2" t="inlineStr"/>
      <c r="D97" s="2" t="inlineStr"/>
      <c r="E97" s="2">
        <f>IF(D97="","",IFERROR(XLOOKUP(TRIM(D97),INVENTARIO!$A$2:$A$2000,INVENTARIO!$B$2:$B$2000),"NO ENCONTRADO"))</f>
        <v/>
      </c>
      <c r="F97" s="2">
        <f>IF(D97="","",IFERROR(XLOOKUP(TRIM(D97),INVENTARIO!$A$2:$A$2000,INVENTARIO!$C$2:$C$2000),""))</f>
        <v/>
      </c>
      <c r="G97" s="2">
        <f>IF(D97="","",IF(E97="NO ENCONTRADO","CODIGO NO EXISTE",IF(COUNTIF($D$2:D97,D97)&gt;1,"DUPLICADO",IF(C97="","OK SIN PEDIDO",IF(COUNTIFS(PEDIDO_ITEMS!$A$2:$A$501,C97,PEDIDO_ITEMS!$B$2:$B$501,E97)=0,"NO PEDIDO",IF(COUNTIFS($C$2:C97,C97,$E$2:E97,E97)&gt;SUMIFS(PEDIDO_ITEMS!$C$2:$C$501,PEDIDO_ITEMS!$A$2:$A$501,C97,PEDIDO_ITEMS!$B$2:$B$501,E97),"EXCEDE PEDIDO","OK"))))))</f>
        <v/>
      </c>
    </row>
    <row r="98">
      <c r="A98" s="9" t="inlineStr"/>
      <c r="B98" s="2" t="inlineStr"/>
      <c r="C98" s="2" t="inlineStr"/>
      <c r="D98" s="2" t="inlineStr"/>
      <c r="E98" s="2">
        <f>IF(D98="","",IFERROR(XLOOKUP(TRIM(D98),INVENTARIO!$A$2:$A$2000,INVENTARIO!$B$2:$B$2000),"NO ENCONTRADO"))</f>
        <v/>
      </c>
      <c r="F98" s="2">
        <f>IF(D98="","",IFERROR(XLOOKUP(TRIM(D98),INVENTARIO!$A$2:$A$2000,INVENTARIO!$C$2:$C$2000),""))</f>
        <v/>
      </c>
      <c r="G98" s="2">
        <f>IF(D98="","",IF(E98="NO ENCONTRADO","CODIGO NO EXISTE",IF(COUNTIF($D$2:D98,D98)&gt;1,"DUPLICADO",IF(C98="","OK SIN PEDIDO",IF(COUNTIFS(PEDIDO_ITEMS!$A$2:$A$501,C98,PEDIDO_ITEMS!$B$2:$B$501,E98)=0,"NO PEDIDO",IF(COUNTIFS($C$2:C98,C98,$E$2:E98,E98)&gt;SUMIFS(PEDIDO_ITEMS!$C$2:$C$501,PEDIDO_ITEMS!$A$2:$A$501,C98,PEDIDO_ITEMS!$B$2:$B$501,E98),"EXCEDE PEDIDO","OK"))))))</f>
        <v/>
      </c>
    </row>
    <row r="99">
      <c r="A99" s="9" t="inlineStr"/>
      <c r="B99" s="2" t="inlineStr"/>
      <c r="C99" s="2" t="inlineStr"/>
      <c r="D99" s="2" t="inlineStr"/>
      <c r="E99" s="2">
        <f>IF(D99="","",IFERROR(XLOOKUP(TRIM(D99),INVENTARIO!$A$2:$A$2000,INVENTARIO!$B$2:$B$2000),"NO ENCONTRADO"))</f>
        <v/>
      </c>
      <c r="F99" s="2">
        <f>IF(D99="","",IFERROR(XLOOKUP(TRIM(D99),INVENTARIO!$A$2:$A$2000,INVENTARIO!$C$2:$C$2000),""))</f>
        <v/>
      </c>
      <c r="G99" s="2">
        <f>IF(D99="","",IF(E99="NO ENCONTRADO","CODIGO NO EXISTE",IF(COUNTIF($D$2:D99,D99)&gt;1,"DUPLICADO",IF(C99="","OK SIN PEDIDO",IF(COUNTIFS(PEDIDO_ITEMS!$A$2:$A$501,C99,PEDIDO_ITEMS!$B$2:$B$501,E99)=0,"NO PEDIDO",IF(COUNTIFS($C$2:C99,C99,$E$2:E99,E99)&gt;SUMIFS(PEDIDO_ITEMS!$C$2:$C$501,PEDIDO_ITEMS!$A$2:$A$501,C99,PEDIDO_ITEMS!$B$2:$B$501,E99),"EXCEDE PEDIDO","OK"))))))</f>
        <v/>
      </c>
    </row>
    <row r="100">
      <c r="A100" s="9" t="inlineStr"/>
      <c r="B100" s="2" t="inlineStr"/>
      <c r="C100" s="2" t="inlineStr"/>
      <c r="D100" s="2" t="inlineStr"/>
      <c r="E100" s="2">
        <f>IF(D100="","",IFERROR(XLOOKUP(TRIM(D100),INVENTARIO!$A$2:$A$2000,INVENTARIO!$B$2:$B$2000),"NO ENCONTRADO"))</f>
        <v/>
      </c>
      <c r="F100" s="2">
        <f>IF(D100="","",IFERROR(XLOOKUP(TRIM(D100),INVENTARIO!$A$2:$A$2000,INVENTARIO!$C$2:$C$2000),""))</f>
        <v/>
      </c>
      <c r="G100" s="2">
        <f>IF(D100="","",IF(E100="NO ENCONTRADO","CODIGO NO EXISTE",IF(COUNTIF($D$2:D100,D100)&gt;1,"DUPLICADO",IF(C100="","OK SIN PEDIDO",IF(COUNTIFS(PEDIDO_ITEMS!$A$2:$A$501,C100,PEDIDO_ITEMS!$B$2:$B$501,E100)=0,"NO PEDIDO",IF(COUNTIFS($C$2:C100,C100,$E$2:E100,E100)&gt;SUMIFS(PEDIDO_ITEMS!$C$2:$C$501,PEDIDO_ITEMS!$A$2:$A$501,C100,PEDIDO_ITEMS!$B$2:$B$501,E100),"EXCEDE PEDIDO","OK"))))))</f>
        <v/>
      </c>
    </row>
    <row r="101">
      <c r="A101" s="9" t="inlineStr"/>
      <c r="B101" s="2" t="inlineStr"/>
      <c r="C101" s="2" t="inlineStr"/>
      <c r="D101" s="2" t="inlineStr"/>
      <c r="E101" s="2">
        <f>IF(D101="","",IFERROR(XLOOKUP(TRIM(D101),INVENTARIO!$A$2:$A$2000,INVENTARIO!$B$2:$B$2000),"NO ENCONTRADO"))</f>
        <v/>
      </c>
      <c r="F101" s="2">
        <f>IF(D101="","",IFERROR(XLOOKUP(TRIM(D101),INVENTARIO!$A$2:$A$2000,INVENTARIO!$C$2:$C$2000),""))</f>
        <v/>
      </c>
      <c r="G101" s="2">
        <f>IF(D101="","",IF(E101="NO ENCONTRADO","CODIGO NO EXISTE",IF(COUNTIF($D$2:D101,D101)&gt;1,"DUPLICADO",IF(C101="","OK SIN PEDIDO",IF(COUNTIFS(PEDIDO_ITEMS!$A$2:$A$501,C101,PEDIDO_ITEMS!$B$2:$B$501,E101)=0,"NO PEDIDO",IF(COUNTIFS($C$2:C101,C101,$E$2:E101,E101)&gt;SUMIFS(PEDIDO_ITEMS!$C$2:$C$501,PEDIDO_ITEMS!$A$2:$A$501,C101,PEDIDO_ITEMS!$B$2:$B$501,E101),"EXCEDE PEDIDO","OK"))))))</f>
        <v/>
      </c>
    </row>
    <row r="102">
      <c r="A102" s="9" t="inlineStr"/>
      <c r="B102" s="2" t="inlineStr"/>
      <c r="C102" s="2" t="inlineStr"/>
      <c r="D102" s="2" t="inlineStr"/>
      <c r="E102" s="2">
        <f>IF(D102="","",IFERROR(XLOOKUP(TRIM(D102),INVENTARIO!$A$2:$A$2000,INVENTARIO!$B$2:$B$2000),"NO ENCONTRADO"))</f>
        <v/>
      </c>
      <c r="F102" s="2">
        <f>IF(D102="","",IFERROR(XLOOKUP(TRIM(D102),INVENTARIO!$A$2:$A$2000,INVENTARIO!$C$2:$C$2000),""))</f>
        <v/>
      </c>
      <c r="G102" s="2">
        <f>IF(D102="","",IF(E102="NO ENCONTRADO","CODIGO NO EXISTE",IF(COUNTIF($D$2:D102,D102)&gt;1,"DUPLICADO",IF(C102="","OK SIN PEDIDO",IF(COUNTIFS(PEDIDO_ITEMS!$A$2:$A$501,C102,PEDIDO_ITEMS!$B$2:$B$501,E102)=0,"NO PEDIDO",IF(COUNTIFS($C$2:C102,C102,$E$2:E102,E102)&gt;SUMIFS(PEDIDO_ITEMS!$C$2:$C$501,PEDIDO_ITEMS!$A$2:$A$501,C102,PEDIDO_ITEMS!$B$2:$B$501,E102),"EXCEDE PEDIDO","OK"))))))</f>
        <v/>
      </c>
    </row>
    <row r="103">
      <c r="A103" s="9" t="inlineStr"/>
      <c r="B103" s="2" t="inlineStr"/>
      <c r="C103" s="2" t="inlineStr"/>
      <c r="D103" s="2" t="inlineStr"/>
      <c r="E103" s="2">
        <f>IF(D103="","",IFERROR(XLOOKUP(TRIM(D103),INVENTARIO!$A$2:$A$2000,INVENTARIO!$B$2:$B$2000),"NO ENCONTRADO"))</f>
        <v/>
      </c>
      <c r="F103" s="2">
        <f>IF(D103="","",IFERROR(XLOOKUP(TRIM(D103),INVENTARIO!$A$2:$A$2000,INVENTARIO!$C$2:$C$2000),""))</f>
        <v/>
      </c>
      <c r="G103" s="2">
        <f>IF(D103="","",IF(E103="NO ENCONTRADO","CODIGO NO EXISTE",IF(COUNTIF($D$2:D103,D103)&gt;1,"DUPLICADO",IF(C103="","OK SIN PEDIDO",IF(COUNTIFS(PEDIDO_ITEMS!$A$2:$A$501,C103,PEDIDO_ITEMS!$B$2:$B$501,E103)=0,"NO PEDIDO",IF(COUNTIFS($C$2:C103,C103,$E$2:E103,E103)&gt;SUMIFS(PEDIDO_ITEMS!$C$2:$C$501,PEDIDO_ITEMS!$A$2:$A$501,C103,PEDIDO_ITEMS!$B$2:$B$501,E103),"EXCEDE PEDIDO","OK"))))))</f>
        <v/>
      </c>
    </row>
    <row r="104">
      <c r="A104" s="9" t="inlineStr"/>
      <c r="B104" s="2" t="inlineStr"/>
      <c r="C104" s="2" t="inlineStr"/>
      <c r="D104" s="2" t="inlineStr"/>
      <c r="E104" s="2">
        <f>IF(D104="","",IFERROR(XLOOKUP(TRIM(D104),INVENTARIO!$A$2:$A$2000,INVENTARIO!$B$2:$B$2000),"NO ENCONTRADO"))</f>
        <v/>
      </c>
      <c r="F104" s="2">
        <f>IF(D104="","",IFERROR(XLOOKUP(TRIM(D104),INVENTARIO!$A$2:$A$2000,INVENTARIO!$C$2:$C$2000),""))</f>
        <v/>
      </c>
      <c r="G104" s="2">
        <f>IF(D104="","",IF(E104="NO ENCONTRADO","CODIGO NO EXISTE",IF(COUNTIF($D$2:D104,D104)&gt;1,"DUPLICADO",IF(C104="","OK SIN PEDIDO",IF(COUNTIFS(PEDIDO_ITEMS!$A$2:$A$501,C104,PEDIDO_ITEMS!$B$2:$B$501,E104)=0,"NO PEDIDO",IF(COUNTIFS($C$2:C104,C104,$E$2:E104,E104)&gt;SUMIFS(PEDIDO_ITEMS!$C$2:$C$501,PEDIDO_ITEMS!$A$2:$A$501,C104,PEDIDO_ITEMS!$B$2:$B$501,E104),"EXCEDE PEDIDO","OK"))))))</f>
        <v/>
      </c>
    </row>
    <row r="105">
      <c r="A105" s="9" t="inlineStr"/>
      <c r="B105" s="2" t="inlineStr"/>
      <c r="C105" s="2" t="inlineStr"/>
      <c r="D105" s="2" t="inlineStr"/>
      <c r="E105" s="2">
        <f>IF(D105="","",IFERROR(XLOOKUP(TRIM(D105),INVENTARIO!$A$2:$A$2000,INVENTARIO!$B$2:$B$2000),"NO ENCONTRADO"))</f>
        <v/>
      </c>
      <c r="F105" s="2">
        <f>IF(D105="","",IFERROR(XLOOKUP(TRIM(D105),INVENTARIO!$A$2:$A$2000,INVENTARIO!$C$2:$C$2000),""))</f>
        <v/>
      </c>
      <c r="G105" s="2">
        <f>IF(D105="","",IF(E105="NO ENCONTRADO","CODIGO NO EXISTE",IF(COUNTIF($D$2:D105,D105)&gt;1,"DUPLICADO",IF(C105="","OK SIN PEDIDO",IF(COUNTIFS(PEDIDO_ITEMS!$A$2:$A$501,C105,PEDIDO_ITEMS!$B$2:$B$501,E105)=0,"NO PEDIDO",IF(COUNTIFS($C$2:C105,C105,$E$2:E105,E105)&gt;SUMIFS(PEDIDO_ITEMS!$C$2:$C$501,PEDIDO_ITEMS!$A$2:$A$501,C105,PEDIDO_ITEMS!$B$2:$B$501,E105),"EXCEDE PEDIDO","OK"))))))</f>
        <v/>
      </c>
    </row>
    <row r="106">
      <c r="A106" s="9" t="inlineStr"/>
      <c r="B106" s="2" t="inlineStr"/>
      <c r="C106" s="2" t="inlineStr"/>
      <c r="D106" s="2" t="inlineStr"/>
      <c r="E106" s="2">
        <f>IF(D106="","",IFERROR(XLOOKUP(TRIM(D106),INVENTARIO!$A$2:$A$2000,INVENTARIO!$B$2:$B$2000),"NO ENCONTRADO"))</f>
        <v/>
      </c>
      <c r="F106" s="2">
        <f>IF(D106="","",IFERROR(XLOOKUP(TRIM(D106),INVENTARIO!$A$2:$A$2000,INVENTARIO!$C$2:$C$2000),""))</f>
        <v/>
      </c>
      <c r="G106" s="2">
        <f>IF(D106="","",IF(E106="NO ENCONTRADO","CODIGO NO EXISTE",IF(COUNTIF($D$2:D106,D106)&gt;1,"DUPLICADO",IF(C106="","OK SIN PEDIDO",IF(COUNTIFS(PEDIDO_ITEMS!$A$2:$A$501,C106,PEDIDO_ITEMS!$B$2:$B$501,E106)=0,"NO PEDIDO",IF(COUNTIFS($C$2:C106,C106,$E$2:E106,E106)&gt;SUMIFS(PEDIDO_ITEMS!$C$2:$C$501,PEDIDO_ITEMS!$A$2:$A$501,C106,PEDIDO_ITEMS!$B$2:$B$501,E106),"EXCEDE PEDIDO","OK"))))))</f>
        <v/>
      </c>
    </row>
    <row r="107">
      <c r="A107" s="9" t="inlineStr"/>
      <c r="B107" s="2" t="inlineStr"/>
      <c r="C107" s="2" t="inlineStr"/>
      <c r="D107" s="2" t="inlineStr"/>
      <c r="E107" s="2">
        <f>IF(D107="","",IFERROR(XLOOKUP(TRIM(D107),INVENTARIO!$A$2:$A$2000,INVENTARIO!$B$2:$B$2000),"NO ENCONTRADO"))</f>
        <v/>
      </c>
      <c r="F107" s="2">
        <f>IF(D107="","",IFERROR(XLOOKUP(TRIM(D107),INVENTARIO!$A$2:$A$2000,INVENTARIO!$C$2:$C$2000),""))</f>
        <v/>
      </c>
      <c r="G107" s="2">
        <f>IF(D107="","",IF(E107="NO ENCONTRADO","CODIGO NO EXISTE",IF(COUNTIF($D$2:D107,D107)&gt;1,"DUPLICADO",IF(C107="","OK SIN PEDIDO",IF(COUNTIFS(PEDIDO_ITEMS!$A$2:$A$501,C107,PEDIDO_ITEMS!$B$2:$B$501,E107)=0,"NO PEDIDO",IF(COUNTIFS($C$2:C107,C107,$E$2:E107,E107)&gt;SUMIFS(PEDIDO_ITEMS!$C$2:$C$501,PEDIDO_ITEMS!$A$2:$A$501,C107,PEDIDO_ITEMS!$B$2:$B$501,E107),"EXCEDE PEDIDO","OK"))))))</f>
        <v/>
      </c>
    </row>
    <row r="108">
      <c r="A108" s="9" t="inlineStr"/>
      <c r="B108" s="2" t="inlineStr"/>
      <c r="C108" s="2" t="inlineStr"/>
      <c r="D108" s="2" t="inlineStr"/>
      <c r="E108" s="2">
        <f>IF(D108="","",IFERROR(XLOOKUP(TRIM(D108),INVENTARIO!$A$2:$A$2000,INVENTARIO!$B$2:$B$2000),"NO ENCONTRADO"))</f>
        <v/>
      </c>
      <c r="F108" s="2">
        <f>IF(D108="","",IFERROR(XLOOKUP(TRIM(D108),INVENTARIO!$A$2:$A$2000,INVENTARIO!$C$2:$C$2000),""))</f>
        <v/>
      </c>
      <c r="G108" s="2">
        <f>IF(D108="","",IF(E108="NO ENCONTRADO","CODIGO NO EXISTE",IF(COUNTIF($D$2:D108,D108)&gt;1,"DUPLICADO",IF(C108="","OK SIN PEDIDO",IF(COUNTIFS(PEDIDO_ITEMS!$A$2:$A$501,C108,PEDIDO_ITEMS!$B$2:$B$501,E108)=0,"NO PEDIDO",IF(COUNTIFS($C$2:C108,C108,$E$2:E108,E108)&gt;SUMIFS(PEDIDO_ITEMS!$C$2:$C$501,PEDIDO_ITEMS!$A$2:$A$501,C108,PEDIDO_ITEMS!$B$2:$B$501,E108),"EXCEDE PEDIDO","OK"))))))</f>
        <v/>
      </c>
    </row>
    <row r="109">
      <c r="A109" s="9" t="inlineStr"/>
      <c r="B109" s="2" t="inlineStr"/>
      <c r="C109" s="2" t="inlineStr"/>
      <c r="D109" s="2" t="inlineStr"/>
      <c r="E109" s="2">
        <f>IF(D109="","",IFERROR(XLOOKUP(TRIM(D109),INVENTARIO!$A$2:$A$2000,INVENTARIO!$B$2:$B$2000),"NO ENCONTRADO"))</f>
        <v/>
      </c>
      <c r="F109" s="2">
        <f>IF(D109="","",IFERROR(XLOOKUP(TRIM(D109),INVENTARIO!$A$2:$A$2000,INVENTARIO!$C$2:$C$2000),""))</f>
        <v/>
      </c>
      <c r="G109" s="2">
        <f>IF(D109="","",IF(E109="NO ENCONTRADO","CODIGO NO EXISTE",IF(COUNTIF($D$2:D109,D109)&gt;1,"DUPLICADO",IF(C109="","OK SIN PEDIDO",IF(COUNTIFS(PEDIDO_ITEMS!$A$2:$A$501,C109,PEDIDO_ITEMS!$B$2:$B$501,E109)=0,"NO PEDIDO",IF(COUNTIFS($C$2:C109,C109,$E$2:E109,E109)&gt;SUMIFS(PEDIDO_ITEMS!$C$2:$C$501,PEDIDO_ITEMS!$A$2:$A$501,C109,PEDIDO_ITEMS!$B$2:$B$501,E109),"EXCEDE PEDIDO","OK"))))))</f>
        <v/>
      </c>
    </row>
    <row r="110">
      <c r="A110" s="9" t="inlineStr"/>
      <c r="B110" s="2" t="inlineStr"/>
      <c r="C110" s="2" t="inlineStr"/>
      <c r="D110" s="2" t="inlineStr"/>
      <c r="E110" s="2">
        <f>IF(D110="","",IFERROR(XLOOKUP(TRIM(D110),INVENTARIO!$A$2:$A$2000,INVENTARIO!$B$2:$B$2000),"NO ENCONTRADO"))</f>
        <v/>
      </c>
      <c r="F110" s="2">
        <f>IF(D110="","",IFERROR(XLOOKUP(TRIM(D110),INVENTARIO!$A$2:$A$2000,INVENTARIO!$C$2:$C$2000),""))</f>
        <v/>
      </c>
      <c r="G110" s="2">
        <f>IF(D110="","",IF(E110="NO ENCONTRADO","CODIGO NO EXISTE",IF(COUNTIF($D$2:D110,D110)&gt;1,"DUPLICADO",IF(C110="","OK SIN PEDIDO",IF(COUNTIFS(PEDIDO_ITEMS!$A$2:$A$501,C110,PEDIDO_ITEMS!$B$2:$B$501,E110)=0,"NO PEDIDO",IF(COUNTIFS($C$2:C110,C110,$E$2:E110,E110)&gt;SUMIFS(PEDIDO_ITEMS!$C$2:$C$501,PEDIDO_ITEMS!$A$2:$A$501,C110,PEDIDO_ITEMS!$B$2:$B$501,E110),"EXCEDE PEDIDO","OK"))))))</f>
        <v/>
      </c>
    </row>
    <row r="111">
      <c r="A111" s="9" t="inlineStr"/>
      <c r="B111" s="2" t="inlineStr"/>
      <c r="C111" s="2" t="inlineStr"/>
      <c r="D111" s="2" t="inlineStr"/>
      <c r="E111" s="2">
        <f>IF(D111="","",IFERROR(XLOOKUP(TRIM(D111),INVENTARIO!$A$2:$A$2000,INVENTARIO!$B$2:$B$2000),"NO ENCONTRADO"))</f>
        <v/>
      </c>
      <c r="F111" s="2">
        <f>IF(D111="","",IFERROR(XLOOKUP(TRIM(D111),INVENTARIO!$A$2:$A$2000,INVENTARIO!$C$2:$C$2000),""))</f>
        <v/>
      </c>
      <c r="G111" s="2">
        <f>IF(D111="","",IF(E111="NO ENCONTRADO","CODIGO NO EXISTE",IF(COUNTIF($D$2:D111,D111)&gt;1,"DUPLICADO",IF(C111="","OK SIN PEDIDO",IF(COUNTIFS(PEDIDO_ITEMS!$A$2:$A$501,C111,PEDIDO_ITEMS!$B$2:$B$501,E111)=0,"NO PEDIDO",IF(COUNTIFS($C$2:C111,C111,$E$2:E111,E111)&gt;SUMIFS(PEDIDO_ITEMS!$C$2:$C$501,PEDIDO_ITEMS!$A$2:$A$501,C111,PEDIDO_ITEMS!$B$2:$B$501,E111),"EXCEDE PEDIDO","OK"))))))</f>
        <v/>
      </c>
    </row>
    <row r="112">
      <c r="A112" s="9" t="inlineStr"/>
      <c r="B112" s="2" t="inlineStr"/>
      <c r="C112" s="2" t="inlineStr"/>
      <c r="D112" s="2" t="inlineStr"/>
      <c r="E112" s="2">
        <f>IF(D112="","",IFERROR(XLOOKUP(TRIM(D112),INVENTARIO!$A$2:$A$2000,INVENTARIO!$B$2:$B$2000),"NO ENCONTRADO"))</f>
        <v/>
      </c>
      <c r="F112" s="2">
        <f>IF(D112="","",IFERROR(XLOOKUP(TRIM(D112),INVENTARIO!$A$2:$A$2000,INVENTARIO!$C$2:$C$2000),""))</f>
        <v/>
      </c>
      <c r="G112" s="2">
        <f>IF(D112="","",IF(E112="NO ENCONTRADO","CODIGO NO EXISTE",IF(COUNTIF($D$2:D112,D112)&gt;1,"DUPLICADO",IF(C112="","OK SIN PEDIDO",IF(COUNTIFS(PEDIDO_ITEMS!$A$2:$A$501,C112,PEDIDO_ITEMS!$B$2:$B$501,E112)=0,"NO PEDIDO",IF(COUNTIFS($C$2:C112,C112,$E$2:E112,E112)&gt;SUMIFS(PEDIDO_ITEMS!$C$2:$C$501,PEDIDO_ITEMS!$A$2:$A$501,C112,PEDIDO_ITEMS!$B$2:$B$501,E112),"EXCEDE PEDIDO","OK"))))))</f>
        <v/>
      </c>
    </row>
    <row r="113">
      <c r="A113" s="9" t="inlineStr"/>
      <c r="B113" s="2" t="inlineStr"/>
      <c r="C113" s="2" t="inlineStr"/>
      <c r="D113" s="2" t="inlineStr"/>
      <c r="E113" s="2">
        <f>IF(D113="","",IFERROR(XLOOKUP(TRIM(D113),INVENTARIO!$A$2:$A$2000,INVENTARIO!$B$2:$B$2000),"NO ENCONTRADO"))</f>
        <v/>
      </c>
      <c r="F113" s="2">
        <f>IF(D113="","",IFERROR(XLOOKUP(TRIM(D113),INVENTARIO!$A$2:$A$2000,INVENTARIO!$C$2:$C$2000),""))</f>
        <v/>
      </c>
      <c r="G113" s="2">
        <f>IF(D113="","",IF(E113="NO ENCONTRADO","CODIGO NO EXISTE",IF(COUNTIF($D$2:D113,D113)&gt;1,"DUPLICADO",IF(C113="","OK SIN PEDIDO",IF(COUNTIFS(PEDIDO_ITEMS!$A$2:$A$501,C113,PEDIDO_ITEMS!$B$2:$B$501,E113)=0,"NO PEDIDO",IF(COUNTIFS($C$2:C113,C113,$E$2:E113,E113)&gt;SUMIFS(PEDIDO_ITEMS!$C$2:$C$501,PEDIDO_ITEMS!$A$2:$A$501,C113,PEDIDO_ITEMS!$B$2:$B$501,E113),"EXCEDE PEDIDO","OK"))))))</f>
        <v/>
      </c>
    </row>
    <row r="114">
      <c r="A114" s="9" t="inlineStr"/>
      <c r="B114" s="2" t="inlineStr"/>
      <c r="C114" s="2" t="inlineStr"/>
      <c r="D114" s="2" t="inlineStr"/>
      <c r="E114" s="2">
        <f>IF(D114="","",IFERROR(XLOOKUP(TRIM(D114),INVENTARIO!$A$2:$A$2000,INVENTARIO!$B$2:$B$2000),"NO ENCONTRADO"))</f>
        <v/>
      </c>
      <c r="F114" s="2">
        <f>IF(D114="","",IFERROR(XLOOKUP(TRIM(D114),INVENTARIO!$A$2:$A$2000,INVENTARIO!$C$2:$C$2000),""))</f>
        <v/>
      </c>
      <c r="G114" s="2">
        <f>IF(D114="","",IF(E114="NO ENCONTRADO","CODIGO NO EXISTE",IF(COUNTIF($D$2:D114,D114)&gt;1,"DUPLICADO",IF(C114="","OK SIN PEDIDO",IF(COUNTIFS(PEDIDO_ITEMS!$A$2:$A$501,C114,PEDIDO_ITEMS!$B$2:$B$501,E114)=0,"NO PEDIDO",IF(COUNTIFS($C$2:C114,C114,$E$2:E114,E114)&gt;SUMIFS(PEDIDO_ITEMS!$C$2:$C$501,PEDIDO_ITEMS!$A$2:$A$501,C114,PEDIDO_ITEMS!$B$2:$B$501,E114),"EXCEDE PEDIDO","OK"))))))</f>
        <v/>
      </c>
    </row>
    <row r="115">
      <c r="A115" s="9" t="inlineStr"/>
      <c r="B115" s="2" t="inlineStr"/>
      <c r="C115" s="2" t="inlineStr"/>
      <c r="D115" s="2" t="inlineStr"/>
      <c r="E115" s="2">
        <f>IF(D115="","",IFERROR(XLOOKUP(TRIM(D115),INVENTARIO!$A$2:$A$2000,INVENTARIO!$B$2:$B$2000),"NO ENCONTRADO"))</f>
        <v/>
      </c>
      <c r="F115" s="2">
        <f>IF(D115="","",IFERROR(XLOOKUP(TRIM(D115),INVENTARIO!$A$2:$A$2000,INVENTARIO!$C$2:$C$2000),""))</f>
        <v/>
      </c>
      <c r="G115" s="2">
        <f>IF(D115="","",IF(E115="NO ENCONTRADO","CODIGO NO EXISTE",IF(COUNTIF($D$2:D115,D115)&gt;1,"DUPLICADO",IF(C115="","OK SIN PEDIDO",IF(COUNTIFS(PEDIDO_ITEMS!$A$2:$A$501,C115,PEDIDO_ITEMS!$B$2:$B$501,E115)=0,"NO PEDIDO",IF(COUNTIFS($C$2:C115,C115,$E$2:E115,E115)&gt;SUMIFS(PEDIDO_ITEMS!$C$2:$C$501,PEDIDO_ITEMS!$A$2:$A$501,C115,PEDIDO_ITEMS!$B$2:$B$501,E115),"EXCEDE PEDIDO","OK"))))))</f>
        <v/>
      </c>
    </row>
    <row r="116">
      <c r="A116" s="9" t="inlineStr"/>
      <c r="B116" s="2" t="inlineStr"/>
      <c r="C116" s="2" t="inlineStr"/>
      <c r="D116" s="2" t="inlineStr"/>
      <c r="E116" s="2">
        <f>IF(D116="","",IFERROR(XLOOKUP(TRIM(D116),INVENTARIO!$A$2:$A$2000,INVENTARIO!$B$2:$B$2000),"NO ENCONTRADO"))</f>
        <v/>
      </c>
      <c r="F116" s="2">
        <f>IF(D116="","",IFERROR(XLOOKUP(TRIM(D116),INVENTARIO!$A$2:$A$2000,INVENTARIO!$C$2:$C$2000),""))</f>
        <v/>
      </c>
      <c r="G116" s="2">
        <f>IF(D116="","",IF(E116="NO ENCONTRADO","CODIGO NO EXISTE",IF(COUNTIF($D$2:D116,D116)&gt;1,"DUPLICADO",IF(C116="","OK SIN PEDIDO",IF(COUNTIFS(PEDIDO_ITEMS!$A$2:$A$501,C116,PEDIDO_ITEMS!$B$2:$B$501,E116)=0,"NO PEDIDO",IF(COUNTIFS($C$2:C116,C116,$E$2:E116,E116)&gt;SUMIFS(PEDIDO_ITEMS!$C$2:$C$501,PEDIDO_ITEMS!$A$2:$A$501,C116,PEDIDO_ITEMS!$B$2:$B$501,E116),"EXCEDE PEDIDO","OK"))))))</f>
        <v/>
      </c>
    </row>
    <row r="117">
      <c r="A117" s="9" t="inlineStr"/>
      <c r="B117" s="2" t="inlineStr"/>
      <c r="C117" s="2" t="inlineStr"/>
      <c r="D117" s="2" t="inlineStr"/>
      <c r="E117" s="2">
        <f>IF(D117="","",IFERROR(XLOOKUP(TRIM(D117),INVENTARIO!$A$2:$A$2000,INVENTARIO!$B$2:$B$2000),"NO ENCONTRADO"))</f>
        <v/>
      </c>
      <c r="F117" s="2">
        <f>IF(D117="","",IFERROR(XLOOKUP(TRIM(D117),INVENTARIO!$A$2:$A$2000,INVENTARIO!$C$2:$C$2000),""))</f>
        <v/>
      </c>
      <c r="G117" s="2">
        <f>IF(D117="","",IF(E117="NO ENCONTRADO","CODIGO NO EXISTE",IF(COUNTIF($D$2:D117,D117)&gt;1,"DUPLICADO",IF(C117="","OK SIN PEDIDO",IF(COUNTIFS(PEDIDO_ITEMS!$A$2:$A$501,C117,PEDIDO_ITEMS!$B$2:$B$501,E117)=0,"NO PEDIDO",IF(COUNTIFS($C$2:C117,C117,$E$2:E117,E117)&gt;SUMIFS(PEDIDO_ITEMS!$C$2:$C$501,PEDIDO_ITEMS!$A$2:$A$501,C117,PEDIDO_ITEMS!$B$2:$B$501,E117),"EXCEDE PEDIDO","OK"))))))</f>
        <v/>
      </c>
    </row>
    <row r="118">
      <c r="A118" s="9" t="inlineStr"/>
      <c r="B118" s="2" t="inlineStr"/>
      <c r="C118" s="2" t="inlineStr"/>
      <c r="D118" s="2" t="inlineStr"/>
      <c r="E118" s="2">
        <f>IF(D118="","",IFERROR(XLOOKUP(TRIM(D118),INVENTARIO!$A$2:$A$2000,INVENTARIO!$B$2:$B$2000),"NO ENCONTRADO"))</f>
        <v/>
      </c>
      <c r="F118" s="2">
        <f>IF(D118="","",IFERROR(XLOOKUP(TRIM(D118),INVENTARIO!$A$2:$A$2000,INVENTARIO!$C$2:$C$2000),""))</f>
        <v/>
      </c>
      <c r="G118" s="2">
        <f>IF(D118="","",IF(E118="NO ENCONTRADO","CODIGO NO EXISTE",IF(COUNTIF($D$2:D118,D118)&gt;1,"DUPLICADO",IF(C118="","OK SIN PEDIDO",IF(COUNTIFS(PEDIDO_ITEMS!$A$2:$A$501,C118,PEDIDO_ITEMS!$B$2:$B$501,E118)=0,"NO PEDIDO",IF(COUNTIFS($C$2:C118,C118,$E$2:E118,E118)&gt;SUMIFS(PEDIDO_ITEMS!$C$2:$C$501,PEDIDO_ITEMS!$A$2:$A$501,C118,PEDIDO_ITEMS!$B$2:$B$501,E118),"EXCEDE PEDIDO","OK"))))))</f>
        <v/>
      </c>
    </row>
    <row r="119">
      <c r="A119" s="9" t="inlineStr"/>
      <c r="B119" s="2" t="inlineStr"/>
      <c r="C119" s="2" t="inlineStr"/>
      <c r="D119" s="2" t="inlineStr"/>
      <c r="E119" s="2">
        <f>IF(D119="","",IFERROR(XLOOKUP(TRIM(D119),INVENTARIO!$A$2:$A$2000,INVENTARIO!$B$2:$B$2000),"NO ENCONTRADO"))</f>
        <v/>
      </c>
      <c r="F119" s="2">
        <f>IF(D119="","",IFERROR(XLOOKUP(TRIM(D119),INVENTARIO!$A$2:$A$2000,INVENTARIO!$C$2:$C$2000),""))</f>
        <v/>
      </c>
      <c r="G119" s="2">
        <f>IF(D119="","",IF(E119="NO ENCONTRADO","CODIGO NO EXISTE",IF(COUNTIF($D$2:D119,D119)&gt;1,"DUPLICADO",IF(C119="","OK SIN PEDIDO",IF(COUNTIFS(PEDIDO_ITEMS!$A$2:$A$501,C119,PEDIDO_ITEMS!$B$2:$B$501,E119)=0,"NO PEDIDO",IF(COUNTIFS($C$2:C119,C119,$E$2:E119,E119)&gt;SUMIFS(PEDIDO_ITEMS!$C$2:$C$501,PEDIDO_ITEMS!$A$2:$A$501,C119,PEDIDO_ITEMS!$B$2:$B$501,E119),"EXCEDE PEDIDO","OK"))))))</f>
        <v/>
      </c>
    </row>
    <row r="120">
      <c r="A120" s="9" t="inlineStr"/>
      <c r="B120" s="2" t="inlineStr"/>
      <c r="C120" s="2" t="inlineStr"/>
      <c r="D120" s="2" t="inlineStr"/>
      <c r="E120" s="2">
        <f>IF(D120="","",IFERROR(XLOOKUP(TRIM(D120),INVENTARIO!$A$2:$A$2000,INVENTARIO!$B$2:$B$2000),"NO ENCONTRADO"))</f>
        <v/>
      </c>
      <c r="F120" s="2">
        <f>IF(D120="","",IFERROR(XLOOKUP(TRIM(D120),INVENTARIO!$A$2:$A$2000,INVENTARIO!$C$2:$C$2000),""))</f>
        <v/>
      </c>
      <c r="G120" s="2">
        <f>IF(D120="","",IF(E120="NO ENCONTRADO","CODIGO NO EXISTE",IF(COUNTIF($D$2:D120,D120)&gt;1,"DUPLICADO",IF(C120="","OK SIN PEDIDO",IF(COUNTIFS(PEDIDO_ITEMS!$A$2:$A$501,C120,PEDIDO_ITEMS!$B$2:$B$501,E120)=0,"NO PEDIDO",IF(COUNTIFS($C$2:C120,C120,$E$2:E120,E120)&gt;SUMIFS(PEDIDO_ITEMS!$C$2:$C$501,PEDIDO_ITEMS!$A$2:$A$501,C120,PEDIDO_ITEMS!$B$2:$B$501,E120),"EXCEDE PEDIDO","OK"))))))</f>
        <v/>
      </c>
    </row>
    <row r="121">
      <c r="A121" s="9" t="inlineStr"/>
      <c r="B121" s="2" t="inlineStr"/>
      <c r="C121" s="2" t="inlineStr"/>
      <c r="D121" s="2" t="inlineStr"/>
      <c r="E121" s="2">
        <f>IF(D121="","",IFERROR(XLOOKUP(TRIM(D121),INVENTARIO!$A$2:$A$2000,INVENTARIO!$B$2:$B$2000),"NO ENCONTRADO"))</f>
        <v/>
      </c>
      <c r="F121" s="2">
        <f>IF(D121="","",IFERROR(XLOOKUP(TRIM(D121),INVENTARIO!$A$2:$A$2000,INVENTARIO!$C$2:$C$2000),""))</f>
        <v/>
      </c>
      <c r="G121" s="2">
        <f>IF(D121="","",IF(E121="NO ENCONTRADO","CODIGO NO EXISTE",IF(COUNTIF($D$2:D121,D121)&gt;1,"DUPLICADO",IF(C121="","OK SIN PEDIDO",IF(COUNTIFS(PEDIDO_ITEMS!$A$2:$A$501,C121,PEDIDO_ITEMS!$B$2:$B$501,E121)=0,"NO PEDIDO",IF(COUNTIFS($C$2:C121,C121,$E$2:E121,E121)&gt;SUMIFS(PEDIDO_ITEMS!$C$2:$C$501,PEDIDO_ITEMS!$A$2:$A$501,C121,PEDIDO_ITEMS!$B$2:$B$501,E121),"EXCEDE PEDIDO","OK"))))))</f>
        <v/>
      </c>
    </row>
    <row r="122">
      <c r="A122" s="9" t="inlineStr"/>
      <c r="B122" s="2" t="inlineStr"/>
      <c r="C122" s="2" t="inlineStr"/>
      <c r="D122" s="2" t="inlineStr"/>
      <c r="E122" s="2">
        <f>IF(D122="","",IFERROR(XLOOKUP(TRIM(D122),INVENTARIO!$A$2:$A$2000,INVENTARIO!$B$2:$B$2000),"NO ENCONTRADO"))</f>
        <v/>
      </c>
      <c r="F122" s="2">
        <f>IF(D122="","",IFERROR(XLOOKUP(TRIM(D122),INVENTARIO!$A$2:$A$2000,INVENTARIO!$C$2:$C$2000),""))</f>
        <v/>
      </c>
      <c r="G122" s="2">
        <f>IF(D122="","",IF(E122="NO ENCONTRADO","CODIGO NO EXISTE",IF(COUNTIF($D$2:D122,D122)&gt;1,"DUPLICADO",IF(C122="","OK SIN PEDIDO",IF(COUNTIFS(PEDIDO_ITEMS!$A$2:$A$501,C122,PEDIDO_ITEMS!$B$2:$B$501,E122)=0,"NO PEDIDO",IF(COUNTIFS($C$2:C122,C122,$E$2:E122,E122)&gt;SUMIFS(PEDIDO_ITEMS!$C$2:$C$501,PEDIDO_ITEMS!$A$2:$A$501,C122,PEDIDO_ITEMS!$B$2:$B$501,E122),"EXCEDE PEDIDO","OK"))))))</f>
        <v/>
      </c>
    </row>
    <row r="123">
      <c r="A123" s="9" t="inlineStr"/>
      <c r="B123" s="2" t="inlineStr"/>
      <c r="C123" s="2" t="inlineStr"/>
      <c r="D123" s="2" t="inlineStr"/>
      <c r="E123" s="2">
        <f>IF(D123="","",IFERROR(XLOOKUP(TRIM(D123),INVENTARIO!$A$2:$A$2000,INVENTARIO!$B$2:$B$2000),"NO ENCONTRADO"))</f>
        <v/>
      </c>
      <c r="F123" s="2">
        <f>IF(D123="","",IFERROR(XLOOKUP(TRIM(D123),INVENTARIO!$A$2:$A$2000,INVENTARIO!$C$2:$C$2000),""))</f>
        <v/>
      </c>
      <c r="G123" s="2">
        <f>IF(D123="","",IF(E123="NO ENCONTRADO","CODIGO NO EXISTE",IF(COUNTIF($D$2:D123,D123)&gt;1,"DUPLICADO",IF(C123="","OK SIN PEDIDO",IF(COUNTIFS(PEDIDO_ITEMS!$A$2:$A$501,C123,PEDIDO_ITEMS!$B$2:$B$501,E123)=0,"NO PEDIDO",IF(COUNTIFS($C$2:C123,C123,$E$2:E123,E123)&gt;SUMIFS(PEDIDO_ITEMS!$C$2:$C$501,PEDIDO_ITEMS!$A$2:$A$501,C123,PEDIDO_ITEMS!$B$2:$B$501,E123),"EXCEDE PEDIDO","OK"))))))</f>
        <v/>
      </c>
    </row>
    <row r="124">
      <c r="A124" s="9" t="inlineStr"/>
      <c r="B124" s="2" t="inlineStr"/>
      <c r="C124" s="2" t="inlineStr"/>
      <c r="D124" s="2" t="inlineStr"/>
      <c r="E124" s="2">
        <f>IF(D124="","",IFERROR(XLOOKUP(TRIM(D124),INVENTARIO!$A$2:$A$2000,INVENTARIO!$B$2:$B$2000),"NO ENCONTRADO"))</f>
        <v/>
      </c>
      <c r="F124" s="2">
        <f>IF(D124="","",IFERROR(XLOOKUP(TRIM(D124),INVENTARIO!$A$2:$A$2000,INVENTARIO!$C$2:$C$2000),""))</f>
        <v/>
      </c>
      <c r="G124" s="2">
        <f>IF(D124="","",IF(E124="NO ENCONTRADO","CODIGO NO EXISTE",IF(COUNTIF($D$2:D124,D124)&gt;1,"DUPLICADO",IF(C124="","OK SIN PEDIDO",IF(COUNTIFS(PEDIDO_ITEMS!$A$2:$A$501,C124,PEDIDO_ITEMS!$B$2:$B$501,E124)=0,"NO PEDIDO",IF(COUNTIFS($C$2:C124,C124,$E$2:E124,E124)&gt;SUMIFS(PEDIDO_ITEMS!$C$2:$C$501,PEDIDO_ITEMS!$A$2:$A$501,C124,PEDIDO_ITEMS!$B$2:$B$501,E124),"EXCEDE PEDIDO","OK"))))))</f>
        <v/>
      </c>
    </row>
    <row r="125">
      <c r="A125" s="9" t="inlineStr"/>
      <c r="B125" s="2" t="inlineStr"/>
      <c r="C125" s="2" t="inlineStr"/>
      <c r="D125" s="2" t="inlineStr"/>
      <c r="E125" s="2">
        <f>IF(D125="","",IFERROR(XLOOKUP(TRIM(D125),INVENTARIO!$A$2:$A$2000,INVENTARIO!$B$2:$B$2000),"NO ENCONTRADO"))</f>
        <v/>
      </c>
      <c r="F125" s="2">
        <f>IF(D125="","",IFERROR(XLOOKUP(TRIM(D125),INVENTARIO!$A$2:$A$2000,INVENTARIO!$C$2:$C$2000),""))</f>
        <v/>
      </c>
      <c r="G125" s="2">
        <f>IF(D125="","",IF(E125="NO ENCONTRADO","CODIGO NO EXISTE",IF(COUNTIF($D$2:D125,D125)&gt;1,"DUPLICADO",IF(C125="","OK SIN PEDIDO",IF(COUNTIFS(PEDIDO_ITEMS!$A$2:$A$501,C125,PEDIDO_ITEMS!$B$2:$B$501,E125)=0,"NO PEDIDO",IF(COUNTIFS($C$2:C125,C125,$E$2:E125,E125)&gt;SUMIFS(PEDIDO_ITEMS!$C$2:$C$501,PEDIDO_ITEMS!$A$2:$A$501,C125,PEDIDO_ITEMS!$B$2:$B$501,E125),"EXCEDE PEDIDO","OK"))))))</f>
        <v/>
      </c>
    </row>
    <row r="126">
      <c r="A126" s="9" t="inlineStr"/>
      <c r="B126" s="2" t="inlineStr"/>
      <c r="C126" s="2" t="inlineStr"/>
      <c r="D126" s="2" t="inlineStr"/>
      <c r="E126" s="2">
        <f>IF(D126="","",IFERROR(XLOOKUP(TRIM(D126),INVENTARIO!$A$2:$A$2000,INVENTARIO!$B$2:$B$2000),"NO ENCONTRADO"))</f>
        <v/>
      </c>
      <c r="F126" s="2">
        <f>IF(D126="","",IFERROR(XLOOKUP(TRIM(D126),INVENTARIO!$A$2:$A$2000,INVENTARIO!$C$2:$C$2000),""))</f>
        <v/>
      </c>
      <c r="G126" s="2">
        <f>IF(D126="","",IF(E126="NO ENCONTRADO","CODIGO NO EXISTE",IF(COUNTIF($D$2:D126,D126)&gt;1,"DUPLICADO",IF(C126="","OK SIN PEDIDO",IF(COUNTIFS(PEDIDO_ITEMS!$A$2:$A$501,C126,PEDIDO_ITEMS!$B$2:$B$501,E126)=0,"NO PEDIDO",IF(COUNTIFS($C$2:C126,C126,$E$2:E126,E126)&gt;SUMIFS(PEDIDO_ITEMS!$C$2:$C$501,PEDIDO_ITEMS!$A$2:$A$501,C126,PEDIDO_ITEMS!$B$2:$B$501,E126),"EXCEDE PEDIDO","OK"))))))</f>
        <v/>
      </c>
    </row>
    <row r="127">
      <c r="A127" s="9" t="inlineStr"/>
      <c r="B127" s="2" t="inlineStr"/>
      <c r="C127" s="2" t="inlineStr"/>
      <c r="D127" s="2" t="inlineStr"/>
      <c r="E127" s="2">
        <f>IF(D127="","",IFERROR(XLOOKUP(TRIM(D127),INVENTARIO!$A$2:$A$2000,INVENTARIO!$B$2:$B$2000),"NO ENCONTRADO"))</f>
        <v/>
      </c>
      <c r="F127" s="2">
        <f>IF(D127="","",IFERROR(XLOOKUP(TRIM(D127),INVENTARIO!$A$2:$A$2000,INVENTARIO!$C$2:$C$2000),""))</f>
        <v/>
      </c>
      <c r="G127" s="2">
        <f>IF(D127="","",IF(E127="NO ENCONTRADO","CODIGO NO EXISTE",IF(COUNTIF($D$2:D127,D127)&gt;1,"DUPLICADO",IF(C127="","OK SIN PEDIDO",IF(COUNTIFS(PEDIDO_ITEMS!$A$2:$A$501,C127,PEDIDO_ITEMS!$B$2:$B$501,E127)=0,"NO PEDIDO",IF(COUNTIFS($C$2:C127,C127,$E$2:E127,E127)&gt;SUMIFS(PEDIDO_ITEMS!$C$2:$C$501,PEDIDO_ITEMS!$A$2:$A$501,C127,PEDIDO_ITEMS!$B$2:$B$501,E127),"EXCEDE PEDIDO","OK"))))))</f>
        <v/>
      </c>
    </row>
    <row r="128">
      <c r="A128" s="9" t="inlineStr"/>
      <c r="B128" s="2" t="inlineStr"/>
      <c r="C128" s="2" t="inlineStr"/>
      <c r="D128" s="2" t="inlineStr"/>
      <c r="E128" s="2">
        <f>IF(D128="","",IFERROR(XLOOKUP(TRIM(D128),INVENTARIO!$A$2:$A$2000,INVENTARIO!$B$2:$B$2000),"NO ENCONTRADO"))</f>
        <v/>
      </c>
      <c r="F128" s="2">
        <f>IF(D128="","",IFERROR(XLOOKUP(TRIM(D128),INVENTARIO!$A$2:$A$2000,INVENTARIO!$C$2:$C$2000),""))</f>
        <v/>
      </c>
      <c r="G128" s="2">
        <f>IF(D128="","",IF(E128="NO ENCONTRADO","CODIGO NO EXISTE",IF(COUNTIF($D$2:D128,D128)&gt;1,"DUPLICADO",IF(C128="","OK SIN PEDIDO",IF(COUNTIFS(PEDIDO_ITEMS!$A$2:$A$501,C128,PEDIDO_ITEMS!$B$2:$B$501,E128)=0,"NO PEDIDO",IF(COUNTIFS($C$2:C128,C128,$E$2:E128,E128)&gt;SUMIFS(PEDIDO_ITEMS!$C$2:$C$501,PEDIDO_ITEMS!$A$2:$A$501,C128,PEDIDO_ITEMS!$B$2:$B$501,E128),"EXCEDE PEDIDO","OK"))))))</f>
        <v/>
      </c>
    </row>
    <row r="129">
      <c r="A129" s="9" t="inlineStr"/>
      <c r="B129" s="2" t="inlineStr"/>
      <c r="C129" s="2" t="inlineStr"/>
      <c r="D129" s="2" t="inlineStr"/>
      <c r="E129" s="2">
        <f>IF(D129="","",IFERROR(XLOOKUP(TRIM(D129),INVENTARIO!$A$2:$A$2000,INVENTARIO!$B$2:$B$2000),"NO ENCONTRADO"))</f>
        <v/>
      </c>
      <c r="F129" s="2">
        <f>IF(D129="","",IFERROR(XLOOKUP(TRIM(D129),INVENTARIO!$A$2:$A$2000,INVENTARIO!$C$2:$C$2000),""))</f>
        <v/>
      </c>
      <c r="G129" s="2">
        <f>IF(D129="","",IF(E129="NO ENCONTRADO","CODIGO NO EXISTE",IF(COUNTIF($D$2:D129,D129)&gt;1,"DUPLICADO",IF(C129="","OK SIN PEDIDO",IF(COUNTIFS(PEDIDO_ITEMS!$A$2:$A$501,C129,PEDIDO_ITEMS!$B$2:$B$501,E129)=0,"NO PEDIDO",IF(COUNTIFS($C$2:C129,C129,$E$2:E129,E129)&gt;SUMIFS(PEDIDO_ITEMS!$C$2:$C$501,PEDIDO_ITEMS!$A$2:$A$501,C129,PEDIDO_ITEMS!$B$2:$B$501,E129),"EXCEDE PEDIDO","OK"))))))</f>
        <v/>
      </c>
    </row>
    <row r="130">
      <c r="A130" s="9" t="inlineStr"/>
      <c r="B130" s="2" t="inlineStr"/>
      <c r="C130" s="2" t="inlineStr"/>
      <c r="D130" s="2" t="inlineStr"/>
      <c r="E130" s="2">
        <f>IF(D130="","",IFERROR(XLOOKUP(TRIM(D130),INVENTARIO!$A$2:$A$2000,INVENTARIO!$B$2:$B$2000),"NO ENCONTRADO"))</f>
        <v/>
      </c>
      <c r="F130" s="2">
        <f>IF(D130="","",IFERROR(XLOOKUP(TRIM(D130),INVENTARIO!$A$2:$A$2000,INVENTARIO!$C$2:$C$2000),""))</f>
        <v/>
      </c>
      <c r="G130" s="2">
        <f>IF(D130="","",IF(E130="NO ENCONTRADO","CODIGO NO EXISTE",IF(COUNTIF($D$2:D130,D130)&gt;1,"DUPLICADO",IF(C130="","OK SIN PEDIDO",IF(COUNTIFS(PEDIDO_ITEMS!$A$2:$A$501,C130,PEDIDO_ITEMS!$B$2:$B$501,E130)=0,"NO PEDIDO",IF(COUNTIFS($C$2:C130,C130,$E$2:E130,E130)&gt;SUMIFS(PEDIDO_ITEMS!$C$2:$C$501,PEDIDO_ITEMS!$A$2:$A$501,C130,PEDIDO_ITEMS!$B$2:$B$501,E130),"EXCEDE PEDIDO","OK"))))))</f>
        <v/>
      </c>
    </row>
    <row r="131">
      <c r="A131" s="9" t="inlineStr"/>
      <c r="B131" s="2" t="inlineStr"/>
      <c r="C131" s="2" t="inlineStr"/>
      <c r="D131" s="2" t="inlineStr"/>
      <c r="E131" s="2">
        <f>IF(D131="","",IFERROR(XLOOKUP(TRIM(D131),INVENTARIO!$A$2:$A$2000,INVENTARIO!$B$2:$B$2000),"NO ENCONTRADO"))</f>
        <v/>
      </c>
      <c r="F131" s="2">
        <f>IF(D131="","",IFERROR(XLOOKUP(TRIM(D131),INVENTARIO!$A$2:$A$2000,INVENTARIO!$C$2:$C$2000),""))</f>
        <v/>
      </c>
      <c r="G131" s="2">
        <f>IF(D131="","",IF(E131="NO ENCONTRADO","CODIGO NO EXISTE",IF(COUNTIF($D$2:D131,D131)&gt;1,"DUPLICADO",IF(C131="","OK SIN PEDIDO",IF(COUNTIFS(PEDIDO_ITEMS!$A$2:$A$501,C131,PEDIDO_ITEMS!$B$2:$B$501,E131)=0,"NO PEDIDO",IF(COUNTIFS($C$2:C131,C131,$E$2:E131,E131)&gt;SUMIFS(PEDIDO_ITEMS!$C$2:$C$501,PEDIDO_ITEMS!$A$2:$A$501,C131,PEDIDO_ITEMS!$B$2:$B$501,E131),"EXCEDE PEDIDO","OK"))))))</f>
        <v/>
      </c>
    </row>
    <row r="132">
      <c r="A132" s="9" t="inlineStr"/>
      <c r="B132" s="2" t="inlineStr"/>
      <c r="C132" s="2" t="inlineStr"/>
      <c r="D132" s="2" t="inlineStr"/>
      <c r="E132" s="2">
        <f>IF(D132="","",IFERROR(XLOOKUP(TRIM(D132),INVENTARIO!$A$2:$A$2000,INVENTARIO!$B$2:$B$2000),"NO ENCONTRADO"))</f>
        <v/>
      </c>
      <c r="F132" s="2">
        <f>IF(D132="","",IFERROR(XLOOKUP(TRIM(D132),INVENTARIO!$A$2:$A$2000,INVENTARIO!$C$2:$C$2000),""))</f>
        <v/>
      </c>
      <c r="G132" s="2">
        <f>IF(D132="","",IF(E132="NO ENCONTRADO","CODIGO NO EXISTE",IF(COUNTIF($D$2:D132,D132)&gt;1,"DUPLICADO",IF(C132="","OK SIN PEDIDO",IF(COUNTIFS(PEDIDO_ITEMS!$A$2:$A$501,C132,PEDIDO_ITEMS!$B$2:$B$501,E132)=0,"NO PEDIDO",IF(COUNTIFS($C$2:C132,C132,$E$2:E132,E132)&gt;SUMIFS(PEDIDO_ITEMS!$C$2:$C$501,PEDIDO_ITEMS!$A$2:$A$501,C132,PEDIDO_ITEMS!$B$2:$B$501,E132),"EXCEDE PEDIDO","OK"))))))</f>
        <v/>
      </c>
    </row>
    <row r="133">
      <c r="A133" s="9" t="inlineStr"/>
      <c r="B133" s="2" t="inlineStr"/>
      <c r="C133" s="2" t="inlineStr"/>
      <c r="D133" s="2" t="inlineStr"/>
      <c r="E133" s="2">
        <f>IF(D133="","",IFERROR(XLOOKUP(TRIM(D133),INVENTARIO!$A$2:$A$2000,INVENTARIO!$B$2:$B$2000),"NO ENCONTRADO"))</f>
        <v/>
      </c>
      <c r="F133" s="2">
        <f>IF(D133="","",IFERROR(XLOOKUP(TRIM(D133),INVENTARIO!$A$2:$A$2000,INVENTARIO!$C$2:$C$2000),""))</f>
        <v/>
      </c>
      <c r="G133" s="2">
        <f>IF(D133="","",IF(E133="NO ENCONTRADO","CODIGO NO EXISTE",IF(COUNTIF($D$2:D133,D133)&gt;1,"DUPLICADO",IF(C133="","OK SIN PEDIDO",IF(COUNTIFS(PEDIDO_ITEMS!$A$2:$A$501,C133,PEDIDO_ITEMS!$B$2:$B$501,E133)=0,"NO PEDIDO",IF(COUNTIFS($C$2:C133,C133,$E$2:E133,E133)&gt;SUMIFS(PEDIDO_ITEMS!$C$2:$C$501,PEDIDO_ITEMS!$A$2:$A$501,C133,PEDIDO_ITEMS!$B$2:$B$501,E133),"EXCEDE PEDIDO","OK"))))))</f>
        <v/>
      </c>
    </row>
    <row r="134">
      <c r="A134" s="9" t="inlineStr"/>
      <c r="B134" s="2" t="inlineStr"/>
      <c r="C134" s="2" t="inlineStr"/>
      <c r="D134" s="2" t="inlineStr"/>
      <c r="E134" s="2">
        <f>IF(D134="","",IFERROR(XLOOKUP(TRIM(D134),INVENTARIO!$A$2:$A$2000,INVENTARIO!$B$2:$B$2000),"NO ENCONTRADO"))</f>
        <v/>
      </c>
      <c r="F134" s="2">
        <f>IF(D134="","",IFERROR(XLOOKUP(TRIM(D134),INVENTARIO!$A$2:$A$2000,INVENTARIO!$C$2:$C$2000),""))</f>
        <v/>
      </c>
      <c r="G134" s="2">
        <f>IF(D134="","",IF(E134="NO ENCONTRADO","CODIGO NO EXISTE",IF(COUNTIF($D$2:D134,D134)&gt;1,"DUPLICADO",IF(C134="","OK SIN PEDIDO",IF(COUNTIFS(PEDIDO_ITEMS!$A$2:$A$501,C134,PEDIDO_ITEMS!$B$2:$B$501,E134)=0,"NO PEDIDO",IF(COUNTIFS($C$2:C134,C134,$E$2:E134,E134)&gt;SUMIFS(PEDIDO_ITEMS!$C$2:$C$501,PEDIDO_ITEMS!$A$2:$A$501,C134,PEDIDO_ITEMS!$B$2:$B$501,E134),"EXCEDE PEDIDO","OK"))))))</f>
        <v/>
      </c>
    </row>
    <row r="135">
      <c r="A135" s="9" t="inlineStr"/>
      <c r="B135" s="2" t="inlineStr"/>
      <c r="C135" s="2" t="inlineStr"/>
      <c r="D135" s="2" t="inlineStr"/>
      <c r="E135" s="2">
        <f>IF(D135="","",IFERROR(XLOOKUP(TRIM(D135),INVENTARIO!$A$2:$A$2000,INVENTARIO!$B$2:$B$2000),"NO ENCONTRADO"))</f>
        <v/>
      </c>
      <c r="F135" s="2">
        <f>IF(D135="","",IFERROR(XLOOKUP(TRIM(D135),INVENTARIO!$A$2:$A$2000,INVENTARIO!$C$2:$C$2000),""))</f>
        <v/>
      </c>
      <c r="G135" s="2">
        <f>IF(D135="","",IF(E135="NO ENCONTRADO","CODIGO NO EXISTE",IF(COUNTIF($D$2:D135,D135)&gt;1,"DUPLICADO",IF(C135="","OK SIN PEDIDO",IF(COUNTIFS(PEDIDO_ITEMS!$A$2:$A$501,C135,PEDIDO_ITEMS!$B$2:$B$501,E135)=0,"NO PEDIDO",IF(COUNTIFS($C$2:C135,C135,$E$2:E135,E135)&gt;SUMIFS(PEDIDO_ITEMS!$C$2:$C$501,PEDIDO_ITEMS!$A$2:$A$501,C135,PEDIDO_ITEMS!$B$2:$B$501,E135),"EXCEDE PEDIDO","OK"))))))</f>
        <v/>
      </c>
    </row>
    <row r="136">
      <c r="A136" s="9" t="inlineStr"/>
      <c r="B136" s="2" t="inlineStr"/>
      <c r="C136" s="2" t="inlineStr"/>
      <c r="D136" s="2" t="inlineStr"/>
      <c r="E136" s="2">
        <f>IF(D136="","",IFERROR(XLOOKUP(TRIM(D136),INVENTARIO!$A$2:$A$2000,INVENTARIO!$B$2:$B$2000),"NO ENCONTRADO"))</f>
        <v/>
      </c>
      <c r="F136" s="2">
        <f>IF(D136="","",IFERROR(XLOOKUP(TRIM(D136),INVENTARIO!$A$2:$A$2000,INVENTARIO!$C$2:$C$2000),""))</f>
        <v/>
      </c>
      <c r="G136" s="2">
        <f>IF(D136="","",IF(E136="NO ENCONTRADO","CODIGO NO EXISTE",IF(COUNTIF($D$2:D136,D136)&gt;1,"DUPLICADO",IF(C136="","OK SIN PEDIDO",IF(COUNTIFS(PEDIDO_ITEMS!$A$2:$A$501,C136,PEDIDO_ITEMS!$B$2:$B$501,E136)=0,"NO PEDIDO",IF(COUNTIFS($C$2:C136,C136,$E$2:E136,E136)&gt;SUMIFS(PEDIDO_ITEMS!$C$2:$C$501,PEDIDO_ITEMS!$A$2:$A$501,C136,PEDIDO_ITEMS!$B$2:$B$501,E136),"EXCEDE PEDIDO","OK"))))))</f>
        <v/>
      </c>
    </row>
    <row r="137">
      <c r="A137" s="9" t="inlineStr"/>
      <c r="B137" s="2" t="inlineStr"/>
      <c r="C137" s="2" t="inlineStr"/>
      <c r="D137" s="2" t="inlineStr"/>
      <c r="E137" s="2">
        <f>IF(D137="","",IFERROR(XLOOKUP(TRIM(D137),INVENTARIO!$A$2:$A$2000,INVENTARIO!$B$2:$B$2000),"NO ENCONTRADO"))</f>
        <v/>
      </c>
      <c r="F137" s="2">
        <f>IF(D137="","",IFERROR(XLOOKUP(TRIM(D137),INVENTARIO!$A$2:$A$2000,INVENTARIO!$C$2:$C$2000),""))</f>
        <v/>
      </c>
      <c r="G137" s="2">
        <f>IF(D137="","",IF(E137="NO ENCONTRADO","CODIGO NO EXISTE",IF(COUNTIF($D$2:D137,D137)&gt;1,"DUPLICADO",IF(C137="","OK SIN PEDIDO",IF(COUNTIFS(PEDIDO_ITEMS!$A$2:$A$501,C137,PEDIDO_ITEMS!$B$2:$B$501,E137)=0,"NO PEDIDO",IF(COUNTIFS($C$2:C137,C137,$E$2:E137,E137)&gt;SUMIFS(PEDIDO_ITEMS!$C$2:$C$501,PEDIDO_ITEMS!$A$2:$A$501,C137,PEDIDO_ITEMS!$B$2:$B$501,E137),"EXCEDE PEDIDO","OK"))))))</f>
        <v/>
      </c>
    </row>
    <row r="138">
      <c r="A138" s="9" t="inlineStr"/>
      <c r="B138" s="2" t="inlineStr"/>
      <c r="C138" s="2" t="inlineStr"/>
      <c r="D138" s="2" t="inlineStr"/>
      <c r="E138" s="2">
        <f>IF(D138="","",IFERROR(XLOOKUP(TRIM(D138),INVENTARIO!$A$2:$A$2000,INVENTARIO!$B$2:$B$2000),"NO ENCONTRADO"))</f>
        <v/>
      </c>
      <c r="F138" s="2">
        <f>IF(D138="","",IFERROR(XLOOKUP(TRIM(D138),INVENTARIO!$A$2:$A$2000,INVENTARIO!$C$2:$C$2000),""))</f>
        <v/>
      </c>
      <c r="G138" s="2">
        <f>IF(D138="","",IF(E138="NO ENCONTRADO","CODIGO NO EXISTE",IF(COUNTIF($D$2:D138,D138)&gt;1,"DUPLICADO",IF(C138="","OK SIN PEDIDO",IF(COUNTIFS(PEDIDO_ITEMS!$A$2:$A$501,C138,PEDIDO_ITEMS!$B$2:$B$501,E138)=0,"NO PEDIDO",IF(COUNTIFS($C$2:C138,C138,$E$2:E138,E138)&gt;SUMIFS(PEDIDO_ITEMS!$C$2:$C$501,PEDIDO_ITEMS!$A$2:$A$501,C138,PEDIDO_ITEMS!$B$2:$B$501,E138),"EXCEDE PEDIDO","OK"))))))</f>
        <v/>
      </c>
    </row>
    <row r="139">
      <c r="A139" s="9" t="inlineStr"/>
      <c r="B139" s="2" t="inlineStr"/>
      <c r="C139" s="2" t="inlineStr"/>
      <c r="D139" s="2" t="inlineStr"/>
      <c r="E139" s="2">
        <f>IF(D139="","",IFERROR(XLOOKUP(TRIM(D139),INVENTARIO!$A$2:$A$2000,INVENTARIO!$B$2:$B$2000),"NO ENCONTRADO"))</f>
        <v/>
      </c>
      <c r="F139" s="2">
        <f>IF(D139="","",IFERROR(XLOOKUP(TRIM(D139),INVENTARIO!$A$2:$A$2000,INVENTARIO!$C$2:$C$2000),""))</f>
        <v/>
      </c>
      <c r="G139" s="2">
        <f>IF(D139="","",IF(E139="NO ENCONTRADO","CODIGO NO EXISTE",IF(COUNTIF($D$2:D139,D139)&gt;1,"DUPLICADO",IF(C139="","OK SIN PEDIDO",IF(COUNTIFS(PEDIDO_ITEMS!$A$2:$A$501,C139,PEDIDO_ITEMS!$B$2:$B$501,E139)=0,"NO PEDIDO",IF(COUNTIFS($C$2:C139,C139,$E$2:E139,E139)&gt;SUMIFS(PEDIDO_ITEMS!$C$2:$C$501,PEDIDO_ITEMS!$A$2:$A$501,C139,PEDIDO_ITEMS!$B$2:$B$501,E139),"EXCEDE PEDIDO","OK"))))))</f>
        <v/>
      </c>
    </row>
    <row r="140">
      <c r="A140" s="9" t="inlineStr"/>
      <c r="B140" s="2" t="inlineStr"/>
      <c r="C140" s="2" t="inlineStr"/>
      <c r="D140" s="2" t="inlineStr"/>
      <c r="E140" s="2">
        <f>IF(D140="","",IFERROR(XLOOKUP(TRIM(D140),INVENTARIO!$A$2:$A$2000,INVENTARIO!$B$2:$B$2000),"NO ENCONTRADO"))</f>
        <v/>
      </c>
      <c r="F140" s="2">
        <f>IF(D140="","",IFERROR(XLOOKUP(TRIM(D140),INVENTARIO!$A$2:$A$2000,INVENTARIO!$C$2:$C$2000),""))</f>
        <v/>
      </c>
      <c r="G140" s="2">
        <f>IF(D140="","",IF(E140="NO ENCONTRADO","CODIGO NO EXISTE",IF(COUNTIF($D$2:D140,D140)&gt;1,"DUPLICADO",IF(C140="","OK SIN PEDIDO",IF(COUNTIFS(PEDIDO_ITEMS!$A$2:$A$501,C140,PEDIDO_ITEMS!$B$2:$B$501,E140)=0,"NO PEDIDO",IF(COUNTIFS($C$2:C140,C140,$E$2:E140,E140)&gt;SUMIFS(PEDIDO_ITEMS!$C$2:$C$501,PEDIDO_ITEMS!$A$2:$A$501,C140,PEDIDO_ITEMS!$B$2:$B$501,E140),"EXCEDE PEDIDO","OK"))))))</f>
        <v/>
      </c>
    </row>
    <row r="141">
      <c r="A141" s="9" t="inlineStr"/>
      <c r="B141" s="2" t="inlineStr"/>
      <c r="C141" s="2" t="inlineStr"/>
      <c r="D141" s="2" t="inlineStr"/>
      <c r="E141" s="2">
        <f>IF(D141="","",IFERROR(XLOOKUP(TRIM(D141),INVENTARIO!$A$2:$A$2000,INVENTARIO!$B$2:$B$2000),"NO ENCONTRADO"))</f>
        <v/>
      </c>
      <c r="F141" s="2">
        <f>IF(D141="","",IFERROR(XLOOKUP(TRIM(D141),INVENTARIO!$A$2:$A$2000,INVENTARIO!$C$2:$C$2000),""))</f>
        <v/>
      </c>
      <c r="G141" s="2">
        <f>IF(D141="","",IF(E141="NO ENCONTRADO","CODIGO NO EXISTE",IF(COUNTIF($D$2:D141,D141)&gt;1,"DUPLICADO",IF(C141="","OK SIN PEDIDO",IF(COUNTIFS(PEDIDO_ITEMS!$A$2:$A$501,C141,PEDIDO_ITEMS!$B$2:$B$501,E141)=0,"NO PEDIDO",IF(COUNTIFS($C$2:C141,C141,$E$2:E141,E141)&gt;SUMIFS(PEDIDO_ITEMS!$C$2:$C$501,PEDIDO_ITEMS!$A$2:$A$501,C141,PEDIDO_ITEMS!$B$2:$B$501,E141),"EXCEDE PEDIDO","OK"))))))</f>
        <v/>
      </c>
    </row>
    <row r="142">
      <c r="A142" s="9" t="inlineStr"/>
      <c r="B142" s="2" t="inlineStr"/>
      <c r="C142" s="2" t="inlineStr"/>
      <c r="D142" s="2" t="inlineStr"/>
      <c r="E142" s="2">
        <f>IF(D142="","",IFERROR(XLOOKUP(TRIM(D142),INVENTARIO!$A$2:$A$2000,INVENTARIO!$B$2:$B$2000),"NO ENCONTRADO"))</f>
        <v/>
      </c>
      <c r="F142" s="2">
        <f>IF(D142="","",IFERROR(XLOOKUP(TRIM(D142),INVENTARIO!$A$2:$A$2000,INVENTARIO!$C$2:$C$2000),""))</f>
        <v/>
      </c>
      <c r="G142" s="2">
        <f>IF(D142="","",IF(E142="NO ENCONTRADO","CODIGO NO EXISTE",IF(COUNTIF($D$2:D142,D142)&gt;1,"DUPLICADO",IF(C142="","OK SIN PEDIDO",IF(COUNTIFS(PEDIDO_ITEMS!$A$2:$A$501,C142,PEDIDO_ITEMS!$B$2:$B$501,E142)=0,"NO PEDIDO",IF(COUNTIFS($C$2:C142,C142,$E$2:E142,E142)&gt;SUMIFS(PEDIDO_ITEMS!$C$2:$C$501,PEDIDO_ITEMS!$A$2:$A$501,C142,PEDIDO_ITEMS!$B$2:$B$501,E142),"EXCEDE PEDIDO","OK"))))))</f>
        <v/>
      </c>
    </row>
    <row r="143">
      <c r="A143" s="9" t="inlineStr"/>
      <c r="B143" s="2" t="inlineStr"/>
      <c r="C143" s="2" t="inlineStr"/>
      <c r="D143" s="2" t="inlineStr"/>
      <c r="E143" s="2">
        <f>IF(D143="","",IFERROR(XLOOKUP(TRIM(D143),INVENTARIO!$A$2:$A$2000,INVENTARIO!$B$2:$B$2000),"NO ENCONTRADO"))</f>
        <v/>
      </c>
      <c r="F143" s="2">
        <f>IF(D143="","",IFERROR(XLOOKUP(TRIM(D143),INVENTARIO!$A$2:$A$2000,INVENTARIO!$C$2:$C$2000),""))</f>
        <v/>
      </c>
      <c r="G143" s="2">
        <f>IF(D143="","",IF(E143="NO ENCONTRADO","CODIGO NO EXISTE",IF(COUNTIF($D$2:D143,D143)&gt;1,"DUPLICADO",IF(C143="","OK SIN PEDIDO",IF(COUNTIFS(PEDIDO_ITEMS!$A$2:$A$501,C143,PEDIDO_ITEMS!$B$2:$B$501,E143)=0,"NO PEDIDO",IF(COUNTIFS($C$2:C143,C143,$E$2:E143,E143)&gt;SUMIFS(PEDIDO_ITEMS!$C$2:$C$501,PEDIDO_ITEMS!$A$2:$A$501,C143,PEDIDO_ITEMS!$B$2:$B$501,E143),"EXCEDE PEDIDO","OK"))))))</f>
        <v/>
      </c>
    </row>
    <row r="144">
      <c r="A144" s="9" t="inlineStr"/>
      <c r="B144" s="2" t="inlineStr"/>
      <c r="C144" s="2" t="inlineStr"/>
      <c r="D144" s="2" t="inlineStr"/>
      <c r="E144" s="2">
        <f>IF(D144="","",IFERROR(XLOOKUP(TRIM(D144),INVENTARIO!$A$2:$A$2000,INVENTARIO!$B$2:$B$2000),"NO ENCONTRADO"))</f>
        <v/>
      </c>
      <c r="F144" s="2">
        <f>IF(D144="","",IFERROR(XLOOKUP(TRIM(D144),INVENTARIO!$A$2:$A$2000,INVENTARIO!$C$2:$C$2000),""))</f>
        <v/>
      </c>
      <c r="G144" s="2">
        <f>IF(D144="","",IF(E144="NO ENCONTRADO","CODIGO NO EXISTE",IF(COUNTIF($D$2:D144,D144)&gt;1,"DUPLICADO",IF(C144="","OK SIN PEDIDO",IF(COUNTIFS(PEDIDO_ITEMS!$A$2:$A$501,C144,PEDIDO_ITEMS!$B$2:$B$501,E144)=0,"NO PEDIDO",IF(COUNTIFS($C$2:C144,C144,$E$2:E144,E144)&gt;SUMIFS(PEDIDO_ITEMS!$C$2:$C$501,PEDIDO_ITEMS!$A$2:$A$501,C144,PEDIDO_ITEMS!$B$2:$B$501,E144),"EXCEDE PEDIDO","OK"))))))</f>
        <v/>
      </c>
    </row>
    <row r="145">
      <c r="A145" s="9" t="inlineStr"/>
      <c r="B145" s="2" t="inlineStr"/>
      <c r="C145" s="2" t="inlineStr"/>
      <c r="D145" s="2" t="inlineStr"/>
      <c r="E145" s="2">
        <f>IF(D145="","",IFERROR(XLOOKUP(TRIM(D145),INVENTARIO!$A$2:$A$2000,INVENTARIO!$B$2:$B$2000),"NO ENCONTRADO"))</f>
        <v/>
      </c>
      <c r="F145" s="2">
        <f>IF(D145="","",IFERROR(XLOOKUP(TRIM(D145),INVENTARIO!$A$2:$A$2000,INVENTARIO!$C$2:$C$2000),""))</f>
        <v/>
      </c>
      <c r="G145" s="2">
        <f>IF(D145="","",IF(E145="NO ENCONTRADO","CODIGO NO EXISTE",IF(COUNTIF($D$2:D145,D145)&gt;1,"DUPLICADO",IF(C145="","OK SIN PEDIDO",IF(COUNTIFS(PEDIDO_ITEMS!$A$2:$A$501,C145,PEDIDO_ITEMS!$B$2:$B$501,E145)=0,"NO PEDIDO",IF(COUNTIFS($C$2:C145,C145,$E$2:E145,E145)&gt;SUMIFS(PEDIDO_ITEMS!$C$2:$C$501,PEDIDO_ITEMS!$A$2:$A$501,C145,PEDIDO_ITEMS!$B$2:$B$501,E145),"EXCEDE PEDIDO","OK"))))))</f>
        <v/>
      </c>
    </row>
    <row r="146">
      <c r="A146" s="9" t="inlineStr"/>
      <c r="B146" s="2" t="inlineStr"/>
      <c r="C146" s="2" t="inlineStr"/>
      <c r="D146" s="2" t="inlineStr"/>
      <c r="E146" s="2">
        <f>IF(D146="","",IFERROR(XLOOKUP(TRIM(D146),INVENTARIO!$A$2:$A$2000,INVENTARIO!$B$2:$B$2000),"NO ENCONTRADO"))</f>
        <v/>
      </c>
      <c r="F146" s="2">
        <f>IF(D146="","",IFERROR(XLOOKUP(TRIM(D146),INVENTARIO!$A$2:$A$2000,INVENTARIO!$C$2:$C$2000),""))</f>
        <v/>
      </c>
      <c r="G146" s="2">
        <f>IF(D146="","",IF(E146="NO ENCONTRADO","CODIGO NO EXISTE",IF(COUNTIF($D$2:D146,D146)&gt;1,"DUPLICADO",IF(C146="","OK SIN PEDIDO",IF(COUNTIFS(PEDIDO_ITEMS!$A$2:$A$501,C146,PEDIDO_ITEMS!$B$2:$B$501,E146)=0,"NO PEDIDO",IF(COUNTIFS($C$2:C146,C146,$E$2:E146,E146)&gt;SUMIFS(PEDIDO_ITEMS!$C$2:$C$501,PEDIDO_ITEMS!$A$2:$A$501,C146,PEDIDO_ITEMS!$B$2:$B$501,E146),"EXCEDE PEDIDO","OK"))))))</f>
        <v/>
      </c>
    </row>
    <row r="147">
      <c r="A147" s="9" t="inlineStr"/>
      <c r="B147" s="2" t="inlineStr"/>
      <c r="C147" s="2" t="inlineStr"/>
      <c r="D147" s="2" t="inlineStr"/>
      <c r="E147" s="2">
        <f>IF(D147="","",IFERROR(XLOOKUP(TRIM(D147),INVENTARIO!$A$2:$A$2000,INVENTARIO!$B$2:$B$2000),"NO ENCONTRADO"))</f>
        <v/>
      </c>
      <c r="F147" s="2">
        <f>IF(D147="","",IFERROR(XLOOKUP(TRIM(D147),INVENTARIO!$A$2:$A$2000,INVENTARIO!$C$2:$C$2000),""))</f>
        <v/>
      </c>
      <c r="G147" s="2">
        <f>IF(D147="","",IF(E147="NO ENCONTRADO","CODIGO NO EXISTE",IF(COUNTIF($D$2:D147,D147)&gt;1,"DUPLICADO",IF(C147="","OK SIN PEDIDO",IF(COUNTIFS(PEDIDO_ITEMS!$A$2:$A$501,C147,PEDIDO_ITEMS!$B$2:$B$501,E147)=0,"NO PEDIDO",IF(COUNTIFS($C$2:C147,C147,$E$2:E147,E147)&gt;SUMIFS(PEDIDO_ITEMS!$C$2:$C$501,PEDIDO_ITEMS!$A$2:$A$501,C147,PEDIDO_ITEMS!$B$2:$B$501,E147),"EXCEDE PEDIDO","OK"))))))</f>
        <v/>
      </c>
    </row>
    <row r="148">
      <c r="A148" s="9" t="inlineStr"/>
      <c r="B148" s="2" t="inlineStr"/>
      <c r="C148" s="2" t="inlineStr"/>
      <c r="D148" s="2" t="inlineStr"/>
      <c r="E148" s="2">
        <f>IF(D148="","",IFERROR(XLOOKUP(TRIM(D148),INVENTARIO!$A$2:$A$2000,INVENTARIO!$B$2:$B$2000),"NO ENCONTRADO"))</f>
        <v/>
      </c>
      <c r="F148" s="2">
        <f>IF(D148="","",IFERROR(XLOOKUP(TRIM(D148),INVENTARIO!$A$2:$A$2000,INVENTARIO!$C$2:$C$2000),""))</f>
        <v/>
      </c>
      <c r="G148" s="2">
        <f>IF(D148="","",IF(E148="NO ENCONTRADO","CODIGO NO EXISTE",IF(COUNTIF($D$2:D148,D148)&gt;1,"DUPLICADO",IF(C148="","OK SIN PEDIDO",IF(COUNTIFS(PEDIDO_ITEMS!$A$2:$A$501,C148,PEDIDO_ITEMS!$B$2:$B$501,E148)=0,"NO PEDIDO",IF(COUNTIFS($C$2:C148,C148,$E$2:E148,E148)&gt;SUMIFS(PEDIDO_ITEMS!$C$2:$C$501,PEDIDO_ITEMS!$A$2:$A$501,C148,PEDIDO_ITEMS!$B$2:$B$501,E148),"EXCEDE PEDIDO","OK"))))))</f>
        <v/>
      </c>
    </row>
    <row r="149">
      <c r="A149" s="9" t="inlineStr"/>
      <c r="B149" s="2" t="inlineStr"/>
      <c r="C149" s="2" t="inlineStr"/>
      <c r="D149" s="2" t="inlineStr"/>
      <c r="E149" s="2">
        <f>IF(D149="","",IFERROR(XLOOKUP(TRIM(D149),INVENTARIO!$A$2:$A$2000,INVENTARIO!$B$2:$B$2000),"NO ENCONTRADO"))</f>
        <v/>
      </c>
      <c r="F149" s="2">
        <f>IF(D149="","",IFERROR(XLOOKUP(TRIM(D149),INVENTARIO!$A$2:$A$2000,INVENTARIO!$C$2:$C$2000),""))</f>
        <v/>
      </c>
      <c r="G149" s="2">
        <f>IF(D149="","",IF(E149="NO ENCONTRADO","CODIGO NO EXISTE",IF(COUNTIF($D$2:D149,D149)&gt;1,"DUPLICADO",IF(C149="","OK SIN PEDIDO",IF(COUNTIFS(PEDIDO_ITEMS!$A$2:$A$501,C149,PEDIDO_ITEMS!$B$2:$B$501,E149)=0,"NO PEDIDO",IF(COUNTIFS($C$2:C149,C149,$E$2:E149,E149)&gt;SUMIFS(PEDIDO_ITEMS!$C$2:$C$501,PEDIDO_ITEMS!$A$2:$A$501,C149,PEDIDO_ITEMS!$B$2:$B$501,E149),"EXCEDE PEDIDO","OK"))))))</f>
        <v/>
      </c>
    </row>
    <row r="150">
      <c r="A150" s="9" t="inlineStr"/>
      <c r="B150" s="2" t="inlineStr"/>
      <c r="C150" s="2" t="inlineStr"/>
      <c r="D150" s="2" t="inlineStr"/>
      <c r="E150" s="2">
        <f>IF(D150="","",IFERROR(XLOOKUP(TRIM(D150),INVENTARIO!$A$2:$A$2000,INVENTARIO!$B$2:$B$2000),"NO ENCONTRADO"))</f>
        <v/>
      </c>
      <c r="F150" s="2">
        <f>IF(D150="","",IFERROR(XLOOKUP(TRIM(D150),INVENTARIO!$A$2:$A$2000,INVENTARIO!$C$2:$C$2000),""))</f>
        <v/>
      </c>
      <c r="G150" s="2">
        <f>IF(D150="","",IF(E150="NO ENCONTRADO","CODIGO NO EXISTE",IF(COUNTIF($D$2:D150,D150)&gt;1,"DUPLICADO",IF(C150="","OK SIN PEDIDO",IF(COUNTIFS(PEDIDO_ITEMS!$A$2:$A$501,C150,PEDIDO_ITEMS!$B$2:$B$501,E150)=0,"NO PEDIDO",IF(COUNTIFS($C$2:C150,C150,$E$2:E150,E150)&gt;SUMIFS(PEDIDO_ITEMS!$C$2:$C$501,PEDIDO_ITEMS!$A$2:$A$501,C150,PEDIDO_ITEMS!$B$2:$B$501,E150),"EXCEDE PEDIDO","OK"))))))</f>
        <v/>
      </c>
    </row>
    <row r="151">
      <c r="A151" s="9" t="inlineStr"/>
      <c r="B151" s="2" t="inlineStr"/>
      <c r="C151" s="2" t="inlineStr"/>
      <c r="D151" s="2" t="inlineStr"/>
      <c r="E151" s="2">
        <f>IF(D151="","",IFERROR(XLOOKUP(TRIM(D151),INVENTARIO!$A$2:$A$2000,INVENTARIO!$B$2:$B$2000),"NO ENCONTRADO"))</f>
        <v/>
      </c>
      <c r="F151" s="2">
        <f>IF(D151="","",IFERROR(XLOOKUP(TRIM(D151),INVENTARIO!$A$2:$A$2000,INVENTARIO!$C$2:$C$2000),""))</f>
        <v/>
      </c>
      <c r="G151" s="2">
        <f>IF(D151="","",IF(E151="NO ENCONTRADO","CODIGO NO EXISTE",IF(COUNTIF($D$2:D151,D151)&gt;1,"DUPLICADO",IF(C151="","OK SIN PEDIDO",IF(COUNTIFS(PEDIDO_ITEMS!$A$2:$A$501,C151,PEDIDO_ITEMS!$B$2:$B$501,E151)=0,"NO PEDIDO",IF(COUNTIFS($C$2:C151,C151,$E$2:E151,E151)&gt;SUMIFS(PEDIDO_ITEMS!$C$2:$C$501,PEDIDO_ITEMS!$A$2:$A$501,C151,PEDIDO_ITEMS!$B$2:$B$501,E151),"EXCEDE PEDIDO","OK"))))))</f>
        <v/>
      </c>
    </row>
    <row r="152">
      <c r="A152" s="9" t="inlineStr"/>
      <c r="B152" s="2" t="inlineStr"/>
      <c r="C152" s="2" t="inlineStr"/>
      <c r="D152" s="2" t="inlineStr"/>
      <c r="E152" s="2">
        <f>IF(D152="","",IFERROR(XLOOKUP(TRIM(D152),INVENTARIO!$A$2:$A$2000,INVENTARIO!$B$2:$B$2000),"NO ENCONTRADO"))</f>
        <v/>
      </c>
      <c r="F152" s="2">
        <f>IF(D152="","",IFERROR(XLOOKUP(TRIM(D152),INVENTARIO!$A$2:$A$2000,INVENTARIO!$C$2:$C$2000),""))</f>
        <v/>
      </c>
      <c r="G152" s="2">
        <f>IF(D152="","",IF(E152="NO ENCONTRADO","CODIGO NO EXISTE",IF(COUNTIF($D$2:D152,D152)&gt;1,"DUPLICADO",IF(C152="","OK SIN PEDIDO",IF(COUNTIFS(PEDIDO_ITEMS!$A$2:$A$501,C152,PEDIDO_ITEMS!$B$2:$B$501,E152)=0,"NO PEDIDO",IF(COUNTIFS($C$2:C152,C152,$E$2:E152,E152)&gt;SUMIFS(PEDIDO_ITEMS!$C$2:$C$501,PEDIDO_ITEMS!$A$2:$A$501,C152,PEDIDO_ITEMS!$B$2:$B$501,E152),"EXCEDE PEDIDO","OK"))))))</f>
        <v/>
      </c>
    </row>
    <row r="153">
      <c r="A153" s="9" t="inlineStr"/>
      <c r="B153" s="2" t="inlineStr"/>
      <c r="C153" s="2" t="inlineStr"/>
      <c r="D153" s="2" t="inlineStr"/>
      <c r="E153" s="2">
        <f>IF(D153="","",IFERROR(XLOOKUP(TRIM(D153),INVENTARIO!$A$2:$A$2000,INVENTARIO!$B$2:$B$2000),"NO ENCONTRADO"))</f>
        <v/>
      </c>
      <c r="F153" s="2">
        <f>IF(D153="","",IFERROR(XLOOKUP(TRIM(D153),INVENTARIO!$A$2:$A$2000,INVENTARIO!$C$2:$C$2000),""))</f>
        <v/>
      </c>
      <c r="G153" s="2">
        <f>IF(D153="","",IF(E153="NO ENCONTRADO","CODIGO NO EXISTE",IF(COUNTIF($D$2:D153,D153)&gt;1,"DUPLICADO",IF(C153="","OK SIN PEDIDO",IF(COUNTIFS(PEDIDO_ITEMS!$A$2:$A$501,C153,PEDIDO_ITEMS!$B$2:$B$501,E153)=0,"NO PEDIDO",IF(COUNTIFS($C$2:C153,C153,$E$2:E153,E153)&gt;SUMIFS(PEDIDO_ITEMS!$C$2:$C$501,PEDIDO_ITEMS!$A$2:$A$501,C153,PEDIDO_ITEMS!$B$2:$B$501,E153),"EXCEDE PEDIDO","OK"))))))</f>
        <v/>
      </c>
    </row>
    <row r="154">
      <c r="A154" s="9" t="inlineStr"/>
      <c r="B154" s="2" t="inlineStr"/>
      <c r="C154" s="2" t="inlineStr"/>
      <c r="D154" s="2" t="inlineStr"/>
      <c r="E154" s="2">
        <f>IF(D154="","",IFERROR(XLOOKUP(TRIM(D154),INVENTARIO!$A$2:$A$2000,INVENTARIO!$B$2:$B$2000),"NO ENCONTRADO"))</f>
        <v/>
      </c>
      <c r="F154" s="2">
        <f>IF(D154="","",IFERROR(XLOOKUP(TRIM(D154),INVENTARIO!$A$2:$A$2000,INVENTARIO!$C$2:$C$2000),""))</f>
        <v/>
      </c>
      <c r="G154" s="2">
        <f>IF(D154="","",IF(E154="NO ENCONTRADO","CODIGO NO EXISTE",IF(COUNTIF($D$2:D154,D154)&gt;1,"DUPLICADO",IF(C154="","OK SIN PEDIDO",IF(COUNTIFS(PEDIDO_ITEMS!$A$2:$A$501,C154,PEDIDO_ITEMS!$B$2:$B$501,E154)=0,"NO PEDIDO",IF(COUNTIFS($C$2:C154,C154,$E$2:E154,E154)&gt;SUMIFS(PEDIDO_ITEMS!$C$2:$C$501,PEDIDO_ITEMS!$A$2:$A$501,C154,PEDIDO_ITEMS!$B$2:$B$501,E154),"EXCEDE PEDIDO","OK"))))))</f>
        <v/>
      </c>
    </row>
    <row r="155">
      <c r="A155" s="9" t="inlineStr"/>
      <c r="B155" s="2" t="inlineStr"/>
      <c r="C155" s="2" t="inlineStr"/>
      <c r="D155" s="2" t="inlineStr"/>
      <c r="E155" s="2">
        <f>IF(D155="","",IFERROR(XLOOKUP(TRIM(D155),INVENTARIO!$A$2:$A$2000,INVENTARIO!$B$2:$B$2000),"NO ENCONTRADO"))</f>
        <v/>
      </c>
      <c r="F155" s="2">
        <f>IF(D155="","",IFERROR(XLOOKUP(TRIM(D155),INVENTARIO!$A$2:$A$2000,INVENTARIO!$C$2:$C$2000),""))</f>
        <v/>
      </c>
      <c r="G155" s="2">
        <f>IF(D155="","",IF(E155="NO ENCONTRADO","CODIGO NO EXISTE",IF(COUNTIF($D$2:D155,D155)&gt;1,"DUPLICADO",IF(C155="","OK SIN PEDIDO",IF(COUNTIFS(PEDIDO_ITEMS!$A$2:$A$501,C155,PEDIDO_ITEMS!$B$2:$B$501,E155)=0,"NO PEDIDO",IF(COUNTIFS($C$2:C155,C155,$E$2:E155,E155)&gt;SUMIFS(PEDIDO_ITEMS!$C$2:$C$501,PEDIDO_ITEMS!$A$2:$A$501,C155,PEDIDO_ITEMS!$B$2:$B$501,E155),"EXCEDE PEDIDO","OK"))))))</f>
        <v/>
      </c>
    </row>
    <row r="156">
      <c r="A156" s="9" t="inlineStr"/>
      <c r="B156" s="2" t="inlineStr"/>
      <c r="C156" s="2" t="inlineStr"/>
      <c r="D156" s="2" t="inlineStr"/>
      <c r="E156" s="2">
        <f>IF(D156="","",IFERROR(XLOOKUP(TRIM(D156),INVENTARIO!$A$2:$A$2000,INVENTARIO!$B$2:$B$2000),"NO ENCONTRADO"))</f>
        <v/>
      </c>
      <c r="F156" s="2">
        <f>IF(D156="","",IFERROR(XLOOKUP(TRIM(D156),INVENTARIO!$A$2:$A$2000,INVENTARIO!$C$2:$C$2000),""))</f>
        <v/>
      </c>
      <c r="G156" s="2">
        <f>IF(D156="","",IF(E156="NO ENCONTRADO","CODIGO NO EXISTE",IF(COUNTIF($D$2:D156,D156)&gt;1,"DUPLICADO",IF(C156="","OK SIN PEDIDO",IF(COUNTIFS(PEDIDO_ITEMS!$A$2:$A$501,C156,PEDIDO_ITEMS!$B$2:$B$501,E156)=0,"NO PEDIDO",IF(COUNTIFS($C$2:C156,C156,$E$2:E156,E156)&gt;SUMIFS(PEDIDO_ITEMS!$C$2:$C$501,PEDIDO_ITEMS!$A$2:$A$501,C156,PEDIDO_ITEMS!$B$2:$B$501,E156),"EXCEDE PEDIDO","OK"))))))</f>
        <v/>
      </c>
    </row>
    <row r="157">
      <c r="A157" s="9" t="inlineStr"/>
      <c r="B157" s="2" t="inlineStr"/>
      <c r="C157" s="2" t="inlineStr"/>
      <c r="D157" s="2" t="inlineStr"/>
      <c r="E157" s="2">
        <f>IF(D157="","",IFERROR(XLOOKUP(TRIM(D157),INVENTARIO!$A$2:$A$2000,INVENTARIO!$B$2:$B$2000),"NO ENCONTRADO"))</f>
        <v/>
      </c>
      <c r="F157" s="2">
        <f>IF(D157="","",IFERROR(XLOOKUP(TRIM(D157),INVENTARIO!$A$2:$A$2000,INVENTARIO!$C$2:$C$2000),""))</f>
        <v/>
      </c>
      <c r="G157" s="2">
        <f>IF(D157="","",IF(E157="NO ENCONTRADO","CODIGO NO EXISTE",IF(COUNTIF($D$2:D157,D157)&gt;1,"DUPLICADO",IF(C157="","OK SIN PEDIDO",IF(COUNTIFS(PEDIDO_ITEMS!$A$2:$A$501,C157,PEDIDO_ITEMS!$B$2:$B$501,E157)=0,"NO PEDIDO",IF(COUNTIFS($C$2:C157,C157,$E$2:E157,E157)&gt;SUMIFS(PEDIDO_ITEMS!$C$2:$C$501,PEDIDO_ITEMS!$A$2:$A$501,C157,PEDIDO_ITEMS!$B$2:$B$501,E157),"EXCEDE PEDIDO","OK"))))))</f>
        <v/>
      </c>
    </row>
    <row r="158">
      <c r="A158" s="9" t="inlineStr"/>
      <c r="B158" s="2" t="inlineStr"/>
      <c r="C158" s="2" t="inlineStr"/>
      <c r="D158" s="2" t="inlineStr"/>
      <c r="E158" s="2">
        <f>IF(D158="","",IFERROR(XLOOKUP(TRIM(D158),INVENTARIO!$A$2:$A$2000,INVENTARIO!$B$2:$B$2000),"NO ENCONTRADO"))</f>
        <v/>
      </c>
      <c r="F158" s="2">
        <f>IF(D158="","",IFERROR(XLOOKUP(TRIM(D158),INVENTARIO!$A$2:$A$2000,INVENTARIO!$C$2:$C$2000),""))</f>
        <v/>
      </c>
      <c r="G158" s="2">
        <f>IF(D158="","",IF(E158="NO ENCONTRADO","CODIGO NO EXISTE",IF(COUNTIF($D$2:D158,D158)&gt;1,"DUPLICADO",IF(C158="","OK SIN PEDIDO",IF(COUNTIFS(PEDIDO_ITEMS!$A$2:$A$501,C158,PEDIDO_ITEMS!$B$2:$B$501,E158)=0,"NO PEDIDO",IF(COUNTIFS($C$2:C158,C158,$E$2:E158,E158)&gt;SUMIFS(PEDIDO_ITEMS!$C$2:$C$501,PEDIDO_ITEMS!$A$2:$A$501,C158,PEDIDO_ITEMS!$B$2:$B$501,E158),"EXCEDE PEDIDO","OK"))))))</f>
        <v/>
      </c>
    </row>
    <row r="159">
      <c r="A159" s="9" t="inlineStr"/>
      <c r="B159" s="2" t="inlineStr"/>
      <c r="C159" s="2" t="inlineStr"/>
      <c r="D159" s="2" t="inlineStr"/>
      <c r="E159" s="2">
        <f>IF(D159="","",IFERROR(XLOOKUP(TRIM(D159),INVENTARIO!$A$2:$A$2000,INVENTARIO!$B$2:$B$2000),"NO ENCONTRADO"))</f>
        <v/>
      </c>
      <c r="F159" s="2">
        <f>IF(D159="","",IFERROR(XLOOKUP(TRIM(D159),INVENTARIO!$A$2:$A$2000,INVENTARIO!$C$2:$C$2000),""))</f>
        <v/>
      </c>
      <c r="G159" s="2">
        <f>IF(D159="","",IF(E159="NO ENCONTRADO","CODIGO NO EXISTE",IF(COUNTIF($D$2:D159,D159)&gt;1,"DUPLICADO",IF(C159="","OK SIN PEDIDO",IF(COUNTIFS(PEDIDO_ITEMS!$A$2:$A$501,C159,PEDIDO_ITEMS!$B$2:$B$501,E159)=0,"NO PEDIDO",IF(COUNTIFS($C$2:C159,C159,$E$2:E159,E159)&gt;SUMIFS(PEDIDO_ITEMS!$C$2:$C$501,PEDIDO_ITEMS!$A$2:$A$501,C159,PEDIDO_ITEMS!$B$2:$B$501,E159),"EXCEDE PEDIDO","OK"))))))</f>
        <v/>
      </c>
    </row>
    <row r="160">
      <c r="A160" s="9" t="inlineStr"/>
      <c r="B160" s="2" t="inlineStr"/>
      <c r="C160" s="2" t="inlineStr"/>
      <c r="D160" s="2" t="inlineStr"/>
      <c r="E160" s="2">
        <f>IF(D160="","",IFERROR(XLOOKUP(TRIM(D160),INVENTARIO!$A$2:$A$2000,INVENTARIO!$B$2:$B$2000),"NO ENCONTRADO"))</f>
        <v/>
      </c>
      <c r="F160" s="2">
        <f>IF(D160="","",IFERROR(XLOOKUP(TRIM(D160),INVENTARIO!$A$2:$A$2000,INVENTARIO!$C$2:$C$2000),""))</f>
        <v/>
      </c>
      <c r="G160" s="2">
        <f>IF(D160="","",IF(E160="NO ENCONTRADO","CODIGO NO EXISTE",IF(COUNTIF($D$2:D160,D160)&gt;1,"DUPLICADO",IF(C160="","OK SIN PEDIDO",IF(COUNTIFS(PEDIDO_ITEMS!$A$2:$A$501,C160,PEDIDO_ITEMS!$B$2:$B$501,E160)=0,"NO PEDIDO",IF(COUNTIFS($C$2:C160,C160,$E$2:E160,E160)&gt;SUMIFS(PEDIDO_ITEMS!$C$2:$C$501,PEDIDO_ITEMS!$A$2:$A$501,C160,PEDIDO_ITEMS!$B$2:$B$501,E160),"EXCEDE PEDIDO","OK"))))))</f>
        <v/>
      </c>
    </row>
    <row r="161">
      <c r="A161" s="9" t="inlineStr"/>
      <c r="B161" s="2" t="inlineStr"/>
      <c r="C161" s="2" t="inlineStr"/>
      <c r="D161" s="2" t="inlineStr"/>
      <c r="E161" s="2">
        <f>IF(D161="","",IFERROR(XLOOKUP(TRIM(D161),INVENTARIO!$A$2:$A$2000,INVENTARIO!$B$2:$B$2000),"NO ENCONTRADO"))</f>
        <v/>
      </c>
      <c r="F161" s="2">
        <f>IF(D161="","",IFERROR(XLOOKUP(TRIM(D161),INVENTARIO!$A$2:$A$2000,INVENTARIO!$C$2:$C$2000),""))</f>
        <v/>
      </c>
      <c r="G161" s="2">
        <f>IF(D161="","",IF(E161="NO ENCONTRADO","CODIGO NO EXISTE",IF(COUNTIF($D$2:D161,D161)&gt;1,"DUPLICADO",IF(C161="","OK SIN PEDIDO",IF(COUNTIFS(PEDIDO_ITEMS!$A$2:$A$501,C161,PEDIDO_ITEMS!$B$2:$B$501,E161)=0,"NO PEDIDO",IF(COUNTIFS($C$2:C161,C161,$E$2:E161,E161)&gt;SUMIFS(PEDIDO_ITEMS!$C$2:$C$501,PEDIDO_ITEMS!$A$2:$A$501,C161,PEDIDO_ITEMS!$B$2:$B$501,E161),"EXCEDE PEDIDO","OK"))))))</f>
        <v/>
      </c>
    </row>
    <row r="162">
      <c r="A162" s="9" t="inlineStr"/>
      <c r="B162" s="2" t="inlineStr"/>
      <c r="C162" s="2" t="inlineStr"/>
      <c r="D162" s="2" t="inlineStr"/>
      <c r="E162" s="2">
        <f>IF(D162="","",IFERROR(XLOOKUP(TRIM(D162),INVENTARIO!$A$2:$A$2000,INVENTARIO!$B$2:$B$2000),"NO ENCONTRADO"))</f>
        <v/>
      </c>
      <c r="F162" s="2">
        <f>IF(D162="","",IFERROR(XLOOKUP(TRIM(D162),INVENTARIO!$A$2:$A$2000,INVENTARIO!$C$2:$C$2000),""))</f>
        <v/>
      </c>
      <c r="G162" s="2">
        <f>IF(D162="","",IF(E162="NO ENCONTRADO","CODIGO NO EXISTE",IF(COUNTIF($D$2:D162,D162)&gt;1,"DUPLICADO",IF(C162="","OK SIN PEDIDO",IF(COUNTIFS(PEDIDO_ITEMS!$A$2:$A$501,C162,PEDIDO_ITEMS!$B$2:$B$501,E162)=0,"NO PEDIDO",IF(COUNTIFS($C$2:C162,C162,$E$2:E162,E162)&gt;SUMIFS(PEDIDO_ITEMS!$C$2:$C$501,PEDIDO_ITEMS!$A$2:$A$501,C162,PEDIDO_ITEMS!$B$2:$B$501,E162),"EXCEDE PEDIDO","OK"))))))</f>
        <v/>
      </c>
    </row>
    <row r="163">
      <c r="A163" s="9" t="inlineStr"/>
      <c r="B163" s="2" t="inlineStr"/>
      <c r="C163" s="2" t="inlineStr"/>
      <c r="D163" s="2" t="inlineStr"/>
      <c r="E163" s="2">
        <f>IF(D163="","",IFERROR(XLOOKUP(TRIM(D163),INVENTARIO!$A$2:$A$2000,INVENTARIO!$B$2:$B$2000),"NO ENCONTRADO"))</f>
        <v/>
      </c>
      <c r="F163" s="2">
        <f>IF(D163="","",IFERROR(XLOOKUP(TRIM(D163),INVENTARIO!$A$2:$A$2000,INVENTARIO!$C$2:$C$2000),""))</f>
        <v/>
      </c>
      <c r="G163" s="2">
        <f>IF(D163="","",IF(E163="NO ENCONTRADO","CODIGO NO EXISTE",IF(COUNTIF($D$2:D163,D163)&gt;1,"DUPLICADO",IF(C163="","OK SIN PEDIDO",IF(COUNTIFS(PEDIDO_ITEMS!$A$2:$A$501,C163,PEDIDO_ITEMS!$B$2:$B$501,E163)=0,"NO PEDIDO",IF(COUNTIFS($C$2:C163,C163,$E$2:E163,E163)&gt;SUMIFS(PEDIDO_ITEMS!$C$2:$C$501,PEDIDO_ITEMS!$A$2:$A$501,C163,PEDIDO_ITEMS!$B$2:$B$501,E163),"EXCEDE PEDIDO","OK"))))))</f>
        <v/>
      </c>
    </row>
    <row r="164">
      <c r="A164" s="9" t="inlineStr"/>
      <c r="B164" s="2" t="inlineStr"/>
      <c r="C164" s="2" t="inlineStr"/>
      <c r="D164" s="2" t="inlineStr"/>
      <c r="E164" s="2">
        <f>IF(D164="","",IFERROR(XLOOKUP(TRIM(D164),INVENTARIO!$A$2:$A$2000,INVENTARIO!$B$2:$B$2000),"NO ENCONTRADO"))</f>
        <v/>
      </c>
      <c r="F164" s="2">
        <f>IF(D164="","",IFERROR(XLOOKUP(TRIM(D164),INVENTARIO!$A$2:$A$2000,INVENTARIO!$C$2:$C$2000),""))</f>
        <v/>
      </c>
      <c r="G164" s="2">
        <f>IF(D164="","",IF(E164="NO ENCONTRADO","CODIGO NO EXISTE",IF(COUNTIF($D$2:D164,D164)&gt;1,"DUPLICADO",IF(C164="","OK SIN PEDIDO",IF(COUNTIFS(PEDIDO_ITEMS!$A$2:$A$501,C164,PEDIDO_ITEMS!$B$2:$B$501,E164)=0,"NO PEDIDO",IF(COUNTIFS($C$2:C164,C164,$E$2:E164,E164)&gt;SUMIFS(PEDIDO_ITEMS!$C$2:$C$501,PEDIDO_ITEMS!$A$2:$A$501,C164,PEDIDO_ITEMS!$B$2:$B$501,E164),"EXCEDE PEDIDO","OK"))))))</f>
        <v/>
      </c>
    </row>
    <row r="165">
      <c r="A165" s="9" t="inlineStr"/>
      <c r="B165" s="2" t="inlineStr"/>
      <c r="C165" s="2" t="inlineStr"/>
      <c r="D165" s="2" t="inlineStr"/>
      <c r="E165" s="2">
        <f>IF(D165="","",IFERROR(XLOOKUP(TRIM(D165),INVENTARIO!$A$2:$A$2000,INVENTARIO!$B$2:$B$2000),"NO ENCONTRADO"))</f>
        <v/>
      </c>
      <c r="F165" s="2">
        <f>IF(D165="","",IFERROR(XLOOKUP(TRIM(D165),INVENTARIO!$A$2:$A$2000,INVENTARIO!$C$2:$C$2000),""))</f>
        <v/>
      </c>
      <c r="G165" s="2">
        <f>IF(D165="","",IF(E165="NO ENCONTRADO","CODIGO NO EXISTE",IF(COUNTIF($D$2:D165,D165)&gt;1,"DUPLICADO",IF(C165="","OK SIN PEDIDO",IF(COUNTIFS(PEDIDO_ITEMS!$A$2:$A$501,C165,PEDIDO_ITEMS!$B$2:$B$501,E165)=0,"NO PEDIDO",IF(COUNTIFS($C$2:C165,C165,$E$2:E165,E165)&gt;SUMIFS(PEDIDO_ITEMS!$C$2:$C$501,PEDIDO_ITEMS!$A$2:$A$501,C165,PEDIDO_ITEMS!$B$2:$B$501,E165),"EXCEDE PEDIDO","OK"))))))</f>
        <v/>
      </c>
    </row>
    <row r="166">
      <c r="A166" s="9" t="inlineStr"/>
      <c r="B166" s="2" t="inlineStr"/>
      <c r="C166" s="2" t="inlineStr"/>
      <c r="D166" s="2" t="inlineStr"/>
      <c r="E166" s="2">
        <f>IF(D166="","",IFERROR(XLOOKUP(TRIM(D166),INVENTARIO!$A$2:$A$2000,INVENTARIO!$B$2:$B$2000),"NO ENCONTRADO"))</f>
        <v/>
      </c>
      <c r="F166" s="2">
        <f>IF(D166="","",IFERROR(XLOOKUP(TRIM(D166),INVENTARIO!$A$2:$A$2000,INVENTARIO!$C$2:$C$2000),""))</f>
        <v/>
      </c>
      <c r="G166" s="2">
        <f>IF(D166="","",IF(E166="NO ENCONTRADO","CODIGO NO EXISTE",IF(COUNTIF($D$2:D166,D166)&gt;1,"DUPLICADO",IF(C166="","OK SIN PEDIDO",IF(COUNTIFS(PEDIDO_ITEMS!$A$2:$A$501,C166,PEDIDO_ITEMS!$B$2:$B$501,E166)=0,"NO PEDIDO",IF(COUNTIFS($C$2:C166,C166,$E$2:E166,E166)&gt;SUMIFS(PEDIDO_ITEMS!$C$2:$C$501,PEDIDO_ITEMS!$A$2:$A$501,C166,PEDIDO_ITEMS!$B$2:$B$501,E166),"EXCEDE PEDIDO","OK"))))))</f>
        <v/>
      </c>
    </row>
    <row r="167">
      <c r="A167" s="9" t="inlineStr"/>
      <c r="B167" s="2" t="inlineStr"/>
      <c r="C167" s="2" t="inlineStr"/>
      <c r="D167" s="2" t="inlineStr"/>
      <c r="E167" s="2">
        <f>IF(D167="","",IFERROR(XLOOKUP(TRIM(D167),INVENTARIO!$A$2:$A$2000,INVENTARIO!$B$2:$B$2000),"NO ENCONTRADO"))</f>
        <v/>
      </c>
      <c r="F167" s="2">
        <f>IF(D167="","",IFERROR(XLOOKUP(TRIM(D167),INVENTARIO!$A$2:$A$2000,INVENTARIO!$C$2:$C$2000),""))</f>
        <v/>
      </c>
      <c r="G167" s="2">
        <f>IF(D167="","",IF(E167="NO ENCONTRADO","CODIGO NO EXISTE",IF(COUNTIF($D$2:D167,D167)&gt;1,"DUPLICADO",IF(C167="","OK SIN PEDIDO",IF(COUNTIFS(PEDIDO_ITEMS!$A$2:$A$501,C167,PEDIDO_ITEMS!$B$2:$B$501,E167)=0,"NO PEDIDO",IF(COUNTIFS($C$2:C167,C167,$E$2:E167,E167)&gt;SUMIFS(PEDIDO_ITEMS!$C$2:$C$501,PEDIDO_ITEMS!$A$2:$A$501,C167,PEDIDO_ITEMS!$B$2:$B$501,E167),"EXCEDE PEDIDO","OK"))))))</f>
        <v/>
      </c>
    </row>
    <row r="168">
      <c r="A168" s="9" t="inlineStr"/>
      <c r="B168" s="2" t="inlineStr"/>
      <c r="C168" s="2" t="inlineStr"/>
      <c r="D168" s="2" t="inlineStr"/>
      <c r="E168" s="2">
        <f>IF(D168="","",IFERROR(XLOOKUP(TRIM(D168),INVENTARIO!$A$2:$A$2000,INVENTARIO!$B$2:$B$2000),"NO ENCONTRADO"))</f>
        <v/>
      </c>
      <c r="F168" s="2">
        <f>IF(D168="","",IFERROR(XLOOKUP(TRIM(D168),INVENTARIO!$A$2:$A$2000,INVENTARIO!$C$2:$C$2000),""))</f>
        <v/>
      </c>
      <c r="G168" s="2">
        <f>IF(D168="","",IF(E168="NO ENCONTRADO","CODIGO NO EXISTE",IF(COUNTIF($D$2:D168,D168)&gt;1,"DUPLICADO",IF(C168="","OK SIN PEDIDO",IF(COUNTIFS(PEDIDO_ITEMS!$A$2:$A$501,C168,PEDIDO_ITEMS!$B$2:$B$501,E168)=0,"NO PEDIDO",IF(COUNTIFS($C$2:C168,C168,$E$2:E168,E168)&gt;SUMIFS(PEDIDO_ITEMS!$C$2:$C$501,PEDIDO_ITEMS!$A$2:$A$501,C168,PEDIDO_ITEMS!$B$2:$B$501,E168),"EXCEDE PEDIDO","OK"))))))</f>
        <v/>
      </c>
    </row>
    <row r="169">
      <c r="A169" s="9" t="inlineStr"/>
      <c r="B169" s="2" t="inlineStr"/>
      <c r="C169" s="2" t="inlineStr"/>
      <c r="D169" s="2" t="inlineStr"/>
      <c r="E169" s="2">
        <f>IF(D169="","",IFERROR(XLOOKUP(TRIM(D169),INVENTARIO!$A$2:$A$2000,INVENTARIO!$B$2:$B$2000),"NO ENCONTRADO"))</f>
        <v/>
      </c>
      <c r="F169" s="2">
        <f>IF(D169="","",IFERROR(XLOOKUP(TRIM(D169),INVENTARIO!$A$2:$A$2000,INVENTARIO!$C$2:$C$2000),""))</f>
        <v/>
      </c>
      <c r="G169" s="2">
        <f>IF(D169="","",IF(E169="NO ENCONTRADO","CODIGO NO EXISTE",IF(COUNTIF($D$2:D169,D169)&gt;1,"DUPLICADO",IF(C169="","OK SIN PEDIDO",IF(COUNTIFS(PEDIDO_ITEMS!$A$2:$A$501,C169,PEDIDO_ITEMS!$B$2:$B$501,E169)=0,"NO PEDIDO",IF(COUNTIFS($C$2:C169,C169,$E$2:E169,E169)&gt;SUMIFS(PEDIDO_ITEMS!$C$2:$C$501,PEDIDO_ITEMS!$A$2:$A$501,C169,PEDIDO_ITEMS!$B$2:$B$501,E169),"EXCEDE PEDIDO","OK"))))))</f>
        <v/>
      </c>
    </row>
    <row r="170">
      <c r="A170" s="9" t="inlineStr"/>
      <c r="B170" s="2" t="inlineStr"/>
      <c r="C170" s="2" t="inlineStr"/>
      <c r="D170" s="2" t="inlineStr"/>
      <c r="E170" s="2">
        <f>IF(D170="","",IFERROR(XLOOKUP(TRIM(D170),INVENTARIO!$A$2:$A$2000,INVENTARIO!$B$2:$B$2000),"NO ENCONTRADO"))</f>
        <v/>
      </c>
      <c r="F170" s="2">
        <f>IF(D170="","",IFERROR(XLOOKUP(TRIM(D170),INVENTARIO!$A$2:$A$2000,INVENTARIO!$C$2:$C$2000),""))</f>
        <v/>
      </c>
      <c r="G170" s="2">
        <f>IF(D170="","",IF(E170="NO ENCONTRADO","CODIGO NO EXISTE",IF(COUNTIF($D$2:D170,D170)&gt;1,"DUPLICADO",IF(C170="","OK SIN PEDIDO",IF(COUNTIFS(PEDIDO_ITEMS!$A$2:$A$501,C170,PEDIDO_ITEMS!$B$2:$B$501,E170)=0,"NO PEDIDO",IF(COUNTIFS($C$2:C170,C170,$E$2:E170,E170)&gt;SUMIFS(PEDIDO_ITEMS!$C$2:$C$501,PEDIDO_ITEMS!$A$2:$A$501,C170,PEDIDO_ITEMS!$B$2:$B$501,E170),"EXCEDE PEDIDO","OK"))))))</f>
        <v/>
      </c>
    </row>
    <row r="171">
      <c r="A171" s="9" t="inlineStr"/>
      <c r="B171" s="2" t="inlineStr"/>
      <c r="C171" s="2" t="inlineStr"/>
      <c r="D171" s="2" t="inlineStr"/>
      <c r="E171" s="2">
        <f>IF(D171="","",IFERROR(XLOOKUP(TRIM(D171),INVENTARIO!$A$2:$A$2000,INVENTARIO!$B$2:$B$2000),"NO ENCONTRADO"))</f>
        <v/>
      </c>
      <c r="F171" s="2">
        <f>IF(D171="","",IFERROR(XLOOKUP(TRIM(D171),INVENTARIO!$A$2:$A$2000,INVENTARIO!$C$2:$C$2000),""))</f>
        <v/>
      </c>
      <c r="G171" s="2">
        <f>IF(D171="","",IF(E171="NO ENCONTRADO","CODIGO NO EXISTE",IF(COUNTIF($D$2:D171,D171)&gt;1,"DUPLICADO",IF(C171="","OK SIN PEDIDO",IF(COUNTIFS(PEDIDO_ITEMS!$A$2:$A$501,C171,PEDIDO_ITEMS!$B$2:$B$501,E171)=0,"NO PEDIDO",IF(COUNTIFS($C$2:C171,C171,$E$2:E171,E171)&gt;SUMIFS(PEDIDO_ITEMS!$C$2:$C$501,PEDIDO_ITEMS!$A$2:$A$501,C171,PEDIDO_ITEMS!$B$2:$B$501,E171),"EXCEDE PEDIDO","OK"))))))</f>
        <v/>
      </c>
    </row>
    <row r="172">
      <c r="A172" s="9" t="inlineStr"/>
      <c r="B172" s="2" t="inlineStr"/>
      <c r="C172" s="2" t="inlineStr"/>
      <c r="D172" s="2" t="inlineStr"/>
      <c r="E172" s="2">
        <f>IF(D172="","",IFERROR(XLOOKUP(TRIM(D172),INVENTARIO!$A$2:$A$2000,INVENTARIO!$B$2:$B$2000),"NO ENCONTRADO"))</f>
        <v/>
      </c>
      <c r="F172" s="2">
        <f>IF(D172="","",IFERROR(XLOOKUP(TRIM(D172),INVENTARIO!$A$2:$A$2000,INVENTARIO!$C$2:$C$2000),""))</f>
        <v/>
      </c>
      <c r="G172" s="2">
        <f>IF(D172="","",IF(E172="NO ENCONTRADO","CODIGO NO EXISTE",IF(COUNTIF($D$2:D172,D172)&gt;1,"DUPLICADO",IF(C172="","OK SIN PEDIDO",IF(COUNTIFS(PEDIDO_ITEMS!$A$2:$A$501,C172,PEDIDO_ITEMS!$B$2:$B$501,E172)=0,"NO PEDIDO",IF(COUNTIFS($C$2:C172,C172,$E$2:E172,E172)&gt;SUMIFS(PEDIDO_ITEMS!$C$2:$C$501,PEDIDO_ITEMS!$A$2:$A$501,C172,PEDIDO_ITEMS!$B$2:$B$501,E172),"EXCEDE PEDIDO","OK"))))))</f>
        <v/>
      </c>
    </row>
    <row r="173">
      <c r="A173" s="9" t="inlineStr"/>
      <c r="B173" s="2" t="inlineStr"/>
      <c r="C173" s="2" t="inlineStr"/>
      <c r="D173" s="2" t="inlineStr"/>
      <c r="E173" s="2">
        <f>IF(D173="","",IFERROR(XLOOKUP(TRIM(D173),INVENTARIO!$A$2:$A$2000,INVENTARIO!$B$2:$B$2000),"NO ENCONTRADO"))</f>
        <v/>
      </c>
      <c r="F173" s="2">
        <f>IF(D173="","",IFERROR(XLOOKUP(TRIM(D173),INVENTARIO!$A$2:$A$2000,INVENTARIO!$C$2:$C$2000),""))</f>
        <v/>
      </c>
      <c r="G173" s="2">
        <f>IF(D173="","",IF(E173="NO ENCONTRADO","CODIGO NO EXISTE",IF(COUNTIF($D$2:D173,D173)&gt;1,"DUPLICADO",IF(C173="","OK SIN PEDIDO",IF(COUNTIFS(PEDIDO_ITEMS!$A$2:$A$501,C173,PEDIDO_ITEMS!$B$2:$B$501,E173)=0,"NO PEDIDO",IF(COUNTIFS($C$2:C173,C173,$E$2:E173,E173)&gt;SUMIFS(PEDIDO_ITEMS!$C$2:$C$501,PEDIDO_ITEMS!$A$2:$A$501,C173,PEDIDO_ITEMS!$B$2:$B$501,E173),"EXCEDE PEDIDO","OK"))))))</f>
        <v/>
      </c>
    </row>
    <row r="174">
      <c r="A174" s="9" t="inlineStr"/>
      <c r="B174" s="2" t="inlineStr"/>
      <c r="C174" s="2" t="inlineStr"/>
      <c r="D174" s="2" t="inlineStr"/>
      <c r="E174" s="2">
        <f>IF(D174="","",IFERROR(XLOOKUP(TRIM(D174),INVENTARIO!$A$2:$A$2000,INVENTARIO!$B$2:$B$2000),"NO ENCONTRADO"))</f>
        <v/>
      </c>
      <c r="F174" s="2">
        <f>IF(D174="","",IFERROR(XLOOKUP(TRIM(D174),INVENTARIO!$A$2:$A$2000,INVENTARIO!$C$2:$C$2000),""))</f>
        <v/>
      </c>
      <c r="G174" s="2">
        <f>IF(D174="","",IF(E174="NO ENCONTRADO","CODIGO NO EXISTE",IF(COUNTIF($D$2:D174,D174)&gt;1,"DUPLICADO",IF(C174="","OK SIN PEDIDO",IF(COUNTIFS(PEDIDO_ITEMS!$A$2:$A$501,C174,PEDIDO_ITEMS!$B$2:$B$501,E174)=0,"NO PEDIDO",IF(COUNTIFS($C$2:C174,C174,$E$2:E174,E174)&gt;SUMIFS(PEDIDO_ITEMS!$C$2:$C$501,PEDIDO_ITEMS!$A$2:$A$501,C174,PEDIDO_ITEMS!$B$2:$B$501,E174),"EXCEDE PEDIDO","OK"))))))</f>
        <v/>
      </c>
    </row>
    <row r="175">
      <c r="A175" s="9" t="inlineStr"/>
      <c r="B175" s="2" t="inlineStr"/>
      <c r="C175" s="2" t="inlineStr"/>
      <c r="D175" s="2" t="inlineStr"/>
      <c r="E175" s="2">
        <f>IF(D175="","",IFERROR(XLOOKUP(TRIM(D175),INVENTARIO!$A$2:$A$2000,INVENTARIO!$B$2:$B$2000),"NO ENCONTRADO"))</f>
        <v/>
      </c>
      <c r="F175" s="2">
        <f>IF(D175="","",IFERROR(XLOOKUP(TRIM(D175),INVENTARIO!$A$2:$A$2000,INVENTARIO!$C$2:$C$2000),""))</f>
        <v/>
      </c>
      <c r="G175" s="2">
        <f>IF(D175="","",IF(E175="NO ENCONTRADO","CODIGO NO EXISTE",IF(COUNTIF($D$2:D175,D175)&gt;1,"DUPLICADO",IF(C175="","OK SIN PEDIDO",IF(COUNTIFS(PEDIDO_ITEMS!$A$2:$A$501,C175,PEDIDO_ITEMS!$B$2:$B$501,E175)=0,"NO PEDIDO",IF(COUNTIFS($C$2:C175,C175,$E$2:E175,E175)&gt;SUMIFS(PEDIDO_ITEMS!$C$2:$C$501,PEDIDO_ITEMS!$A$2:$A$501,C175,PEDIDO_ITEMS!$B$2:$B$501,E175),"EXCEDE PEDIDO","OK"))))))</f>
        <v/>
      </c>
    </row>
    <row r="176">
      <c r="A176" s="9" t="inlineStr"/>
      <c r="B176" s="2" t="inlineStr"/>
      <c r="C176" s="2" t="inlineStr"/>
      <c r="D176" s="2" t="inlineStr"/>
      <c r="E176" s="2">
        <f>IF(D176="","",IFERROR(XLOOKUP(TRIM(D176),INVENTARIO!$A$2:$A$2000,INVENTARIO!$B$2:$B$2000),"NO ENCONTRADO"))</f>
        <v/>
      </c>
      <c r="F176" s="2">
        <f>IF(D176="","",IFERROR(XLOOKUP(TRIM(D176),INVENTARIO!$A$2:$A$2000,INVENTARIO!$C$2:$C$2000),""))</f>
        <v/>
      </c>
      <c r="G176" s="2">
        <f>IF(D176="","",IF(E176="NO ENCONTRADO","CODIGO NO EXISTE",IF(COUNTIF($D$2:D176,D176)&gt;1,"DUPLICADO",IF(C176="","OK SIN PEDIDO",IF(COUNTIFS(PEDIDO_ITEMS!$A$2:$A$501,C176,PEDIDO_ITEMS!$B$2:$B$501,E176)=0,"NO PEDIDO",IF(COUNTIFS($C$2:C176,C176,$E$2:E176,E176)&gt;SUMIFS(PEDIDO_ITEMS!$C$2:$C$501,PEDIDO_ITEMS!$A$2:$A$501,C176,PEDIDO_ITEMS!$B$2:$B$501,E176),"EXCEDE PEDIDO","OK"))))))</f>
        <v/>
      </c>
    </row>
    <row r="177">
      <c r="A177" s="9" t="inlineStr"/>
      <c r="B177" s="2" t="inlineStr"/>
      <c r="C177" s="2" t="inlineStr"/>
      <c r="D177" s="2" t="inlineStr"/>
      <c r="E177" s="2">
        <f>IF(D177="","",IFERROR(XLOOKUP(TRIM(D177),INVENTARIO!$A$2:$A$2000,INVENTARIO!$B$2:$B$2000),"NO ENCONTRADO"))</f>
        <v/>
      </c>
      <c r="F177" s="2">
        <f>IF(D177="","",IFERROR(XLOOKUP(TRIM(D177),INVENTARIO!$A$2:$A$2000,INVENTARIO!$C$2:$C$2000),""))</f>
        <v/>
      </c>
      <c r="G177" s="2">
        <f>IF(D177="","",IF(E177="NO ENCONTRADO","CODIGO NO EXISTE",IF(COUNTIF($D$2:D177,D177)&gt;1,"DUPLICADO",IF(C177="","OK SIN PEDIDO",IF(COUNTIFS(PEDIDO_ITEMS!$A$2:$A$501,C177,PEDIDO_ITEMS!$B$2:$B$501,E177)=0,"NO PEDIDO",IF(COUNTIFS($C$2:C177,C177,$E$2:E177,E177)&gt;SUMIFS(PEDIDO_ITEMS!$C$2:$C$501,PEDIDO_ITEMS!$A$2:$A$501,C177,PEDIDO_ITEMS!$B$2:$B$501,E177),"EXCEDE PEDIDO","OK"))))))</f>
        <v/>
      </c>
    </row>
    <row r="178">
      <c r="A178" s="9" t="inlineStr"/>
      <c r="B178" s="2" t="inlineStr"/>
      <c r="C178" s="2" t="inlineStr"/>
      <c r="D178" s="2" t="inlineStr"/>
      <c r="E178" s="2">
        <f>IF(D178="","",IFERROR(XLOOKUP(TRIM(D178),INVENTARIO!$A$2:$A$2000,INVENTARIO!$B$2:$B$2000),"NO ENCONTRADO"))</f>
        <v/>
      </c>
      <c r="F178" s="2">
        <f>IF(D178="","",IFERROR(XLOOKUP(TRIM(D178),INVENTARIO!$A$2:$A$2000,INVENTARIO!$C$2:$C$2000),""))</f>
        <v/>
      </c>
      <c r="G178" s="2">
        <f>IF(D178="","",IF(E178="NO ENCONTRADO","CODIGO NO EXISTE",IF(COUNTIF($D$2:D178,D178)&gt;1,"DUPLICADO",IF(C178="","OK SIN PEDIDO",IF(COUNTIFS(PEDIDO_ITEMS!$A$2:$A$501,C178,PEDIDO_ITEMS!$B$2:$B$501,E178)=0,"NO PEDIDO",IF(COUNTIFS($C$2:C178,C178,$E$2:E178,E178)&gt;SUMIFS(PEDIDO_ITEMS!$C$2:$C$501,PEDIDO_ITEMS!$A$2:$A$501,C178,PEDIDO_ITEMS!$B$2:$B$501,E178),"EXCEDE PEDIDO","OK"))))))</f>
        <v/>
      </c>
    </row>
    <row r="179">
      <c r="A179" s="9" t="inlineStr"/>
      <c r="B179" s="2" t="inlineStr"/>
      <c r="C179" s="2" t="inlineStr"/>
      <c r="D179" s="2" t="inlineStr"/>
      <c r="E179" s="2">
        <f>IF(D179="","",IFERROR(XLOOKUP(TRIM(D179),INVENTARIO!$A$2:$A$2000,INVENTARIO!$B$2:$B$2000),"NO ENCONTRADO"))</f>
        <v/>
      </c>
      <c r="F179" s="2">
        <f>IF(D179="","",IFERROR(XLOOKUP(TRIM(D179),INVENTARIO!$A$2:$A$2000,INVENTARIO!$C$2:$C$2000),""))</f>
        <v/>
      </c>
      <c r="G179" s="2">
        <f>IF(D179="","",IF(E179="NO ENCONTRADO","CODIGO NO EXISTE",IF(COUNTIF($D$2:D179,D179)&gt;1,"DUPLICADO",IF(C179="","OK SIN PEDIDO",IF(COUNTIFS(PEDIDO_ITEMS!$A$2:$A$501,C179,PEDIDO_ITEMS!$B$2:$B$501,E179)=0,"NO PEDIDO",IF(COUNTIFS($C$2:C179,C179,$E$2:E179,E179)&gt;SUMIFS(PEDIDO_ITEMS!$C$2:$C$501,PEDIDO_ITEMS!$A$2:$A$501,C179,PEDIDO_ITEMS!$B$2:$B$501,E179),"EXCEDE PEDIDO","OK"))))))</f>
        <v/>
      </c>
    </row>
    <row r="180">
      <c r="A180" s="9" t="inlineStr"/>
      <c r="B180" s="2" t="inlineStr"/>
      <c r="C180" s="2" t="inlineStr"/>
      <c r="D180" s="2" t="inlineStr"/>
      <c r="E180" s="2">
        <f>IF(D180="","",IFERROR(XLOOKUP(TRIM(D180),INVENTARIO!$A$2:$A$2000,INVENTARIO!$B$2:$B$2000),"NO ENCONTRADO"))</f>
        <v/>
      </c>
      <c r="F180" s="2">
        <f>IF(D180="","",IFERROR(XLOOKUP(TRIM(D180),INVENTARIO!$A$2:$A$2000,INVENTARIO!$C$2:$C$2000),""))</f>
        <v/>
      </c>
      <c r="G180" s="2">
        <f>IF(D180="","",IF(E180="NO ENCONTRADO","CODIGO NO EXISTE",IF(COUNTIF($D$2:D180,D180)&gt;1,"DUPLICADO",IF(C180="","OK SIN PEDIDO",IF(COUNTIFS(PEDIDO_ITEMS!$A$2:$A$501,C180,PEDIDO_ITEMS!$B$2:$B$501,E180)=0,"NO PEDIDO",IF(COUNTIFS($C$2:C180,C180,$E$2:E180,E180)&gt;SUMIFS(PEDIDO_ITEMS!$C$2:$C$501,PEDIDO_ITEMS!$A$2:$A$501,C180,PEDIDO_ITEMS!$B$2:$B$501,E180),"EXCEDE PEDIDO","OK"))))))</f>
        <v/>
      </c>
    </row>
    <row r="181">
      <c r="A181" s="9" t="inlineStr"/>
      <c r="B181" s="2" t="inlineStr"/>
      <c r="C181" s="2" t="inlineStr"/>
      <c r="D181" s="2" t="inlineStr"/>
      <c r="E181" s="2">
        <f>IF(D181="","",IFERROR(XLOOKUP(TRIM(D181),INVENTARIO!$A$2:$A$2000,INVENTARIO!$B$2:$B$2000),"NO ENCONTRADO"))</f>
        <v/>
      </c>
      <c r="F181" s="2">
        <f>IF(D181="","",IFERROR(XLOOKUP(TRIM(D181),INVENTARIO!$A$2:$A$2000,INVENTARIO!$C$2:$C$2000),""))</f>
        <v/>
      </c>
      <c r="G181" s="2">
        <f>IF(D181="","",IF(E181="NO ENCONTRADO","CODIGO NO EXISTE",IF(COUNTIF($D$2:D181,D181)&gt;1,"DUPLICADO",IF(C181="","OK SIN PEDIDO",IF(COUNTIFS(PEDIDO_ITEMS!$A$2:$A$501,C181,PEDIDO_ITEMS!$B$2:$B$501,E181)=0,"NO PEDIDO",IF(COUNTIFS($C$2:C181,C181,$E$2:E181,E181)&gt;SUMIFS(PEDIDO_ITEMS!$C$2:$C$501,PEDIDO_ITEMS!$A$2:$A$501,C181,PEDIDO_ITEMS!$B$2:$B$501,E181),"EXCEDE PEDIDO","OK"))))))</f>
        <v/>
      </c>
    </row>
    <row r="182">
      <c r="A182" s="9" t="inlineStr"/>
      <c r="B182" s="2" t="inlineStr"/>
      <c r="C182" s="2" t="inlineStr"/>
      <c r="D182" s="2" t="inlineStr"/>
      <c r="E182" s="2">
        <f>IF(D182="","",IFERROR(XLOOKUP(TRIM(D182),INVENTARIO!$A$2:$A$2000,INVENTARIO!$B$2:$B$2000),"NO ENCONTRADO"))</f>
        <v/>
      </c>
      <c r="F182" s="2">
        <f>IF(D182="","",IFERROR(XLOOKUP(TRIM(D182),INVENTARIO!$A$2:$A$2000,INVENTARIO!$C$2:$C$2000),""))</f>
        <v/>
      </c>
      <c r="G182" s="2">
        <f>IF(D182="","",IF(E182="NO ENCONTRADO","CODIGO NO EXISTE",IF(COUNTIF($D$2:D182,D182)&gt;1,"DUPLICADO",IF(C182="","OK SIN PEDIDO",IF(COUNTIFS(PEDIDO_ITEMS!$A$2:$A$501,C182,PEDIDO_ITEMS!$B$2:$B$501,E182)=0,"NO PEDIDO",IF(COUNTIFS($C$2:C182,C182,$E$2:E182,E182)&gt;SUMIFS(PEDIDO_ITEMS!$C$2:$C$501,PEDIDO_ITEMS!$A$2:$A$501,C182,PEDIDO_ITEMS!$B$2:$B$501,E182),"EXCEDE PEDIDO","OK"))))))</f>
        <v/>
      </c>
    </row>
    <row r="183">
      <c r="A183" s="9" t="inlineStr"/>
      <c r="B183" s="2" t="inlineStr"/>
      <c r="C183" s="2" t="inlineStr"/>
      <c r="D183" s="2" t="inlineStr"/>
      <c r="E183" s="2">
        <f>IF(D183="","",IFERROR(XLOOKUP(TRIM(D183),INVENTARIO!$A$2:$A$2000,INVENTARIO!$B$2:$B$2000),"NO ENCONTRADO"))</f>
        <v/>
      </c>
      <c r="F183" s="2">
        <f>IF(D183="","",IFERROR(XLOOKUP(TRIM(D183),INVENTARIO!$A$2:$A$2000,INVENTARIO!$C$2:$C$2000),""))</f>
        <v/>
      </c>
      <c r="G183" s="2">
        <f>IF(D183="","",IF(E183="NO ENCONTRADO","CODIGO NO EXISTE",IF(COUNTIF($D$2:D183,D183)&gt;1,"DUPLICADO",IF(C183="","OK SIN PEDIDO",IF(COUNTIFS(PEDIDO_ITEMS!$A$2:$A$501,C183,PEDIDO_ITEMS!$B$2:$B$501,E183)=0,"NO PEDIDO",IF(COUNTIFS($C$2:C183,C183,$E$2:E183,E183)&gt;SUMIFS(PEDIDO_ITEMS!$C$2:$C$501,PEDIDO_ITEMS!$A$2:$A$501,C183,PEDIDO_ITEMS!$B$2:$B$501,E183),"EXCEDE PEDIDO","OK"))))))</f>
        <v/>
      </c>
    </row>
    <row r="184">
      <c r="A184" s="9" t="inlineStr"/>
      <c r="B184" s="2" t="inlineStr"/>
      <c r="C184" s="2" t="inlineStr"/>
      <c r="D184" s="2" t="inlineStr"/>
      <c r="E184" s="2">
        <f>IF(D184="","",IFERROR(XLOOKUP(TRIM(D184),INVENTARIO!$A$2:$A$2000,INVENTARIO!$B$2:$B$2000),"NO ENCONTRADO"))</f>
        <v/>
      </c>
      <c r="F184" s="2">
        <f>IF(D184="","",IFERROR(XLOOKUP(TRIM(D184),INVENTARIO!$A$2:$A$2000,INVENTARIO!$C$2:$C$2000),""))</f>
        <v/>
      </c>
      <c r="G184" s="2">
        <f>IF(D184="","",IF(E184="NO ENCONTRADO","CODIGO NO EXISTE",IF(COUNTIF($D$2:D184,D184)&gt;1,"DUPLICADO",IF(C184="","OK SIN PEDIDO",IF(COUNTIFS(PEDIDO_ITEMS!$A$2:$A$501,C184,PEDIDO_ITEMS!$B$2:$B$501,E184)=0,"NO PEDIDO",IF(COUNTIFS($C$2:C184,C184,$E$2:E184,E184)&gt;SUMIFS(PEDIDO_ITEMS!$C$2:$C$501,PEDIDO_ITEMS!$A$2:$A$501,C184,PEDIDO_ITEMS!$B$2:$B$501,E184),"EXCEDE PEDIDO","OK"))))))</f>
        <v/>
      </c>
    </row>
    <row r="185">
      <c r="A185" s="9" t="inlineStr"/>
      <c r="B185" s="2" t="inlineStr"/>
      <c r="C185" s="2" t="inlineStr"/>
      <c r="D185" s="2" t="inlineStr"/>
      <c r="E185" s="2">
        <f>IF(D185="","",IFERROR(XLOOKUP(TRIM(D185),INVENTARIO!$A$2:$A$2000,INVENTARIO!$B$2:$B$2000),"NO ENCONTRADO"))</f>
        <v/>
      </c>
      <c r="F185" s="2">
        <f>IF(D185="","",IFERROR(XLOOKUP(TRIM(D185),INVENTARIO!$A$2:$A$2000,INVENTARIO!$C$2:$C$2000),""))</f>
        <v/>
      </c>
      <c r="G185" s="2">
        <f>IF(D185="","",IF(E185="NO ENCONTRADO","CODIGO NO EXISTE",IF(COUNTIF($D$2:D185,D185)&gt;1,"DUPLICADO",IF(C185="","OK SIN PEDIDO",IF(COUNTIFS(PEDIDO_ITEMS!$A$2:$A$501,C185,PEDIDO_ITEMS!$B$2:$B$501,E185)=0,"NO PEDIDO",IF(COUNTIFS($C$2:C185,C185,$E$2:E185,E185)&gt;SUMIFS(PEDIDO_ITEMS!$C$2:$C$501,PEDIDO_ITEMS!$A$2:$A$501,C185,PEDIDO_ITEMS!$B$2:$B$501,E185),"EXCEDE PEDIDO","OK"))))))</f>
        <v/>
      </c>
    </row>
    <row r="186">
      <c r="A186" s="9" t="inlineStr"/>
      <c r="B186" s="2" t="inlineStr"/>
      <c r="C186" s="2" t="inlineStr"/>
      <c r="D186" s="2" t="inlineStr"/>
      <c r="E186" s="2">
        <f>IF(D186="","",IFERROR(XLOOKUP(TRIM(D186),INVENTARIO!$A$2:$A$2000,INVENTARIO!$B$2:$B$2000),"NO ENCONTRADO"))</f>
        <v/>
      </c>
      <c r="F186" s="2">
        <f>IF(D186="","",IFERROR(XLOOKUP(TRIM(D186),INVENTARIO!$A$2:$A$2000,INVENTARIO!$C$2:$C$2000),""))</f>
        <v/>
      </c>
      <c r="G186" s="2">
        <f>IF(D186="","",IF(E186="NO ENCONTRADO","CODIGO NO EXISTE",IF(COUNTIF($D$2:D186,D186)&gt;1,"DUPLICADO",IF(C186="","OK SIN PEDIDO",IF(COUNTIFS(PEDIDO_ITEMS!$A$2:$A$501,C186,PEDIDO_ITEMS!$B$2:$B$501,E186)=0,"NO PEDIDO",IF(COUNTIFS($C$2:C186,C186,$E$2:E186,E186)&gt;SUMIFS(PEDIDO_ITEMS!$C$2:$C$501,PEDIDO_ITEMS!$A$2:$A$501,C186,PEDIDO_ITEMS!$B$2:$B$501,E186),"EXCEDE PEDIDO","OK"))))))</f>
        <v/>
      </c>
    </row>
    <row r="187">
      <c r="A187" s="9" t="inlineStr"/>
      <c r="B187" s="2" t="inlineStr"/>
      <c r="C187" s="2" t="inlineStr"/>
      <c r="D187" s="2" t="inlineStr"/>
      <c r="E187" s="2">
        <f>IF(D187="","",IFERROR(XLOOKUP(TRIM(D187),INVENTARIO!$A$2:$A$2000,INVENTARIO!$B$2:$B$2000),"NO ENCONTRADO"))</f>
        <v/>
      </c>
      <c r="F187" s="2">
        <f>IF(D187="","",IFERROR(XLOOKUP(TRIM(D187),INVENTARIO!$A$2:$A$2000,INVENTARIO!$C$2:$C$2000),""))</f>
        <v/>
      </c>
      <c r="G187" s="2">
        <f>IF(D187="","",IF(E187="NO ENCONTRADO","CODIGO NO EXISTE",IF(COUNTIF($D$2:D187,D187)&gt;1,"DUPLICADO",IF(C187="","OK SIN PEDIDO",IF(COUNTIFS(PEDIDO_ITEMS!$A$2:$A$501,C187,PEDIDO_ITEMS!$B$2:$B$501,E187)=0,"NO PEDIDO",IF(COUNTIFS($C$2:C187,C187,$E$2:E187,E187)&gt;SUMIFS(PEDIDO_ITEMS!$C$2:$C$501,PEDIDO_ITEMS!$A$2:$A$501,C187,PEDIDO_ITEMS!$B$2:$B$501,E187),"EXCEDE PEDIDO","OK"))))))</f>
        <v/>
      </c>
    </row>
    <row r="188">
      <c r="A188" s="9" t="inlineStr"/>
      <c r="B188" s="2" t="inlineStr"/>
      <c r="C188" s="2" t="inlineStr"/>
      <c r="D188" s="2" t="inlineStr"/>
      <c r="E188" s="2">
        <f>IF(D188="","",IFERROR(XLOOKUP(TRIM(D188),INVENTARIO!$A$2:$A$2000,INVENTARIO!$B$2:$B$2000),"NO ENCONTRADO"))</f>
        <v/>
      </c>
      <c r="F188" s="2">
        <f>IF(D188="","",IFERROR(XLOOKUP(TRIM(D188),INVENTARIO!$A$2:$A$2000,INVENTARIO!$C$2:$C$2000),""))</f>
        <v/>
      </c>
      <c r="G188" s="2">
        <f>IF(D188="","",IF(E188="NO ENCONTRADO","CODIGO NO EXISTE",IF(COUNTIF($D$2:D188,D188)&gt;1,"DUPLICADO",IF(C188="","OK SIN PEDIDO",IF(COUNTIFS(PEDIDO_ITEMS!$A$2:$A$501,C188,PEDIDO_ITEMS!$B$2:$B$501,E188)=0,"NO PEDIDO",IF(COUNTIFS($C$2:C188,C188,$E$2:E188,E188)&gt;SUMIFS(PEDIDO_ITEMS!$C$2:$C$501,PEDIDO_ITEMS!$A$2:$A$501,C188,PEDIDO_ITEMS!$B$2:$B$501,E188),"EXCEDE PEDIDO","OK"))))))</f>
        <v/>
      </c>
    </row>
    <row r="189">
      <c r="A189" s="9" t="inlineStr"/>
      <c r="B189" s="2" t="inlineStr"/>
      <c r="C189" s="2" t="inlineStr"/>
      <c r="D189" s="2" t="inlineStr"/>
      <c r="E189" s="2">
        <f>IF(D189="","",IFERROR(XLOOKUP(TRIM(D189),INVENTARIO!$A$2:$A$2000,INVENTARIO!$B$2:$B$2000),"NO ENCONTRADO"))</f>
        <v/>
      </c>
      <c r="F189" s="2">
        <f>IF(D189="","",IFERROR(XLOOKUP(TRIM(D189),INVENTARIO!$A$2:$A$2000,INVENTARIO!$C$2:$C$2000),""))</f>
        <v/>
      </c>
      <c r="G189" s="2">
        <f>IF(D189="","",IF(E189="NO ENCONTRADO","CODIGO NO EXISTE",IF(COUNTIF($D$2:D189,D189)&gt;1,"DUPLICADO",IF(C189="","OK SIN PEDIDO",IF(COUNTIFS(PEDIDO_ITEMS!$A$2:$A$501,C189,PEDIDO_ITEMS!$B$2:$B$501,E189)=0,"NO PEDIDO",IF(COUNTIFS($C$2:C189,C189,$E$2:E189,E189)&gt;SUMIFS(PEDIDO_ITEMS!$C$2:$C$501,PEDIDO_ITEMS!$A$2:$A$501,C189,PEDIDO_ITEMS!$B$2:$B$501,E189),"EXCEDE PEDIDO","OK"))))))</f>
        <v/>
      </c>
    </row>
    <row r="190">
      <c r="A190" s="9" t="inlineStr"/>
      <c r="B190" s="2" t="inlineStr"/>
      <c r="C190" s="2" t="inlineStr"/>
      <c r="D190" s="2" t="inlineStr"/>
      <c r="E190" s="2">
        <f>IF(D190="","",IFERROR(XLOOKUP(TRIM(D190),INVENTARIO!$A$2:$A$2000,INVENTARIO!$B$2:$B$2000),"NO ENCONTRADO"))</f>
        <v/>
      </c>
      <c r="F190" s="2">
        <f>IF(D190="","",IFERROR(XLOOKUP(TRIM(D190),INVENTARIO!$A$2:$A$2000,INVENTARIO!$C$2:$C$2000),""))</f>
        <v/>
      </c>
      <c r="G190" s="2">
        <f>IF(D190="","",IF(E190="NO ENCONTRADO","CODIGO NO EXISTE",IF(COUNTIF($D$2:D190,D190)&gt;1,"DUPLICADO",IF(C190="","OK SIN PEDIDO",IF(COUNTIFS(PEDIDO_ITEMS!$A$2:$A$501,C190,PEDIDO_ITEMS!$B$2:$B$501,E190)=0,"NO PEDIDO",IF(COUNTIFS($C$2:C190,C190,$E$2:E190,E190)&gt;SUMIFS(PEDIDO_ITEMS!$C$2:$C$501,PEDIDO_ITEMS!$A$2:$A$501,C190,PEDIDO_ITEMS!$B$2:$B$501,E190),"EXCEDE PEDIDO","OK"))))))</f>
        <v/>
      </c>
    </row>
    <row r="191">
      <c r="A191" s="9" t="inlineStr"/>
      <c r="B191" s="2" t="inlineStr"/>
      <c r="C191" s="2" t="inlineStr"/>
      <c r="D191" s="2" t="inlineStr"/>
      <c r="E191" s="2">
        <f>IF(D191="","",IFERROR(XLOOKUP(TRIM(D191),INVENTARIO!$A$2:$A$2000,INVENTARIO!$B$2:$B$2000),"NO ENCONTRADO"))</f>
        <v/>
      </c>
      <c r="F191" s="2">
        <f>IF(D191="","",IFERROR(XLOOKUP(TRIM(D191),INVENTARIO!$A$2:$A$2000,INVENTARIO!$C$2:$C$2000),""))</f>
        <v/>
      </c>
      <c r="G191" s="2">
        <f>IF(D191="","",IF(E191="NO ENCONTRADO","CODIGO NO EXISTE",IF(COUNTIF($D$2:D191,D191)&gt;1,"DUPLICADO",IF(C191="","OK SIN PEDIDO",IF(COUNTIFS(PEDIDO_ITEMS!$A$2:$A$501,C191,PEDIDO_ITEMS!$B$2:$B$501,E191)=0,"NO PEDIDO",IF(COUNTIFS($C$2:C191,C191,$E$2:E191,E191)&gt;SUMIFS(PEDIDO_ITEMS!$C$2:$C$501,PEDIDO_ITEMS!$A$2:$A$501,C191,PEDIDO_ITEMS!$B$2:$B$501,E191),"EXCEDE PEDIDO","OK"))))))</f>
        <v/>
      </c>
    </row>
    <row r="192">
      <c r="A192" s="9" t="inlineStr"/>
      <c r="B192" s="2" t="inlineStr"/>
      <c r="C192" s="2" t="inlineStr"/>
      <c r="D192" s="2" t="inlineStr"/>
      <c r="E192" s="2">
        <f>IF(D192="","",IFERROR(XLOOKUP(TRIM(D192),INVENTARIO!$A$2:$A$2000,INVENTARIO!$B$2:$B$2000),"NO ENCONTRADO"))</f>
        <v/>
      </c>
      <c r="F192" s="2">
        <f>IF(D192="","",IFERROR(XLOOKUP(TRIM(D192),INVENTARIO!$A$2:$A$2000,INVENTARIO!$C$2:$C$2000),""))</f>
        <v/>
      </c>
      <c r="G192" s="2">
        <f>IF(D192="","",IF(E192="NO ENCONTRADO","CODIGO NO EXISTE",IF(COUNTIF($D$2:D192,D192)&gt;1,"DUPLICADO",IF(C192="","OK SIN PEDIDO",IF(COUNTIFS(PEDIDO_ITEMS!$A$2:$A$501,C192,PEDIDO_ITEMS!$B$2:$B$501,E192)=0,"NO PEDIDO",IF(COUNTIFS($C$2:C192,C192,$E$2:E192,E192)&gt;SUMIFS(PEDIDO_ITEMS!$C$2:$C$501,PEDIDO_ITEMS!$A$2:$A$501,C192,PEDIDO_ITEMS!$B$2:$B$501,E192),"EXCEDE PEDIDO","OK"))))))</f>
        <v/>
      </c>
    </row>
    <row r="193">
      <c r="A193" s="9" t="inlineStr"/>
      <c r="B193" s="2" t="inlineStr"/>
      <c r="C193" s="2" t="inlineStr"/>
      <c r="D193" s="2" t="inlineStr"/>
      <c r="E193" s="2">
        <f>IF(D193="","",IFERROR(XLOOKUP(TRIM(D193),INVENTARIO!$A$2:$A$2000,INVENTARIO!$B$2:$B$2000),"NO ENCONTRADO"))</f>
        <v/>
      </c>
      <c r="F193" s="2">
        <f>IF(D193="","",IFERROR(XLOOKUP(TRIM(D193),INVENTARIO!$A$2:$A$2000,INVENTARIO!$C$2:$C$2000),""))</f>
        <v/>
      </c>
      <c r="G193" s="2">
        <f>IF(D193="","",IF(E193="NO ENCONTRADO","CODIGO NO EXISTE",IF(COUNTIF($D$2:D193,D193)&gt;1,"DUPLICADO",IF(C193="","OK SIN PEDIDO",IF(COUNTIFS(PEDIDO_ITEMS!$A$2:$A$501,C193,PEDIDO_ITEMS!$B$2:$B$501,E193)=0,"NO PEDIDO",IF(COUNTIFS($C$2:C193,C193,$E$2:E193,E193)&gt;SUMIFS(PEDIDO_ITEMS!$C$2:$C$501,PEDIDO_ITEMS!$A$2:$A$501,C193,PEDIDO_ITEMS!$B$2:$B$501,E193),"EXCEDE PEDIDO","OK"))))))</f>
        <v/>
      </c>
    </row>
    <row r="194">
      <c r="A194" s="9" t="inlineStr"/>
      <c r="B194" s="2" t="inlineStr"/>
      <c r="C194" s="2" t="inlineStr"/>
      <c r="D194" s="2" t="inlineStr"/>
      <c r="E194" s="2">
        <f>IF(D194="","",IFERROR(XLOOKUP(TRIM(D194),INVENTARIO!$A$2:$A$2000,INVENTARIO!$B$2:$B$2000),"NO ENCONTRADO"))</f>
        <v/>
      </c>
      <c r="F194" s="2">
        <f>IF(D194="","",IFERROR(XLOOKUP(TRIM(D194),INVENTARIO!$A$2:$A$2000,INVENTARIO!$C$2:$C$2000),""))</f>
        <v/>
      </c>
      <c r="G194" s="2">
        <f>IF(D194="","",IF(E194="NO ENCONTRADO","CODIGO NO EXISTE",IF(COUNTIF($D$2:D194,D194)&gt;1,"DUPLICADO",IF(C194="","OK SIN PEDIDO",IF(COUNTIFS(PEDIDO_ITEMS!$A$2:$A$501,C194,PEDIDO_ITEMS!$B$2:$B$501,E194)=0,"NO PEDIDO",IF(COUNTIFS($C$2:C194,C194,$E$2:E194,E194)&gt;SUMIFS(PEDIDO_ITEMS!$C$2:$C$501,PEDIDO_ITEMS!$A$2:$A$501,C194,PEDIDO_ITEMS!$B$2:$B$501,E194),"EXCEDE PEDIDO","OK"))))))</f>
        <v/>
      </c>
    </row>
    <row r="195">
      <c r="A195" s="9" t="inlineStr"/>
      <c r="B195" s="2" t="inlineStr"/>
      <c r="C195" s="2" t="inlineStr"/>
      <c r="D195" s="2" t="inlineStr"/>
      <c r="E195" s="2">
        <f>IF(D195="","",IFERROR(XLOOKUP(TRIM(D195),INVENTARIO!$A$2:$A$2000,INVENTARIO!$B$2:$B$2000),"NO ENCONTRADO"))</f>
        <v/>
      </c>
      <c r="F195" s="2">
        <f>IF(D195="","",IFERROR(XLOOKUP(TRIM(D195),INVENTARIO!$A$2:$A$2000,INVENTARIO!$C$2:$C$2000),""))</f>
        <v/>
      </c>
      <c r="G195" s="2">
        <f>IF(D195="","",IF(E195="NO ENCONTRADO","CODIGO NO EXISTE",IF(COUNTIF($D$2:D195,D195)&gt;1,"DUPLICADO",IF(C195="","OK SIN PEDIDO",IF(COUNTIFS(PEDIDO_ITEMS!$A$2:$A$501,C195,PEDIDO_ITEMS!$B$2:$B$501,E195)=0,"NO PEDIDO",IF(COUNTIFS($C$2:C195,C195,$E$2:E195,E195)&gt;SUMIFS(PEDIDO_ITEMS!$C$2:$C$501,PEDIDO_ITEMS!$A$2:$A$501,C195,PEDIDO_ITEMS!$B$2:$B$501,E195),"EXCEDE PEDIDO","OK"))))))</f>
        <v/>
      </c>
    </row>
    <row r="196">
      <c r="A196" s="9" t="inlineStr"/>
      <c r="B196" s="2" t="inlineStr"/>
      <c r="C196" s="2" t="inlineStr"/>
      <c r="D196" s="2" t="inlineStr"/>
      <c r="E196" s="2">
        <f>IF(D196="","",IFERROR(XLOOKUP(TRIM(D196),INVENTARIO!$A$2:$A$2000,INVENTARIO!$B$2:$B$2000),"NO ENCONTRADO"))</f>
        <v/>
      </c>
      <c r="F196" s="2">
        <f>IF(D196="","",IFERROR(XLOOKUP(TRIM(D196),INVENTARIO!$A$2:$A$2000,INVENTARIO!$C$2:$C$2000),""))</f>
        <v/>
      </c>
      <c r="G196" s="2">
        <f>IF(D196="","",IF(E196="NO ENCONTRADO","CODIGO NO EXISTE",IF(COUNTIF($D$2:D196,D196)&gt;1,"DUPLICADO",IF(C196="","OK SIN PEDIDO",IF(COUNTIFS(PEDIDO_ITEMS!$A$2:$A$501,C196,PEDIDO_ITEMS!$B$2:$B$501,E196)=0,"NO PEDIDO",IF(COUNTIFS($C$2:C196,C196,$E$2:E196,E196)&gt;SUMIFS(PEDIDO_ITEMS!$C$2:$C$501,PEDIDO_ITEMS!$A$2:$A$501,C196,PEDIDO_ITEMS!$B$2:$B$501,E196),"EXCEDE PEDIDO","OK"))))))</f>
        <v/>
      </c>
    </row>
    <row r="197">
      <c r="A197" s="9" t="inlineStr"/>
      <c r="B197" s="2" t="inlineStr"/>
      <c r="C197" s="2" t="inlineStr"/>
      <c r="D197" s="2" t="inlineStr"/>
      <c r="E197" s="2">
        <f>IF(D197="","",IFERROR(XLOOKUP(TRIM(D197),INVENTARIO!$A$2:$A$2000,INVENTARIO!$B$2:$B$2000),"NO ENCONTRADO"))</f>
        <v/>
      </c>
      <c r="F197" s="2">
        <f>IF(D197="","",IFERROR(XLOOKUP(TRIM(D197),INVENTARIO!$A$2:$A$2000,INVENTARIO!$C$2:$C$2000),""))</f>
        <v/>
      </c>
      <c r="G197" s="2">
        <f>IF(D197="","",IF(E197="NO ENCONTRADO","CODIGO NO EXISTE",IF(COUNTIF($D$2:D197,D197)&gt;1,"DUPLICADO",IF(C197="","OK SIN PEDIDO",IF(COUNTIFS(PEDIDO_ITEMS!$A$2:$A$501,C197,PEDIDO_ITEMS!$B$2:$B$501,E197)=0,"NO PEDIDO",IF(COUNTIFS($C$2:C197,C197,$E$2:E197,E197)&gt;SUMIFS(PEDIDO_ITEMS!$C$2:$C$501,PEDIDO_ITEMS!$A$2:$A$501,C197,PEDIDO_ITEMS!$B$2:$B$501,E197),"EXCEDE PEDIDO","OK"))))))</f>
        <v/>
      </c>
    </row>
    <row r="198">
      <c r="A198" s="9" t="inlineStr"/>
      <c r="B198" s="2" t="inlineStr"/>
      <c r="C198" s="2" t="inlineStr"/>
      <c r="D198" s="2" t="inlineStr"/>
      <c r="E198" s="2">
        <f>IF(D198="","",IFERROR(XLOOKUP(TRIM(D198),INVENTARIO!$A$2:$A$2000,INVENTARIO!$B$2:$B$2000),"NO ENCONTRADO"))</f>
        <v/>
      </c>
      <c r="F198" s="2">
        <f>IF(D198="","",IFERROR(XLOOKUP(TRIM(D198),INVENTARIO!$A$2:$A$2000,INVENTARIO!$C$2:$C$2000),""))</f>
        <v/>
      </c>
      <c r="G198" s="2">
        <f>IF(D198="","",IF(E198="NO ENCONTRADO","CODIGO NO EXISTE",IF(COUNTIF($D$2:D198,D198)&gt;1,"DUPLICADO",IF(C198="","OK SIN PEDIDO",IF(COUNTIFS(PEDIDO_ITEMS!$A$2:$A$501,C198,PEDIDO_ITEMS!$B$2:$B$501,E198)=0,"NO PEDIDO",IF(COUNTIFS($C$2:C198,C198,$E$2:E198,E198)&gt;SUMIFS(PEDIDO_ITEMS!$C$2:$C$501,PEDIDO_ITEMS!$A$2:$A$501,C198,PEDIDO_ITEMS!$B$2:$B$501,E198),"EXCEDE PEDIDO","OK"))))))</f>
        <v/>
      </c>
    </row>
    <row r="199">
      <c r="A199" s="9" t="inlineStr"/>
      <c r="B199" s="2" t="inlineStr"/>
      <c r="C199" s="2" t="inlineStr"/>
      <c r="D199" s="2" t="inlineStr"/>
      <c r="E199" s="2">
        <f>IF(D199="","",IFERROR(XLOOKUP(TRIM(D199),INVENTARIO!$A$2:$A$2000,INVENTARIO!$B$2:$B$2000),"NO ENCONTRADO"))</f>
        <v/>
      </c>
      <c r="F199" s="2">
        <f>IF(D199="","",IFERROR(XLOOKUP(TRIM(D199),INVENTARIO!$A$2:$A$2000,INVENTARIO!$C$2:$C$2000),""))</f>
        <v/>
      </c>
      <c r="G199" s="2">
        <f>IF(D199="","",IF(E199="NO ENCONTRADO","CODIGO NO EXISTE",IF(COUNTIF($D$2:D199,D199)&gt;1,"DUPLICADO",IF(C199="","OK SIN PEDIDO",IF(COUNTIFS(PEDIDO_ITEMS!$A$2:$A$501,C199,PEDIDO_ITEMS!$B$2:$B$501,E199)=0,"NO PEDIDO",IF(COUNTIFS($C$2:C199,C199,$E$2:E199,E199)&gt;SUMIFS(PEDIDO_ITEMS!$C$2:$C$501,PEDIDO_ITEMS!$A$2:$A$501,C199,PEDIDO_ITEMS!$B$2:$B$501,E199),"EXCEDE PEDIDO","OK"))))))</f>
        <v/>
      </c>
    </row>
    <row r="200">
      <c r="A200" s="9" t="inlineStr"/>
      <c r="B200" s="2" t="inlineStr"/>
      <c r="C200" s="2" t="inlineStr"/>
      <c r="D200" s="2" t="inlineStr"/>
      <c r="E200" s="2">
        <f>IF(D200="","",IFERROR(XLOOKUP(TRIM(D200),INVENTARIO!$A$2:$A$2000,INVENTARIO!$B$2:$B$2000),"NO ENCONTRADO"))</f>
        <v/>
      </c>
      <c r="F200" s="2">
        <f>IF(D200="","",IFERROR(XLOOKUP(TRIM(D200),INVENTARIO!$A$2:$A$2000,INVENTARIO!$C$2:$C$2000),""))</f>
        <v/>
      </c>
      <c r="G200" s="2">
        <f>IF(D200="","",IF(E200="NO ENCONTRADO","CODIGO NO EXISTE",IF(COUNTIF($D$2:D200,D200)&gt;1,"DUPLICADO",IF(C200="","OK SIN PEDIDO",IF(COUNTIFS(PEDIDO_ITEMS!$A$2:$A$501,C200,PEDIDO_ITEMS!$B$2:$B$501,E200)=0,"NO PEDIDO",IF(COUNTIFS($C$2:C200,C200,$E$2:E200,E200)&gt;SUMIFS(PEDIDO_ITEMS!$C$2:$C$501,PEDIDO_ITEMS!$A$2:$A$501,C200,PEDIDO_ITEMS!$B$2:$B$501,E200),"EXCEDE PEDIDO","OK"))))))</f>
        <v/>
      </c>
    </row>
    <row r="201">
      <c r="A201" s="9" t="inlineStr"/>
      <c r="B201" s="2" t="inlineStr"/>
      <c r="C201" s="2" t="inlineStr"/>
      <c r="D201" s="2" t="inlineStr"/>
      <c r="E201" s="2">
        <f>IF(D201="","",IFERROR(XLOOKUP(TRIM(D201),INVENTARIO!$A$2:$A$2000,INVENTARIO!$B$2:$B$2000),"NO ENCONTRADO"))</f>
        <v/>
      </c>
      <c r="F201" s="2">
        <f>IF(D201="","",IFERROR(XLOOKUP(TRIM(D201),INVENTARIO!$A$2:$A$2000,INVENTARIO!$C$2:$C$2000),""))</f>
        <v/>
      </c>
      <c r="G201" s="2">
        <f>IF(D201="","",IF(E201="NO ENCONTRADO","CODIGO NO EXISTE",IF(COUNTIF($D$2:D201,D201)&gt;1,"DUPLICADO",IF(C201="","OK SIN PEDIDO",IF(COUNTIFS(PEDIDO_ITEMS!$A$2:$A$501,C201,PEDIDO_ITEMS!$B$2:$B$501,E201)=0,"NO PEDIDO",IF(COUNTIFS($C$2:C201,C201,$E$2:E201,E201)&gt;SUMIFS(PEDIDO_ITEMS!$C$2:$C$501,PEDIDO_ITEMS!$A$2:$A$501,C201,PEDIDO_ITEMS!$B$2:$B$501,E201),"EXCEDE PEDIDO","OK"))))))</f>
        <v/>
      </c>
    </row>
    <row r="202">
      <c r="A202" s="9" t="inlineStr"/>
      <c r="B202" s="2" t="inlineStr"/>
      <c r="C202" s="2" t="inlineStr"/>
      <c r="D202" s="2" t="inlineStr"/>
      <c r="E202" s="2">
        <f>IF(D202="","",IFERROR(XLOOKUP(TRIM(D202),INVENTARIO!$A$2:$A$2000,INVENTARIO!$B$2:$B$2000),"NO ENCONTRADO"))</f>
        <v/>
      </c>
      <c r="F202" s="2">
        <f>IF(D202="","",IFERROR(XLOOKUP(TRIM(D202),INVENTARIO!$A$2:$A$2000,INVENTARIO!$C$2:$C$2000),""))</f>
        <v/>
      </c>
      <c r="G202" s="2">
        <f>IF(D202="","",IF(E202="NO ENCONTRADO","CODIGO NO EXISTE",IF(COUNTIF($D$2:D202,D202)&gt;1,"DUPLICADO",IF(C202="","OK SIN PEDIDO",IF(COUNTIFS(PEDIDO_ITEMS!$A$2:$A$501,C202,PEDIDO_ITEMS!$B$2:$B$501,E202)=0,"NO PEDIDO",IF(COUNTIFS($C$2:C202,C202,$E$2:E202,E202)&gt;SUMIFS(PEDIDO_ITEMS!$C$2:$C$501,PEDIDO_ITEMS!$A$2:$A$501,C202,PEDIDO_ITEMS!$B$2:$B$501,E202),"EXCEDE PEDIDO","OK"))))))</f>
        <v/>
      </c>
    </row>
    <row r="203">
      <c r="A203" s="9" t="inlineStr"/>
      <c r="B203" s="2" t="inlineStr"/>
      <c r="C203" s="2" t="inlineStr"/>
      <c r="D203" s="2" t="inlineStr"/>
      <c r="E203" s="2">
        <f>IF(D203="","",IFERROR(XLOOKUP(TRIM(D203),INVENTARIO!$A$2:$A$2000,INVENTARIO!$B$2:$B$2000),"NO ENCONTRADO"))</f>
        <v/>
      </c>
      <c r="F203" s="2">
        <f>IF(D203="","",IFERROR(XLOOKUP(TRIM(D203),INVENTARIO!$A$2:$A$2000,INVENTARIO!$C$2:$C$2000),""))</f>
        <v/>
      </c>
      <c r="G203" s="2">
        <f>IF(D203="","",IF(E203="NO ENCONTRADO","CODIGO NO EXISTE",IF(COUNTIF($D$2:D203,D203)&gt;1,"DUPLICADO",IF(C203="","OK SIN PEDIDO",IF(COUNTIFS(PEDIDO_ITEMS!$A$2:$A$501,C203,PEDIDO_ITEMS!$B$2:$B$501,E203)=0,"NO PEDIDO",IF(COUNTIFS($C$2:C203,C203,$E$2:E203,E203)&gt;SUMIFS(PEDIDO_ITEMS!$C$2:$C$501,PEDIDO_ITEMS!$A$2:$A$501,C203,PEDIDO_ITEMS!$B$2:$B$501,E203),"EXCEDE PEDIDO","OK"))))))</f>
        <v/>
      </c>
    </row>
    <row r="204">
      <c r="A204" s="9" t="inlineStr"/>
      <c r="B204" s="2" t="inlineStr"/>
      <c r="C204" s="2" t="inlineStr"/>
      <c r="D204" s="2" t="inlineStr"/>
      <c r="E204" s="2">
        <f>IF(D204="","",IFERROR(XLOOKUP(TRIM(D204),INVENTARIO!$A$2:$A$2000,INVENTARIO!$B$2:$B$2000),"NO ENCONTRADO"))</f>
        <v/>
      </c>
      <c r="F204" s="2">
        <f>IF(D204="","",IFERROR(XLOOKUP(TRIM(D204),INVENTARIO!$A$2:$A$2000,INVENTARIO!$C$2:$C$2000),""))</f>
        <v/>
      </c>
      <c r="G204" s="2">
        <f>IF(D204="","",IF(E204="NO ENCONTRADO","CODIGO NO EXISTE",IF(COUNTIF($D$2:D204,D204)&gt;1,"DUPLICADO",IF(C204="","OK SIN PEDIDO",IF(COUNTIFS(PEDIDO_ITEMS!$A$2:$A$501,C204,PEDIDO_ITEMS!$B$2:$B$501,E204)=0,"NO PEDIDO",IF(COUNTIFS($C$2:C204,C204,$E$2:E204,E204)&gt;SUMIFS(PEDIDO_ITEMS!$C$2:$C$501,PEDIDO_ITEMS!$A$2:$A$501,C204,PEDIDO_ITEMS!$B$2:$B$501,E204),"EXCEDE PEDIDO","OK"))))))</f>
        <v/>
      </c>
    </row>
    <row r="205">
      <c r="A205" s="9" t="inlineStr"/>
      <c r="B205" s="2" t="inlineStr"/>
      <c r="C205" s="2" t="inlineStr"/>
      <c r="D205" s="2" t="inlineStr"/>
      <c r="E205" s="2">
        <f>IF(D205="","",IFERROR(XLOOKUP(TRIM(D205),INVENTARIO!$A$2:$A$2000,INVENTARIO!$B$2:$B$2000),"NO ENCONTRADO"))</f>
        <v/>
      </c>
      <c r="F205" s="2">
        <f>IF(D205="","",IFERROR(XLOOKUP(TRIM(D205),INVENTARIO!$A$2:$A$2000,INVENTARIO!$C$2:$C$2000),""))</f>
        <v/>
      </c>
      <c r="G205" s="2">
        <f>IF(D205="","",IF(E205="NO ENCONTRADO","CODIGO NO EXISTE",IF(COUNTIF($D$2:D205,D205)&gt;1,"DUPLICADO",IF(C205="","OK SIN PEDIDO",IF(COUNTIFS(PEDIDO_ITEMS!$A$2:$A$501,C205,PEDIDO_ITEMS!$B$2:$B$501,E205)=0,"NO PEDIDO",IF(COUNTIFS($C$2:C205,C205,$E$2:E205,E205)&gt;SUMIFS(PEDIDO_ITEMS!$C$2:$C$501,PEDIDO_ITEMS!$A$2:$A$501,C205,PEDIDO_ITEMS!$B$2:$B$501,E205),"EXCEDE PEDIDO","OK"))))))</f>
        <v/>
      </c>
    </row>
    <row r="206">
      <c r="A206" s="9" t="inlineStr"/>
      <c r="B206" s="2" t="inlineStr"/>
      <c r="C206" s="2" t="inlineStr"/>
      <c r="D206" s="2" t="inlineStr"/>
      <c r="E206" s="2">
        <f>IF(D206="","",IFERROR(XLOOKUP(TRIM(D206),INVENTARIO!$A$2:$A$2000,INVENTARIO!$B$2:$B$2000),"NO ENCONTRADO"))</f>
        <v/>
      </c>
      <c r="F206" s="2">
        <f>IF(D206="","",IFERROR(XLOOKUP(TRIM(D206),INVENTARIO!$A$2:$A$2000,INVENTARIO!$C$2:$C$2000),""))</f>
        <v/>
      </c>
      <c r="G206" s="2">
        <f>IF(D206="","",IF(E206="NO ENCONTRADO","CODIGO NO EXISTE",IF(COUNTIF($D$2:D206,D206)&gt;1,"DUPLICADO",IF(C206="","OK SIN PEDIDO",IF(COUNTIFS(PEDIDO_ITEMS!$A$2:$A$501,C206,PEDIDO_ITEMS!$B$2:$B$501,E206)=0,"NO PEDIDO",IF(COUNTIFS($C$2:C206,C206,$E$2:E206,E206)&gt;SUMIFS(PEDIDO_ITEMS!$C$2:$C$501,PEDIDO_ITEMS!$A$2:$A$501,C206,PEDIDO_ITEMS!$B$2:$B$501,E206),"EXCEDE PEDIDO","OK"))))))</f>
        <v/>
      </c>
    </row>
    <row r="207">
      <c r="A207" s="9" t="inlineStr"/>
      <c r="B207" s="2" t="inlineStr"/>
      <c r="C207" s="2" t="inlineStr"/>
      <c r="D207" s="2" t="inlineStr"/>
      <c r="E207" s="2">
        <f>IF(D207="","",IFERROR(XLOOKUP(TRIM(D207),INVENTARIO!$A$2:$A$2000,INVENTARIO!$B$2:$B$2000),"NO ENCONTRADO"))</f>
        <v/>
      </c>
      <c r="F207" s="2">
        <f>IF(D207="","",IFERROR(XLOOKUP(TRIM(D207),INVENTARIO!$A$2:$A$2000,INVENTARIO!$C$2:$C$2000),""))</f>
        <v/>
      </c>
      <c r="G207" s="2">
        <f>IF(D207="","",IF(E207="NO ENCONTRADO","CODIGO NO EXISTE",IF(COUNTIF($D$2:D207,D207)&gt;1,"DUPLICADO",IF(C207="","OK SIN PEDIDO",IF(COUNTIFS(PEDIDO_ITEMS!$A$2:$A$501,C207,PEDIDO_ITEMS!$B$2:$B$501,E207)=0,"NO PEDIDO",IF(COUNTIFS($C$2:C207,C207,$E$2:E207,E207)&gt;SUMIFS(PEDIDO_ITEMS!$C$2:$C$501,PEDIDO_ITEMS!$A$2:$A$501,C207,PEDIDO_ITEMS!$B$2:$B$501,E207),"EXCEDE PEDIDO","OK"))))))</f>
        <v/>
      </c>
    </row>
    <row r="208">
      <c r="A208" s="9" t="inlineStr"/>
      <c r="B208" s="2" t="inlineStr"/>
      <c r="C208" s="2" t="inlineStr"/>
      <c r="D208" s="2" t="inlineStr"/>
      <c r="E208" s="2">
        <f>IF(D208="","",IFERROR(XLOOKUP(TRIM(D208),INVENTARIO!$A$2:$A$2000,INVENTARIO!$B$2:$B$2000),"NO ENCONTRADO"))</f>
        <v/>
      </c>
      <c r="F208" s="2">
        <f>IF(D208="","",IFERROR(XLOOKUP(TRIM(D208),INVENTARIO!$A$2:$A$2000,INVENTARIO!$C$2:$C$2000),""))</f>
        <v/>
      </c>
      <c r="G208" s="2">
        <f>IF(D208="","",IF(E208="NO ENCONTRADO","CODIGO NO EXISTE",IF(COUNTIF($D$2:D208,D208)&gt;1,"DUPLICADO",IF(C208="","OK SIN PEDIDO",IF(COUNTIFS(PEDIDO_ITEMS!$A$2:$A$501,C208,PEDIDO_ITEMS!$B$2:$B$501,E208)=0,"NO PEDIDO",IF(COUNTIFS($C$2:C208,C208,$E$2:E208,E208)&gt;SUMIFS(PEDIDO_ITEMS!$C$2:$C$501,PEDIDO_ITEMS!$A$2:$A$501,C208,PEDIDO_ITEMS!$B$2:$B$501,E208),"EXCEDE PEDIDO","OK"))))))</f>
        <v/>
      </c>
    </row>
    <row r="209">
      <c r="A209" s="9" t="inlineStr"/>
      <c r="B209" s="2" t="inlineStr"/>
      <c r="C209" s="2" t="inlineStr"/>
      <c r="D209" s="2" t="inlineStr"/>
      <c r="E209" s="2">
        <f>IF(D209="","",IFERROR(XLOOKUP(TRIM(D209),INVENTARIO!$A$2:$A$2000,INVENTARIO!$B$2:$B$2000),"NO ENCONTRADO"))</f>
        <v/>
      </c>
      <c r="F209" s="2">
        <f>IF(D209="","",IFERROR(XLOOKUP(TRIM(D209),INVENTARIO!$A$2:$A$2000,INVENTARIO!$C$2:$C$2000),""))</f>
        <v/>
      </c>
      <c r="G209" s="2">
        <f>IF(D209="","",IF(E209="NO ENCONTRADO","CODIGO NO EXISTE",IF(COUNTIF($D$2:D209,D209)&gt;1,"DUPLICADO",IF(C209="","OK SIN PEDIDO",IF(COUNTIFS(PEDIDO_ITEMS!$A$2:$A$501,C209,PEDIDO_ITEMS!$B$2:$B$501,E209)=0,"NO PEDIDO",IF(COUNTIFS($C$2:C209,C209,$E$2:E209,E209)&gt;SUMIFS(PEDIDO_ITEMS!$C$2:$C$501,PEDIDO_ITEMS!$A$2:$A$501,C209,PEDIDO_ITEMS!$B$2:$B$501,E209),"EXCEDE PEDIDO","OK"))))))</f>
        <v/>
      </c>
    </row>
    <row r="210">
      <c r="A210" s="9" t="inlineStr"/>
      <c r="B210" s="2" t="inlineStr"/>
      <c r="C210" s="2" t="inlineStr"/>
      <c r="D210" s="2" t="inlineStr"/>
      <c r="E210" s="2">
        <f>IF(D210="","",IFERROR(XLOOKUP(TRIM(D210),INVENTARIO!$A$2:$A$2000,INVENTARIO!$B$2:$B$2000),"NO ENCONTRADO"))</f>
        <v/>
      </c>
      <c r="F210" s="2">
        <f>IF(D210="","",IFERROR(XLOOKUP(TRIM(D210),INVENTARIO!$A$2:$A$2000,INVENTARIO!$C$2:$C$2000),""))</f>
        <v/>
      </c>
      <c r="G210" s="2">
        <f>IF(D210="","",IF(E210="NO ENCONTRADO","CODIGO NO EXISTE",IF(COUNTIF($D$2:D210,D210)&gt;1,"DUPLICADO",IF(C210="","OK SIN PEDIDO",IF(COUNTIFS(PEDIDO_ITEMS!$A$2:$A$501,C210,PEDIDO_ITEMS!$B$2:$B$501,E210)=0,"NO PEDIDO",IF(COUNTIFS($C$2:C210,C210,$E$2:E210,E210)&gt;SUMIFS(PEDIDO_ITEMS!$C$2:$C$501,PEDIDO_ITEMS!$A$2:$A$501,C210,PEDIDO_ITEMS!$B$2:$B$501,E210),"EXCEDE PEDIDO","OK"))))))</f>
        <v/>
      </c>
    </row>
    <row r="211">
      <c r="A211" s="9" t="inlineStr"/>
      <c r="B211" s="2" t="inlineStr"/>
      <c r="C211" s="2" t="inlineStr"/>
      <c r="D211" s="2" t="inlineStr"/>
      <c r="E211" s="2">
        <f>IF(D211="","",IFERROR(XLOOKUP(TRIM(D211),INVENTARIO!$A$2:$A$2000,INVENTARIO!$B$2:$B$2000),"NO ENCONTRADO"))</f>
        <v/>
      </c>
      <c r="F211" s="2">
        <f>IF(D211="","",IFERROR(XLOOKUP(TRIM(D211),INVENTARIO!$A$2:$A$2000,INVENTARIO!$C$2:$C$2000),""))</f>
        <v/>
      </c>
      <c r="G211" s="2">
        <f>IF(D211="","",IF(E211="NO ENCONTRADO","CODIGO NO EXISTE",IF(COUNTIF($D$2:D211,D211)&gt;1,"DUPLICADO",IF(C211="","OK SIN PEDIDO",IF(COUNTIFS(PEDIDO_ITEMS!$A$2:$A$501,C211,PEDIDO_ITEMS!$B$2:$B$501,E211)=0,"NO PEDIDO",IF(COUNTIFS($C$2:C211,C211,$E$2:E211,E211)&gt;SUMIFS(PEDIDO_ITEMS!$C$2:$C$501,PEDIDO_ITEMS!$A$2:$A$501,C211,PEDIDO_ITEMS!$B$2:$B$501,E211),"EXCEDE PEDIDO","OK"))))))</f>
        <v/>
      </c>
    </row>
    <row r="212">
      <c r="A212" s="9" t="inlineStr"/>
      <c r="B212" s="2" t="inlineStr"/>
      <c r="C212" s="2" t="inlineStr"/>
      <c r="D212" s="2" t="inlineStr"/>
      <c r="E212" s="2">
        <f>IF(D212="","",IFERROR(XLOOKUP(TRIM(D212),INVENTARIO!$A$2:$A$2000,INVENTARIO!$B$2:$B$2000),"NO ENCONTRADO"))</f>
        <v/>
      </c>
      <c r="F212" s="2">
        <f>IF(D212="","",IFERROR(XLOOKUP(TRIM(D212),INVENTARIO!$A$2:$A$2000,INVENTARIO!$C$2:$C$2000),""))</f>
        <v/>
      </c>
      <c r="G212" s="2">
        <f>IF(D212="","",IF(E212="NO ENCONTRADO","CODIGO NO EXISTE",IF(COUNTIF($D$2:D212,D212)&gt;1,"DUPLICADO",IF(C212="","OK SIN PEDIDO",IF(COUNTIFS(PEDIDO_ITEMS!$A$2:$A$501,C212,PEDIDO_ITEMS!$B$2:$B$501,E212)=0,"NO PEDIDO",IF(COUNTIFS($C$2:C212,C212,$E$2:E212,E212)&gt;SUMIFS(PEDIDO_ITEMS!$C$2:$C$501,PEDIDO_ITEMS!$A$2:$A$501,C212,PEDIDO_ITEMS!$B$2:$B$501,E212),"EXCEDE PEDIDO","OK"))))))</f>
        <v/>
      </c>
    </row>
    <row r="213">
      <c r="A213" s="9" t="inlineStr"/>
      <c r="B213" s="2" t="inlineStr"/>
      <c r="C213" s="2" t="inlineStr"/>
      <c r="D213" s="2" t="inlineStr"/>
      <c r="E213" s="2">
        <f>IF(D213="","",IFERROR(XLOOKUP(TRIM(D213),INVENTARIO!$A$2:$A$2000,INVENTARIO!$B$2:$B$2000),"NO ENCONTRADO"))</f>
        <v/>
      </c>
      <c r="F213" s="2">
        <f>IF(D213="","",IFERROR(XLOOKUP(TRIM(D213),INVENTARIO!$A$2:$A$2000,INVENTARIO!$C$2:$C$2000),""))</f>
        <v/>
      </c>
      <c r="G213" s="2">
        <f>IF(D213="","",IF(E213="NO ENCONTRADO","CODIGO NO EXISTE",IF(COUNTIF($D$2:D213,D213)&gt;1,"DUPLICADO",IF(C213="","OK SIN PEDIDO",IF(COUNTIFS(PEDIDO_ITEMS!$A$2:$A$501,C213,PEDIDO_ITEMS!$B$2:$B$501,E213)=0,"NO PEDIDO",IF(COUNTIFS($C$2:C213,C213,$E$2:E213,E213)&gt;SUMIFS(PEDIDO_ITEMS!$C$2:$C$501,PEDIDO_ITEMS!$A$2:$A$501,C213,PEDIDO_ITEMS!$B$2:$B$501,E213),"EXCEDE PEDIDO","OK"))))))</f>
        <v/>
      </c>
    </row>
    <row r="214">
      <c r="A214" s="9" t="inlineStr"/>
      <c r="B214" s="2" t="inlineStr"/>
      <c r="C214" s="2" t="inlineStr"/>
      <c r="D214" s="2" t="inlineStr"/>
      <c r="E214" s="2">
        <f>IF(D214="","",IFERROR(XLOOKUP(TRIM(D214),INVENTARIO!$A$2:$A$2000,INVENTARIO!$B$2:$B$2000),"NO ENCONTRADO"))</f>
        <v/>
      </c>
      <c r="F214" s="2">
        <f>IF(D214="","",IFERROR(XLOOKUP(TRIM(D214),INVENTARIO!$A$2:$A$2000,INVENTARIO!$C$2:$C$2000),""))</f>
        <v/>
      </c>
      <c r="G214" s="2">
        <f>IF(D214="","",IF(E214="NO ENCONTRADO","CODIGO NO EXISTE",IF(COUNTIF($D$2:D214,D214)&gt;1,"DUPLICADO",IF(C214="","OK SIN PEDIDO",IF(COUNTIFS(PEDIDO_ITEMS!$A$2:$A$501,C214,PEDIDO_ITEMS!$B$2:$B$501,E214)=0,"NO PEDIDO",IF(COUNTIFS($C$2:C214,C214,$E$2:E214,E214)&gt;SUMIFS(PEDIDO_ITEMS!$C$2:$C$501,PEDIDO_ITEMS!$A$2:$A$501,C214,PEDIDO_ITEMS!$B$2:$B$501,E214),"EXCEDE PEDIDO","OK"))))))</f>
        <v/>
      </c>
    </row>
    <row r="215">
      <c r="A215" s="9" t="inlineStr"/>
      <c r="B215" s="2" t="inlineStr"/>
      <c r="C215" s="2" t="inlineStr"/>
      <c r="D215" s="2" t="inlineStr"/>
      <c r="E215" s="2">
        <f>IF(D215="","",IFERROR(XLOOKUP(TRIM(D215),INVENTARIO!$A$2:$A$2000,INVENTARIO!$B$2:$B$2000),"NO ENCONTRADO"))</f>
        <v/>
      </c>
      <c r="F215" s="2">
        <f>IF(D215="","",IFERROR(XLOOKUP(TRIM(D215),INVENTARIO!$A$2:$A$2000,INVENTARIO!$C$2:$C$2000),""))</f>
        <v/>
      </c>
      <c r="G215" s="2">
        <f>IF(D215="","",IF(E215="NO ENCONTRADO","CODIGO NO EXISTE",IF(COUNTIF($D$2:D215,D215)&gt;1,"DUPLICADO",IF(C215="","OK SIN PEDIDO",IF(COUNTIFS(PEDIDO_ITEMS!$A$2:$A$501,C215,PEDIDO_ITEMS!$B$2:$B$501,E215)=0,"NO PEDIDO",IF(COUNTIFS($C$2:C215,C215,$E$2:E215,E215)&gt;SUMIFS(PEDIDO_ITEMS!$C$2:$C$501,PEDIDO_ITEMS!$A$2:$A$501,C215,PEDIDO_ITEMS!$B$2:$B$501,E215),"EXCEDE PEDIDO","OK"))))))</f>
        <v/>
      </c>
    </row>
    <row r="216">
      <c r="A216" s="9" t="inlineStr"/>
      <c r="B216" s="2" t="inlineStr"/>
      <c r="C216" s="2" t="inlineStr"/>
      <c r="D216" s="2" t="inlineStr"/>
      <c r="E216" s="2">
        <f>IF(D216="","",IFERROR(XLOOKUP(TRIM(D216),INVENTARIO!$A$2:$A$2000,INVENTARIO!$B$2:$B$2000),"NO ENCONTRADO"))</f>
        <v/>
      </c>
      <c r="F216" s="2">
        <f>IF(D216="","",IFERROR(XLOOKUP(TRIM(D216),INVENTARIO!$A$2:$A$2000,INVENTARIO!$C$2:$C$2000),""))</f>
        <v/>
      </c>
      <c r="G216" s="2">
        <f>IF(D216="","",IF(E216="NO ENCONTRADO","CODIGO NO EXISTE",IF(COUNTIF($D$2:D216,D216)&gt;1,"DUPLICADO",IF(C216="","OK SIN PEDIDO",IF(COUNTIFS(PEDIDO_ITEMS!$A$2:$A$501,C216,PEDIDO_ITEMS!$B$2:$B$501,E216)=0,"NO PEDIDO",IF(COUNTIFS($C$2:C216,C216,$E$2:E216,E216)&gt;SUMIFS(PEDIDO_ITEMS!$C$2:$C$501,PEDIDO_ITEMS!$A$2:$A$501,C216,PEDIDO_ITEMS!$B$2:$B$501,E216),"EXCEDE PEDIDO","OK"))))))</f>
        <v/>
      </c>
    </row>
    <row r="217">
      <c r="A217" s="9" t="inlineStr"/>
      <c r="B217" s="2" t="inlineStr"/>
      <c r="C217" s="2" t="inlineStr"/>
      <c r="D217" s="2" t="inlineStr"/>
      <c r="E217" s="2">
        <f>IF(D217="","",IFERROR(XLOOKUP(TRIM(D217),INVENTARIO!$A$2:$A$2000,INVENTARIO!$B$2:$B$2000),"NO ENCONTRADO"))</f>
        <v/>
      </c>
      <c r="F217" s="2">
        <f>IF(D217="","",IFERROR(XLOOKUP(TRIM(D217),INVENTARIO!$A$2:$A$2000,INVENTARIO!$C$2:$C$2000),""))</f>
        <v/>
      </c>
      <c r="G217" s="2">
        <f>IF(D217="","",IF(E217="NO ENCONTRADO","CODIGO NO EXISTE",IF(COUNTIF($D$2:D217,D217)&gt;1,"DUPLICADO",IF(C217="","OK SIN PEDIDO",IF(COUNTIFS(PEDIDO_ITEMS!$A$2:$A$501,C217,PEDIDO_ITEMS!$B$2:$B$501,E217)=0,"NO PEDIDO",IF(COUNTIFS($C$2:C217,C217,$E$2:E217,E217)&gt;SUMIFS(PEDIDO_ITEMS!$C$2:$C$501,PEDIDO_ITEMS!$A$2:$A$501,C217,PEDIDO_ITEMS!$B$2:$B$501,E217),"EXCEDE PEDIDO","OK"))))))</f>
        <v/>
      </c>
    </row>
    <row r="218">
      <c r="A218" s="9" t="inlineStr"/>
      <c r="B218" s="2" t="inlineStr"/>
      <c r="C218" s="2" t="inlineStr"/>
      <c r="D218" s="2" t="inlineStr"/>
      <c r="E218" s="2">
        <f>IF(D218="","",IFERROR(XLOOKUP(TRIM(D218),INVENTARIO!$A$2:$A$2000,INVENTARIO!$B$2:$B$2000),"NO ENCONTRADO"))</f>
        <v/>
      </c>
      <c r="F218" s="2">
        <f>IF(D218="","",IFERROR(XLOOKUP(TRIM(D218),INVENTARIO!$A$2:$A$2000,INVENTARIO!$C$2:$C$2000),""))</f>
        <v/>
      </c>
      <c r="G218" s="2">
        <f>IF(D218="","",IF(E218="NO ENCONTRADO","CODIGO NO EXISTE",IF(COUNTIF($D$2:D218,D218)&gt;1,"DUPLICADO",IF(C218="","OK SIN PEDIDO",IF(COUNTIFS(PEDIDO_ITEMS!$A$2:$A$501,C218,PEDIDO_ITEMS!$B$2:$B$501,E218)=0,"NO PEDIDO",IF(COUNTIFS($C$2:C218,C218,$E$2:E218,E218)&gt;SUMIFS(PEDIDO_ITEMS!$C$2:$C$501,PEDIDO_ITEMS!$A$2:$A$501,C218,PEDIDO_ITEMS!$B$2:$B$501,E218),"EXCEDE PEDIDO","OK"))))))</f>
        <v/>
      </c>
    </row>
    <row r="219">
      <c r="A219" s="9" t="inlineStr"/>
      <c r="B219" s="2" t="inlineStr"/>
      <c r="C219" s="2" t="inlineStr"/>
      <c r="D219" s="2" t="inlineStr"/>
      <c r="E219" s="2">
        <f>IF(D219="","",IFERROR(XLOOKUP(TRIM(D219),INVENTARIO!$A$2:$A$2000,INVENTARIO!$B$2:$B$2000),"NO ENCONTRADO"))</f>
        <v/>
      </c>
      <c r="F219" s="2">
        <f>IF(D219="","",IFERROR(XLOOKUP(TRIM(D219),INVENTARIO!$A$2:$A$2000,INVENTARIO!$C$2:$C$2000),""))</f>
        <v/>
      </c>
      <c r="G219" s="2">
        <f>IF(D219="","",IF(E219="NO ENCONTRADO","CODIGO NO EXISTE",IF(COUNTIF($D$2:D219,D219)&gt;1,"DUPLICADO",IF(C219="","OK SIN PEDIDO",IF(COUNTIFS(PEDIDO_ITEMS!$A$2:$A$501,C219,PEDIDO_ITEMS!$B$2:$B$501,E219)=0,"NO PEDIDO",IF(COUNTIFS($C$2:C219,C219,$E$2:E219,E219)&gt;SUMIFS(PEDIDO_ITEMS!$C$2:$C$501,PEDIDO_ITEMS!$A$2:$A$501,C219,PEDIDO_ITEMS!$B$2:$B$501,E219),"EXCEDE PEDIDO","OK"))))))</f>
        <v/>
      </c>
    </row>
    <row r="220">
      <c r="A220" s="9" t="inlineStr"/>
      <c r="B220" s="2" t="inlineStr"/>
      <c r="C220" s="2" t="inlineStr"/>
      <c r="D220" s="2" t="inlineStr"/>
      <c r="E220" s="2">
        <f>IF(D220="","",IFERROR(XLOOKUP(TRIM(D220),INVENTARIO!$A$2:$A$2000,INVENTARIO!$B$2:$B$2000),"NO ENCONTRADO"))</f>
        <v/>
      </c>
      <c r="F220" s="2">
        <f>IF(D220="","",IFERROR(XLOOKUP(TRIM(D220),INVENTARIO!$A$2:$A$2000,INVENTARIO!$C$2:$C$2000),""))</f>
        <v/>
      </c>
      <c r="G220" s="2">
        <f>IF(D220="","",IF(E220="NO ENCONTRADO","CODIGO NO EXISTE",IF(COUNTIF($D$2:D220,D220)&gt;1,"DUPLICADO",IF(C220="","OK SIN PEDIDO",IF(COUNTIFS(PEDIDO_ITEMS!$A$2:$A$501,C220,PEDIDO_ITEMS!$B$2:$B$501,E220)=0,"NO PEDIDO",IF(COUNTIFS($C$2:C220,C220,$E$2:E220,E220)&gt;SUMIFS(PEDIDO_ITEMS!$C$2:$C$501,PEDIDO_ITEMS!$A$2:$A$501,C220,PEDIDO_ITEMS!$B$2:$B$501,E220),"EXCEDE PEDIDO","OK"))))))</f>
        <v/>
      </c>
    </row>
    <row r="221">
      <c r="A221" s="9" t="inlineStr"/>
      <c r="B221" s="2" t="inlineStr"/>
      <c r="C221" s="2" t="inlineStr"/>
      <c r="D221" s="2" t="inlineStr"/>
      <c r="E221" s="2">
        <f>IF(D221="","",IFERROR(XLOOKUP(TRIM(D221),INVENTARIO!$A$2:$A$2000,INVENTARIO!$B$2:$B$2000),"NO ENCONTRADO"))</f>
        <v/>
      </c>
      <c r="F221" s="2">
        <f>IF(D221="","",IFERROR(XLOOKUP(TRIM(D221),INVENTARIO!$A$2:$A$2000,INVENTARIO!$C$2:$C$2000),""))</f>
        <v/>
      </c>
      <c r="G221" s="2">
        <f>IF(D221="","",IF(E221="NO ENCONTRADO","CODIGO NO EXISTE",IF(COUNTIF($D$2:D221,D221)&gt;1,"DUPLICADO",IF(C221="","OK SIN PEDIDO",IF(COUNTIFS(PEDIDO_ITEMS!$A$2:$A$501,C221,PEDIDO_ITEMS!$B$2:$B$501,E221)=0,"NO PEDIDO",IF(COUNTIFS($C$2:C221,C221,$E$2:E221,E221)&gt;SUMIFS(PEDIDO_ITEMS!$C$2:$C$501,PEDIDO_ITEMS!$A$2:$A$501,C221,PEDIDO_ITEMS!$B$2:$B$501,E221),"EXCEDE PEDIDO","OK"))))))</f>
        <v/>
      </c>
    </row>
    <row r="222">
      <c r="A222" s="9" t="inlineStr"/>
      <c r="B222" s="2" t="inlineStr"/>
      <c r="C222" s="2" t="inlineStr"/>
      <c r="D222" s="2" t="inlineStr"/>
      <c r="E222" s="2">
        <f>IF(D222="","",IFERROR(XLOOKUP(TRIM(D222),INVENTARIO!$A$2:$A$2000,INVENTARIO!$B$2:$B$2000),"NO ENCONTRADO"))</f>
        <v/>
      </c>
      <c r="F222" s="2">
        <f>IF(D222="","",IFERROR(XLOOKUP(TRIM(D222),INVENTARIO!$A$2:$A$2000,INVENTARIO!$C$2:$C$2000),""))</f>
        <v/>
      </c>
      <c r="G222" s="2">
        <f>IF(D222="","",IF(E222="NO ENCONTRADO","CODIGO NO EXISTE",IF(COUNTIF($D$2:D222,D222)&gt;1,"DUPLICADO",IF(C222="","OK SIN PEDIDO",IF(COUNTIFS(PEDIDO_ITEMS!$A$2:$A$501,C222,PEDIDO_ITEMS!$B$2:$B$501,E222)=0,"NO PEDIDO",IF(COUNTIFS($C$2:C222,C222,$E$2:E222,E222)&gt;SUMIFS(PEDIDO_ITEMS!$C$2:$C$501,PEDIDO_ITEMS!$A$2:$A$501,C222,PEDIDO_ITEMS!$B$2:$B$501,E222),"EXCEDE PEDIDO","OK"))))))</f>
        <v/>
      </c>
    </row>
    <row r="223">
      <c r="A223" s="9" t="inlineStr"/>
      <c r="B223" s="2" t="inlineStr"/>
      <c r="C223" s="2" t="inlineStr"/>
      <c r="D223" s="2" t="inlineStr"/>
      <c r="E223" s="2">
        <f>IF(D223="","",IFERROR(XLOOKUP(TRIM(D223),INVENTARIO!$A$2:$A$2000,INVENTARIO!$B$2:$B$2000),"NO ENCONTRADO"))</f>
        <v/>
      </c>
      <c r="F223" s="2">
        <f>IF(D223="","",IFERROR(XLOOKUP(TRIM(D223),INVENTARIO!$A$2:$A$2000,INVENTARIO!$C$2:$C$2000),""))</f>
        <v/>
      </c>
      <c r="G223" s="2">
        <f>IF(D223="","",IF(E223="NO ENCONTRADO","CODIGO NO EXISTE",IF(COUNTIF($D$2:D223,D223)&gt;1,"DUPLICADO",IF(C223="","OK SIN PEDIDO",IF(COUNTIFS(PEDIDO_ITEMS!$A$2:$A$501,C223,PEDIDO_ITEMS!$B$2:$B$501,E223)=0,"NO PEDIDO",IF(COUNTIFS($C$2:C223,C223,$E$2:E223,E223)&gt;SUMIFS(PEDIDO_ITEMS!$C$2:$C$501,PEDIDO_ITEMS!$A$2:$A$501,C223,PEDIDO_ITEMS!$B$2:$B$501,E223),"EXCEDE PEDIDO","OK"))))))</f>
        <v/>
      </c>
    </row>
    <row r="224">
      <c r="A224" s="9" t="inlineStr"/>
      <c r="B224" s="2" t="inlineStr"/>
      <c r="C224" s="2" t="inlineStr"/>
      <c r="D224" s="2" t="inlineStr"/>
      <c r="E224" s="2">
        <f>IF(D224="","",IFERROR(XLOOKUP(TRIM(D224),INVENTARIO!$A$2:$A$2000,INVENTARIO!$B$2:$B$2000),"NO ENCONTRADO"))</f>
        <v/>
      </c>
      <c r="F224" s="2">
        <f>IF(D224="","",IFERROR(XLOOKUP(TRIM(D224),INVENTARIO!$A$2:$A$2000,INVENTARIO!$C$2:$C$2000),""))</f>
        <v/>
      </c>
      <c r="G224" s="2">
        <f>IF(D224="","",IF(E224="NO ENCONTRADO","CODIGO NO EXISTE",IF(COUNTIF($D$2:D224,D224)&gt;1,"DUPLICADO",IF(C224="","OK SIN PEDIDO",IF(COUNTIFS(PEDIDO_ITEMS!$A$2:$A$501,C224,PEDIDO_ITEMS!$B$2:$B$501,E224)=0,"NO PEDIDO",IF(COUNTIFS($C$2:C224,C224,$E$2:E224,E224)&gt;SUMIFS(PEDIDO_ITEMS!$C$2:$C$501,PEDIDO_ITEMS!$A$2:$A$501,C224,PEDIDO_ITEMS!$B$2:$B$501,E224),"EXCEDE PEDIDO","OK"))))))</f>
        <v/>
      </c>
    </row>
    <row r="225">
      <c r="A225" s="9" t="inlineStr"/>
      <c r="B225" s="2" t="inlineStr"/>
      <c r="C225" s="2" t="inlineStr"/>
      <c r="D225" s="2" t="inlineStr"/>
      <c r="E225" s="2">
        <f>IF(D225="","",IFERROR(XLOOKUP(TRIM(D225),INVENTARIO!$A$2:$A$2000,INVENTARIO!$B$2:$B$2000),"NO ENCONTRADO"))</f>
        <v/>
      </c>
      <c r="F225" s="2">
        <f>IF(D225="","",IFERROR(XLOOKUP(TRIM(D225),INVENTARIO!$A$2:$A$2000,INVENTARIO!$C$2:$C$2000),""))</f>
        <v/>
      </c>
      <c r="G225" s="2">
        <f>IF(D225="","",IF(E225="NO ENCONTRADO","CODIGO NO EXISTE",IF(COUNTIF($D$2:D225,D225)&gt;1,"DUPLICADO",IF(C225="","OK SIN PEDIDO",IF(COUNTIFS(PEDIDO_ITEMS!$A$2:$A$501,C225,PEDIDO_ITEMS!$B$2:$B$501,E225)=0,"NO PEDIDO",IF(COUNTIFS($C$2:C225,C225,$E$2:E225,E225)&gt;SUMIFS(PEDIDO_ITEMS!$C$2:$C$501,PEDIDO_ITEMS!$A$2:$A$501,C225,PEDIDO_ITEMS!$B$2:$B$501,E225),"EXCEDE PEDIDO","OK"))))))</f>
        <v/>
      </c>
    </row>
    <row r="226">
      <c r="A226" s="9" t="inlineStr"/>
      <c r="B226" s="2" t="inlineStr"/>
      <c r="C226" s="2" t="inlineStr"/>
      <c r="D226" s="2" t="inlineStr"/>
      <c r="E226" s="2">
        <f>IF(D226="","",IFERROR(XLOOKUP(TRIM(D226),INVENTARIO!$A$2:$A$2000,INVENTARIO!$B$2:$B$2000),"NO ENCONTRADO"))</f>
        <v/>
      </c>
      <c r="F226" s="2">
        <f>IF(D226="","",IFERROR(XLOOKUP(TRIM(D226),INVENTARIO!$A$2:$A$2000,INVENTARIO!$C$2:$C$2000),""))</f>
        <v/>
      </c>
      <c r="G226" s="2">
        <f>IF(D226="","",IF(E226="NO ENCONTRADO","CODIGO NO EXISTE",IF(COUNTIF($D$2:D226,D226)&gt;1,"DUPLICADO",IF(C226="","OK SIN PEDIDO",IF(COUNTIFS(PEDIDO_ITEMS!$A$2:$A$501,C226,PEDIDO_ITEMS!$B$2:$B$501,E226)=0,"NO PEDIDO",IF(COUNTIFS($C$2:C226,C226,$E$2:E226,E226)&gt;SUMIFS(PEDIDO_ITEMS!$C$2:$C$501,PEDIDO_ITEMS!$A$2:$A$501,C226,PEDIDO_ITEMS!$B$2:$B$501,E226),"EXCEDE PEDIDO","OK"))))))</f>
        <v/>
      </c>
    </row>
    <row r="227">
      <c r="A227" s="9" t="inlineStr"/>
      <c r="B227" s="2" t="inlineStr"/>
      <c r="C227" s="2" t="inlineStr"/>
      <c r="D227" s="2" t="inlineStr"/>
      <c r="E227" s="2">
        <f>IF(D227="","",IFERROR(XLOOKUP(TRIM(D227),INVENTARIO!$A$2:$A$2000,INVENTARIO!$B$2:$B$2000),"NO ENCONTRADO"))</f>
        <v/>
      </c>
      <c r="F227" s="2">
        <f>IF(D227="","",IFERROR(XLOOKUP(TRIM(D227),INVENTARIO!$A$2:$A$2000,INVENTARIO!$C$2:$C$2000),""))</f>
        <v/>
      </c>
      <c r="G227" s="2">
        <f>IF(D227="","",IF(E227="NO ENCONTRADO","CODIGO NO EXISTE",IF(COUNTIF($D$2:D227,D227)&gt;1,"DUPLICADO",IF(C227="","OK SIN PEDIDO",IF(COUNTIFS(PEDIDO_ITEMS!$A$2:$A$501,C227,PEDIDO_ITEMS!$B$2:$B$501,E227)=0,"NO PEDIDO",IF(COUNTIFS($C$2:C227,C227,$E$2:E227,E227)&gt;SUMIFS(PEDIDO_ITEMS!$C$2:$C$501,PEDIDO_ITEMS!$A$2:$A$501,C227,PEDIDO_ITEMS!$B$2:$B$501,E227),"EXCEDE PEDIDO","OK"))))))</f>
        <v/>
      </c>
    </row>
    <row r="228">
      <c r="A228" s="9" t="inlineStr"/>
      <c r="B228" s="2" t="inlineStr"/>
      <c r="C228" s="2" t="inlineStr"/>
      <c r="D228" s="2" t="inlineStr"/>
      <c r="E228" s="2">
        <f>IF(D228="","",IFERROR(XLOOKUP(TRIM(D228),INVENTARIO!$A$2:$A$2000,INVENTARIO!$B$2:$B$2000),"NO ENCONTRADO"))</f>
        <v/>
      </c>
      <c r="F228" s="2">
        <f>IF(D228="","",IFERROR(XLOOKUP(TRIM(D228),INVENTARIO!$A$2:$A$2000,INVENTARIO!$C$2:$C$2000),""))</f>
        <v/>
      </c>
      <c r="G228" s="2">
        <f>IF(D228="","",IF(E228="NO ENCONTRADO","CODIGO NO EXISTE",IF(COUNTIF($D$2:D228,D228)&gt;1,"DUPLICADO",IF(C228="","OK SIN PEDIDO",IF(COUNTIFS(PEDIDO_ITEMS!$A$2:$A$501,C228,PEDIDO_ITEMS!$B$2:$B$501,E228)=0,"NO PEDIDO",IF(COUNTIFS($C$2:C228,C228,$E$2:E228,E228)&gt;SUMIFS(PEDIDO_ITEMS!$C$2:$C$501,PEDIDO_ITEMS!$A$2:$A$501,C228,PEDIDO_ITEMS!$B$2:$B$501,E228),"EXCEDE PEDIDO","OK"))))))</f>
        <v/>
      </c>
    </row>
    <row r="229">
      <c r="A229" s="9" t="inlineStr"/>
      <c r="B229" s="2" t="inlineStr"/>
      <c r="C229" s="2" t="inlineStr"/>
      <c r="D229" s="2" t="inlineStr"/>
      <c r="E229" s="2">
        <f>IF(D229="","",IFERROR(XLOOKUP(TRIM(D229),INVENTARIO!$A$2:$A$2000,INVENTARIO!$B$2:$B$2000),"NO ENCONTRADO"))</f>
        <v/>
      </c>
      <c r="F229" s="2">
        <f>IF(D229="","",IFERROR(XLOOKUP(TRIM(D229),INVENTARIO!$A$2:$A$2000,INVENTARIO!$C$2:$C$2000),""))</f>
        <v/>
      </c>
      <c r="G229" s="2">
        <f>IF(D229="","",IF(E229="NO ENCONTRADO","CODIGO NO EXISTE",IF(COUNTIF($D$2:D229,D229)&gt;1,"DUPLICADO",IF(C229="","OK SIN PEDIDO",IF(COUNTIFS(PEDIDO_ITEMS!$A$2:$A$501,C229,PEDIDO_ITEMS!$B$2:$B$501,E229)=0,"NO PEDIDO",IF(COUNTIFS($C$2:C229,C229,$E$2:E229,E229)&gt;SUMIFS(PEDIDO_ITEMS!$C$2:$C$501,PEDIDO_ITEMS!$A$2:$A$501,C229,PEDIDO_ITEMS!$B$2:$B$501,E229),"EXCEDE PEDIDO","OK"))))))</f>
        <v/>
      </c>
    </row>
    <row r="230">
      <c r="A230" s="9" t="inlineStr"/>
      <c r="B230" s="2" t="inlineStr"/>
      <c r="C230" s="2" t="inlineStr"/>
      <c r="D230" s="2" t="inlineStr"/>
      <c r="E230" s="2">
        <f>IF(D230="","",IFERROR(XLOOKUP(TRIM(D230),INVENTARIO!$A$2:$A$2000,INVENTARIO!$B$2:$B$2000),"NO ENCONTRADO"))</f>
        <v/>
      </c>
      <c r="F230" s="2">
        <f>IF(D230="","",IFERROR(XLOOKUP(TRIM(D230),INVENTARIO!$A$2:$A$2000,INVENTARIO!$C$2:$C$2000),""))</f>
        <v/>
      </c>
      <c r="G230" s="2">
        <f>IF(D230="","",IF(E230="NO ENCONTRADO","CODIGO NO EXISTE",IF(COUNTIF($D$2:D230,D230)&gt;1,"DUPLICADO",IF(C230="","OK SIN PEDIDO",IF(COUNTIFS(PEDIDO_ITEMS!$A$2:$A$501,C230,PEDIDO_ITEMS!$B$2:$B$501,E230)=0,"NO PEDIDO",IF(COUNTIFS($C$2:C230,C230,$E$2:E230,E230)&gt;SUMIFS(PEDIDO_ITEMS!$C$2:$C$501,PEDIDO_ITEMS!$A$2:$A$501,C230,PEDIDO_ITEMS!$B$2:$B$501,E230),"EXCEDE PEDIDO","OK"))))))</f>
        <v/>
      </c>
    </row>
    <row r="231">
      <c r="A231" s="9" t="inlineStr"/>
      <c r="B231" s="2" t="inlineStr"/>
      <c r="C231" s="2" t="inlineStr"/>
      <c r="D231" s="2" t="inlineStr"/>
      <c r="E231" s="2">
        <f>IF(D231="","",IFERROR(XLOOKUP(TRIM(D231),INVENTARIO!$A$2:$A$2000,INVENTARIO!$B$2:$B$2000),"NO ENCONTRADO"))</f>
        <v/>
      </c>
      <c r="F231" s="2">
        <f>IF(D231="","",IFERROR(XLOOKUP(TRIM(D231),INVENTARIO!$A$2:$A$2000,INVENTARIO!$C$2:$C$2000),""))</f>
        <v/>
      </c>
      <c r="G231" s="2">
        <f>IF(D231="","",IF(E231="NO ENCONTRADO","CODIGO NO EXISTE",IF(COUNTIF($D$2:D231,D231)&gt;1,"DUPLICADO",IF(C231="","OK SIN PEDIDO",IF(COUNTIFS(PEDIDO_ITEMS!$A$2:$A$501,C231,PEDIDO_ITEMS!$B$2:$B$501,E231)=0,"NO PEDIDO",IF(COUNTIFS($C$2:C231,C231,$E$2:E231,E231)&gt;SUMIFS(PEDIDO_ITEMS!$C$2:$C$501,PEDIDO_ITEMS!$A$2:$A$501,C231,PEDIDO_ITEMS!$B$2:$B$501,E231),"EXCEDE PEDIDO","OK"))))))</f>
        <v/>
      </c>
    </row>
    <row r="232">
      <c r="A232" s="9" t="inlineStr"/>
      <c r="B232" s="2" t="inlineStr"/>
      <c r="C232" s="2" t="inlineStr"/>
      <c r="D232" s="2" t="inlineStr"/>
      <c r="E232" s="2">
        <f>IF(D232="","",IFERROR(XLOOKUP(TRIM(D232),INVENTARIO!$A$2:$A$2000,INVENTARIO!$B$2:$B$2000),"NO ENCONTRADO"))</f>
        <v/>
      </c>
      <c r="F232" s="2">
        <f>IF(D232="","",IFERROR(XLOOKUP(TRIM(D232),INVENTARIO!$A$2:$A$2000,INVENTARIO!$C$2:$C$2000),""))</f>
        <v/>
      </c>
      <c r="G232" s="2">
        <f>IF(D232="","",IF(E232="NO ENCONTRADO","CODIGO NO EXISTE",IF(COUNTIF($D$2:D232,D232)&gt;1,"DUPLICADO",IF(C232="","OK SIN PEDIDO",IF(COUNTIFS(PEDIDO_ITEMS!$A$2:$A$501,C232,PEDIDO_ITEMS!$B$2:$B$501,E232)=0,"NO PEDIDO",IF(COUNTIFS($C$2:C232,C232,$E$2:E232,E232)&gt;SUMIFS(PEDIDO_ITEMS!$C$2:$C$501,PEDIDO_ITEMS!$A$2:$A$501,C232,PEDIDO_ITEMS!$B$2:$B$501,E232),"EXCEDE PEDIDO","OK"))))))</f>
        <v/>
      </c>
    </row>
    <row r="233">
      <c r="A233" s="9" t="inlineStr"/>
      <c r="B233" s="2" t="inlineStr"/>
      <c r="C233" s="2" t="inlineStr"/>
      <c r="D233" s="2" t="inlineStr"/>
      <c r="E233" s="2">
        <f>IF(D233="","",IFERROR(XLOOKUP(TRIM(D233),INVENTARIO!$A$2:$A$2000,INVENTARIO!$B$2:$B$2000),"NO ENCONTRADO"))</f>
        <v/>
      </c>
      <c r="F233" s="2">
        <f>IF(D233="","",IFERROR(XLOOKUP(TRIM(D233),INVENTARIO!$A$2:$A$2000,INVENTARIO!$C$2:$C$2000),""))</f>
        <v/>
      </c>
      <c r="G233" s="2">
        <f>IF(D233="","",IF(E233="NO ENCONTRADO","CODIGO NO EXISTE",IF(COUNTIF($D$2:D233,D233)&gt;1,"DUPLICADO",IF(C233="","OK SIN PEDIDO",IF(COUNTIFS(PEDIDO_ITEMS!$A$2:$A$501,C233,PEDIDO_ITEMS!$B$2:$B$501,E233)=0,"NO PEDIDO",IF(COUNTIFS($C$2:C233,C233,$E$2:E233,E233)&gt;SUMIFS(PEDIDO_ITEMS!$C$2:$C$501,PEDIDO_ITEMS!$A$2:$A$501,C233,PEDIDO_ITEMS!$B$2:$B$501,E233),"EXCEDE PEDIDO","OK"))))))</f>
        <v/>
      </c>
    </row>
    <row r="234">
      <c r="A234" s="9" t="inlineStr"/>
      <c r="B234" s="2" t="inlineStr"/>
      <c r="C234" s="2" t="inlineStr"/>
      <c r="D234" s="2" t="inlineStr"/>
      <c r="E234" s="2">
        <f>IF(D234="","",IFERROR(XLOOKUP(TRIM(D234),INVENTARIO!$A$2:$A$2000,INVENTARIO!$B$2:$B$2000),"NO ENCONTRADO"))</f>
        <v/>
      </c>
      <c r="F234" s="2">
        <f>IF(D234="","",IFERROR(XLOOKUP(TRIM(D234),INVENTARIO!$A$2:$A$2000,INVENTARIO!$C$2:$C$2000),""))</f>
        <v/>
      </c>
      <c r="G234" s="2">
        <f>IF(D234="","",IF(E234="NO ENCONTRADO","CODIGO NO EXISTE",IF(COUNTIF($D$2:D234,D234)&gt;1,"DUPLICADO",IF(C234="","OK SIN PEDIDO",IF(COUNTIFS(PEDIDO_ITEMS!$A$2:$A$501,C234,PEDIDO_ITEMS!$B$2:$B$501,E234)=0,"NO PEDIDO",IF(COUNTIFS($C$2:C234,C234,$E$2:E234,E234)&gt;SUMIFS(PEDIDO_ITEMS!$C$2:$C$501,PEDIDO_ITEMS!$A$2:$A$501,C234,PEDIDO_ITEMS!$B$2:$B$501,E234),"EXCEDE PEDIDO","OK"))))))</f>
        <v/>
      </c>
    </row>
    <row r="235">
      <c r="A235" s="9" t="inlineStr"/>
      <c r="B235" s="2" t="inlineStr"/>
      <c r="C235" s="2" t="inlineStr"/>
      <c r="D235" s="2" t="inlineStr"/>
      <c r="E235" s="2">
        <f>IF(D235="","",IFERROR(XLOOKUP(TRIM(D235),INVENTARIO!$A$2:$A$2000,INVENTARIO!$B$2:$B$2000),"NO ENCONTRADO"))</f>
        <v/>
      </c>
      <c r="F235" s="2">
        <f>IF(D235="","",IFERROR(XLOOKUP(TRIM(D235),INVENTARIO!$A$2:$A$2000,INVENTARIO!$C$2:$C$2000),""))</f>
        <v/>
      </c>
      <c r="G235" s="2">
        <f>IF(D235="","",IF(E235="NO ENCONTRADO","CODIGO NO EXISTE",IF(COUNTIF($D$2:D235,D235)&gt;1,"DUPLICADO",IF(C235="","OK SIN PEDIDO",IF(COUNTIFS(PEDIDO_ITEMS!$A$2:$A$501,C235,PEDIDO_ITEMS!$B$2:$B$501,E235)=0,"NO PEDIDO",IF(COUNTIFS($C$2:C235,C235,$E$2:E235,E235)&gt;SUMIFS(PEDIDO_ITEMS!$C$2:$C$501,PEDIDO_ITEMS!$A$2:$A$501,C235,PEDIDO_ITEMS!$B$2:$B$501,E235),"EXCEDE PEDIDO","OK"))))))</f>
        <v/>
      </c>
    </row>
    <row r="236">
      <c r="A236" s="9" t="inlineStr"/>
      <c r="B236" s="2" t="inlineStr"/>
      <c r="C236" s="2" t="inlineStr"/>
      <c r="D236" s="2" t="inlineStr"/>
      <c r="E236" s="2">
        <f>IF(D236="","",IFERROR(XLOOKUP(TRIM(D236),INVENTARIO!$A$2:$A$2000,INVENTARIO!$B$2:$B$2000),"NO ENCONTRADO"))</f>
        <v/>
      </c>
      <c r="F236" s="2">
        <f>IF(D236="","",IFERROR(XLOOKUP(TRIM(D236),INVENTARIO!$A$2:$A$2000,INVENTARIO!$C$2:$C$2000),""))</f>
        <v/>
      </c>
      <c r="G236" s="2">
        <f>IF(D236="","",IF(E236="NO ENCONTRADO","CODIGO NO EXISTE",IF(COUNTIF($D$2:D236,D236)&gt;1,"DUPLICADO",IF(C236="","OK SIN PEDIDO",IF(COUNTIFS(PEDIDO_ITEMS!$A$2:$A$501,C236,PEDIDO_ITEMS!$B$2:$B$501,E236)=0,"NO PEDIDO",IF(COUNTIFS($C$2:C236,C236,$E$2:E236,E236)&gt;SUMIFS(PEDIDO_ITEMS!$C$2:$C$501,PEDIDO_ITEMS!$A$2:$A$501,C236,PEDIDO_ITEMS!$B$2:$B$501,E236),"EXCEDE PEDIDO","OK"))))))</f>
        <v/>
      </c>
    </row>
    <row r="237">
      <c r="A237" s="9" t="inlineStr"/>
      <c r="B237" s="2" t="inlineStr"/>
      <c r="C237" s="2" t="inlineStr"/>
      <c r="D237" s="2" t="inlineStr"/>
      <c r="E237" s="2">
        <f>IF(D237="","",IFERROR(XLOOKUP(TRIM(D237),INVENTARIO!$A$2:$A$2000,INVENTARIO!$B$2:$B$2000),"NO ENCONTRADO"))</f>
        <v/>
      </c>
      <c r="F237" s="2">
        <f>IF(D237="","",IFERROR(XLOOKUP(TRIM(D237),INVENTARIO!$A$2:$A$2000,INVENTARIO!$C$2:$C$2000),""))</f>
        <v/>
      </c>
      <c r="G237" s="2">
        <f>IF(D237="","",IF(E237="NO ENCONTRADO","CODIGO NO EXISTE",IF(COUNTIF($D$2:D237,D237)&gt;1,"DUPLICADO",IF(C237="","OK SIN PEDIDO",IF(COUNTIFS(PEDIDO_ITEMS!$A$2:$A$501,C237,PEDIDO_ITEMS!$B$2:$B$501,E237)=0,"NO PEDIDO",IF(COUNTIFS($C$2:C237,C237,$E$2:E237,E237)&gt;SUMIFS(PEDIDO_ITEMS!$C$2:$C$501,PEDIDO_ITEMS!$A$2:$A$501,C237,PEDIDO_ITEMS!$B$2:$B$501,E237),"EXCEDE PEDIDO","OK"))))))</f>
        <v/>
      </c>
    </row>
    <row r="238">
      <c r="A238" s="9" t="inlineStr"/>
      <c r="B238" s="2" t="inlineStr"/>
      <c r="C238" s="2" t="inlineStr"/>
      <c r="D238" s="2" t="inlineStr"/>
      <c r="E238" s="2">
        <f>IF(D238="","",IFERROR(XLOOKUP(TRIM(D238),INVENTARIO!$A$2:$A$2000,INVENTARIO!$B$2:$B$2000),"NO ENCONTRADO"))</f>
        <v/>
      </c>
      <c r="F238" s="2">
        <f>IF(D238="","",IFERROR(XLOOKUP(TRIM(D238),INVENTARIO!$A$2:$A$2000,INVENTARIO!$C$2:$C$2000),""))</f>
        <v/>
      </c>
      <c r="G238" s="2">
        <f>IF(D238="","",IF(E238="NO ENCONTRADO","CODIGO NO EXISTE",IF(COUNTIF($D$2:D238,D238)&gt;1,"DUPLICADO",IF(C238="","OK SIN PEDIDO",IF(COUNTIFS(PEDIDO_ITEMS!$A$2:$A$501,C238,PEDIDO_ITEMS!$B$2:$B$501,E238)=0,"NO PEDIDO",IF(COUNTIFS($C$2:C238,C238,$E$2:E238,E238)&gt;SUMIFS(PEDIDO_ITEMS!$C$2:$C$501,PEDIDO_ITEMS!$A$2:$A$501,C238,PEDIDO_ITEMS!$B$2:$B$501,E238),"EXCEDE PEDIDO","OK"))))))</f>
        <v/>
      </c>
    </row>
    <row r="239">
      <c r="A239" s="9" t="inlineStr"/>
      <c r="B239" s="2" t="inlineStr"/>
      <c r="C239" s="2" t="inlineStr"/>
      <c r="D239" s="2" t="inlineStr"/>
      <c r="E239" s="2">
        <f>IF(D239="","",IFERROR(XLOOKUP(TRIM(D239),INVENTARIO!$A$2:$A$2000,INVENTARIO!$B$2:$B$2000),"NO ENCONTRADO"))</f>
        <v/>
      </c>
      <c r="F239" s="2">
        <f>IF(D239="","",IFERROR(XLOOKUP(TRIM(D239),INVENTARIO!$A$2:$A$2000,INVENTARIO!$C$2:$C$2000),""))</f>
        <v/>
      </c>
      <c r="G239" s="2">
        <f>IF(D239="","",IF(E239="NO ENCONTRADO","CODIGO NO EXISTE",IF(COUNTIF($D$2:D239,D239)&gt;1,"DUPLICADO",IF(C239="","OK SIN PEDIDO",IF(COUNTIFS(PEDIDO_ITEMS!$A$2:$A$501,C239,PEDIDO_ITEMS!$B$2:$B$501,E239)=0,"NO PEDIDO",IF(COUNTIFS($C$2:C239,C239,$E$2:E239,E239)&gt;SUMIFS(PEDIDO_ITEMS!$C$2:$C$501,PEDIDO_ITEMS!$A$2:$A$501,C239,PEDIDO_ITEMS!$B$2:$B$501,E239),"EXCEDE PEDIDO","OK"))))))</f>
        <v/>
      </c>
    </row>
    <row r="240">
      <c r="A240" s="9" t="inlineStr"/>
      <c r="B240" s="2" t="inlineStr"/>
      <c r="C240" s="2" t="inlineStr"/>
      <c r="D240" s="2" t="inlineStr"/>
      <c r="E240" s="2">
        <f>IF(D240="","",IFERROR(XLOOKUP(TRIM(D240),INVENTARIO!$A$2:$A$2000,INVENTARIO!$B$2:$B$2000),"NO ENCONTRADO"))</f>
        <v/>
      </c>
      <c r="F240" s="2">
        <f>IF(D240="","",IFERROR(XLOOKUP(TRIM(D240),INVENTARIO!$A$2:$A$2000,INVENTARIO!$C$2:$C$2000),""))</f>
        <v/>
      </c>
      <c r="G240" s="2">
        <f>IF(D240="","",IF(E240="NO ENCONTRADO","CODIGO NO EXISTE",IF(COUNTIF($D$2:D240,D240)&gt;1,"DUPLICADO",IF(C240="","OK SIN PEDIDO",IF(COUNTIFS(PEDIDO_ITEMS!$A$2:$A$501,C240,PEDIDO_ITEMS!$B$2:$B$501,E240)=0,"NO PEDIDO",IF(COUNTIFS($C$2:C240,C240,$E$2:E240,E240)&gt;SUMIFS(PEDIDO_ITEMS!$C$2:$C$501,PEDIDO_ITEMS!$A$2:$A$501,C240,PEDIDO_ITEMS!$B$2:$B$501,E240),"EXCEDE PEDIDO","OK"))))))</f>
        <v/>
      </c>
    </row>
    <row r="241">
      <c r="A241" s="9" t="inlineStr"/>
      <c r="B241" s="2" t="inlineStr"/>
      <c r="C241" s="2" t="inlineStr"/>
      <c r="D241" s="2" t="inlineStr"/>
      <c r="E241" s="2">
        <f>IF(D241="","",IFERROR(XLOOKUP(TRIM(D241),INVENTARIO!$A$2:$A$2000,INVENTARIO!$B$2:$B$2000),"NO ENCONTRADO"))</f>
        <v/>
      </c>
      <c r="F241" s="2">
        <f>IF(D241="","",IFERROR(XLOOKUP(TRIM(D241),INVENTARIO!$A$2:$A$2000,INVENTARIO!$C$2:$C$2000),""))</f>
        <v/>
      </c>
      <c r="G241" s="2">
        <f>IF(D241="","",IF(E241="NO ENCONTRADO","CODIGO NO EXISTE",IF(COUNTIF($D$2:D241,D241)&gt;1,"DUPLICADO",IF(C241="","OK SIN PEDIDO",IF(COUNTIFS(PEDIDO_ITEMS!$A$2:$A$501,C241,PEDIDO_ITEMS!$B$2:$B$501,E241)=0,"NO PEDIDO",IF(COUNTIFS($C$2:C241,C241,$E$2:E241,E241)&gt;SUMIFS(PEDIDO_ITEMS!$C$2:$C$501,PEDIDO_ITEMS!$A$2:$A$501,C241,PEDIDO_ITEMS!$B$2:$B$501,E241),"EXCEDE PEDIDO","OK"))))))</f>
        <v/>
      </c>
    </row>
    <row r="242">
      <c r="A242" s="9" t="inlineStr"/>
      <c r="B242" s="2" t="inlineStr"/>
      <c r="C242" s="2" t="inlineStr"/>
      <c r="D242" s="2" t="inlineStr"/>
      <c r="E242" s="2">
        <f>IF(D242="","",IFERROR(XLOOKUP(TRIM(D242),INVENTARIO!$A$2:$A$2000,INVENTARIO!$B$2:$B$2000),"NO ENCONTRADO"))</f>
        <v/>
      </c>
      <c r="F242" s="2">
        <f>IF(D242="","",IFERROR(XLOOKUP(TRIM(D242),INVENTARIO!$A$2:$A$2000,INVENTARIO!$C$2:$C$2000),""))</f>
        <v/>
      </c>
      <c r="G242" s="2">
        <f>IF(D242="","",IF(E242="NO ENCONTRADO","CODIGO NO EXISTE",IF(COUNTIF($D$2:D242,D242)&gt;1,"DUPLICADO",IF(C242="","OK SIN PEDIDO",IF(COUNTIFS(PEDIDO_ITEMS!$A$2:$A$501,C242,PEDIDO_ITEMS!$B$2:$B$501,E242)=0,"NO PEDIDO",IF(COUNTIFS($C$2:C242,C242,$E$2:E242,E242)&gt;SUMIFS(PEDIDO_ITEMS!$C$2:$C$501,PEDIDO_ITEMS!$A$2:$A$501,C242,PEDIDO_ITEMS!$B$2:$B$501,E242),"EXCEDE PEDIDO","OK"))))))</f>
        <v/>
      </c>
    </row>
    <row r="243">
      <c r="A243" s="9" t="inlineStr"/>
      <c r="B243" s="2" t="inlineStr"/>
      <c r="C243" s="2" t="inlineStr"/>
      <c r="D243" s="2" t="inlineStr"/>
      <c r="E243" s="2">
        <f>IF(D243="","",IFERROR(XLOOKUP(TRIM(D243),INVENTARIO!$A$2:$A$2000,INVENTARIO!$B$2:$B$2000),"NO ENCONTRADO"))</f>
        <v/>
      </c>
      <c r="F243" s="2">
        <f>IF(D243="","",IFERROR(XLOOKUP(TRIM(D243),INVENTARIO!$A$2:$A$2000,INVENTARIO!$C$2:$C$2000),""))</f>
        <v/>
      </c>
      <c r="G243" s="2">
        <f>IF(D243="","",IF(E243="NO ENCONTRADO","CODIGO NO EXISTE",IF(COUNTIF($D$2:D243,D243)&gt;1,"DUPLICADO",IF(C243="","OK SIN PEDIDO",IF(COUNTIFS(PEDIDO_ITEMS!$A$2:$A$501,C243,PEDIDO_ITEMS!$B$2:$B$501,E243)=0,"NO PEDIDO",IF(COUNTIFS($C$2:C243,C243,$E$2:E243,E243)&gt;SUMIFS(PEDIDO_ITEMS!$C$2:$C$501,PEDIDO_ITEMS!$A$2:$A$501,C243,PEDIDO_ITEMS!$B$2:$B$501,E243),"EXCEDE PEDIDO","OK"))))))</f>
        <v/>
      </c>
    </row>
    <row r="244">
      <c r="A244" s="9" t="inlineStr"/>
      <c r="B244" s="2" t="inlineStr"/>
      <c r="C244" s="2" t="inlineStr"/>
      <c r="D244" s="2" t="inlineStr"/>
      <c r="E244" s="2">
        <f>IF(D244="","",IFERROR(XLOOKUP(TRIM(D244),INVENTARIO!$A$2:$A$2000,INVENTARIO!$B$2:$B$2000),"NO ENCONTRADO"))</f>
        <v/>
      </c>
      <c r="F244" s="2">
        <f>IF(D244="","",IFERROR(XLOOKUP(TRIM(D244),INVENTARIO!$A$2:$A$2000,INVENTARIO!$C$2:$C$2000),""))</f>
        <v/>
      </c>
      <c r="G244" s="2">
        <f>IF(D244="","",IF(E244="NO ENCONTRADO","CODIGO NO EXISTE",IF(COUNTIF($D$2:D244,D244)&gt;1,"DUPLICADO",IF(C244="","OK SIN PEDIDO",IF(COUNTIFS(PEDIDO_ITEMS!$A$2:$A$501,C244,PEDIDO_ITEMS!$B$2:$B$501,E244)=0,"NO PEDIDO",IF(COUNTIFS($C$2:C244,C244,$E$2:E244,E244)&gt;SUMIFS(PEDIDO_ITEMS!$C$2:$C$501,PEDIDO_ITEMS!$A$2:$A$501,C244,PEDIDO_ITEMS!$B$2:$B$501,E244),"EXCEDE PEDIDO","OK"))))))</f>
        <v/>
      </c>
    </row>
    <row r="245">
      <c r="A245" s="9" t="inlineStr"/>
      <c r="B245" s="2" t="inlineStr"/>
      <c r="C245" s="2" t="inlineStr"/>
      <c r="D245" s="2" t="inlineStr"/>
      <c r="E245" s="2">
        <f>IF(D245="","",IFERROR(XLOOKUP(TRIM(D245),INVENTARIO!$A$2:$A$2000,INVENTARIO!$B$2:$B$2000),"NO ENCONTRADO"))</f>
        <v/>
      </c>
      <c r="F245" s="2">
        <f>IF(D245="","",IFERROR(XLOOKUP(TRIM(D245),INVENTARIO!$A$2:$A$2000,INVENTARIO!$C$2:$C$2000),""))</f>
        <v/>
      </c>
      <c r="G245" s="2">
        <f>IF(D245="","",IF(E245="NO ENCONTRADO","CODIGO NO EXISTE",IF(COUNTIF($D$2:D245,D245)&gt;1,"DUPLICADO",IF(C245="","OK SIN PEDIDO",IF(COUNTIFS(PEDIDO_ITEMS!$A$2:$A$501,C245,PEDIDO_ITEMS!$B$2:$B$501,E245)=0,"NO PEDIDO",IF(COUNTIFS($C$2:C245,C245,$E$2:E245,E245)&gt;SUMIFS(PEDIDO_ITEMS!$C$2:$C$501,PEDIDO_ITEMS!$A$2:$A$501,C245,PEDIDO_ITEMS!$B$2:$B$501,E245),"EXCEDE PEDIDO","OK"))))))</f>
        <v/>
      </c>
    </row>
    <row r="246">
      <c r="A246" s="9" t="inlineStr"/>
      <c r="B246" s="2" t="inlineStr"/>
      <c r="C246" s="2" t="inlineStr"/>
      <c r="D246" s="2" t="inlineStr"/>
      <c r="E246" s="2">
        <f>IF(D246="","",IFERROR(XLOOKUP(TRIM(D246),INVENTARIO!$A$2:$A$2000,INVENTARIO!$B$2:$B$2000),"NO ENCONTRADO"))</f>
        <v/>
      </c>
      <c r="F246" s="2">
        <f>IF(D246="","",IFERROR(XLOOKUP(TRIM(D246),INVENTARIO!$A$2:$A$2000,INVENTARIO!$C$2:$C$2000),""))</f>
        <v/>
      </c>
      <c r="G246" s="2">
        <f>IF(D246="","",IF(E246="NO ENCONTRADO","CODIGO NO EXISTE",IF(COUNTIF($D$2:D246,D246)&gt;1,"DUPLICADO",IF(C246="","OK SIN PEDIDO",IF(COUNTIFS(PEDIDO_ITEMS!$A$2:$A$501,C246,PEDIDO_ITEMS!$B$2:$B$501,E246)=0,"NO PEDIDO",IF(COUNTIFS($C$2:C246,C246,$E$2:E246,E246)&gt;SUMIFS(PEDIDO_ITEMS!$C$2:$C$501,PEDIDO_ITEMS!$A$2:$A$501,C246,PEDIDO_ITEMS!$B$2:$B$501,E246),"EXCEDE PEDIDO","OK"))))))</f>
        <v/>
      </c>
    </row>
    <row r="247">
      <c r="A247" s="9" t="inlineStr"/>
      <c r="B247" s="2" t="inlineStr"/>
      <c r="C247" s="2" t="inlineStr"/>
      <c r="D247" s="2" t="inlineStr"/>
      <c r="E247" s="2">
        <f>IF(D247="","",IFERROR(XLOOKUP(TRIM(D247),INVENTARIO!$A$2:$A$2000,INVENTARIO!$B$2:$B$2000),"NO ENCONTRADO"))</f>
        <v/>
      </c>
      <c r="F247" s="2">
        <f>IF(D247="","",IFERROR(XLOOKUP(TRIM(D247),INVENTARIO!$A$2:$A$2000,INVENTARIO!$C$2:$C$2000),""))</f>
        <v/>
      </c>
      <c r="G247" s="2">
        <f>IF(D247="","",IF(E247="NO ENCONTRADO","CODIGO NO EXISTE",IF(COUNTIF($D$2:D247,D247)&gt;1,"DUPLICADO",IF(C247="","OK SIN PEDIDO",IF(COUNTIFS(PEDIDO_ITEMS!$A$2:$A$501,C247,PEDIDO_ITEMS!$B$2:$B$501,E247)=0,"NO PEDIDO",IF(COUNTIFS($C$2:C247,C247,$E$2:E247,E247)&gt;SUMIFS(PEDIDO_ITEMS!$C$2:$C$501,PEDIDO_ITEMS!$A$2:$A$501,C247,PEDIDO_ITEMS!$B$2:$B$501,E247),"EXCEDE PEDIDO","OK"))))))</f>
        <v/>
      </c>
    </row>
    <row r="248">
      <c r="A248" s="9" t="inlineStr"/>
      <c r="B248" s="2" t="inlineStr"/>
      <c r="C248" s="2" t="inlineStr"/>
      <c r="D248" s="2" t="inlineStr"/>
      <c r="E248" s="2">
        <f>IF(D248="","",IFERROR(XLOOKUP(TRIM(D248),INVENTARIO!$A$2:$A$2000,INVENTARIO!$B$2:$B$2000),"NO ENCONTRADO"))</f>
        <v/>
      </c>
      <c r="F248" s="2">
        <f>IF(D248="","",IFERROR(XLOOKUP(TRIM(D248),INVENTARIO!$A$2:$A$2000,INVENTARIO!$C$2:$C$2000),""))</f>
        <v/>
      </c>
      <c r="G248" s="2">
        <f>IF(D248="","",IF(E248="NO ENCONTRADO","CODIGO NO EXISTE",IF(COUNTIF($D$2:D248,D248)&gt;1,"DUPLICADO",IF(C248="","OK SIN PEDIDO",IF(COUNTIFS(PEDIDO_ITEMS!$A$2:$A$501,C248,PEDIDO_ITEMS!$B$2:$B$501,E248)=0,"NO PEDIDO",IF(COUNTIFS($C$2:C248,C248,$E$2:E248,E248)&gt;SUMIFS(PEDIDO_ITEMS!$C$2:$C$501,PEDIDO_ITEMS!$A$2:$A$501,C248,PEDIDO_ITEMS!$B$2:$B$501,E248),"EXCEDE PEDIDO","OK"))))))</f>
        <v/>
      </c>
    </row>
    <row r="249">
      <c r="A249" s="9" t="inlineStr"/>
      <c r="B249" s="2" t="inlineStr"/>
      <c r="C249" s="2" t="inlineStr"/>
      <c r="D249" s="2" t="inlineStr"/>
      <c r="E249" s="2">
        <f>IF(D249="","",IFERROR(XLOOKUP(TRIM(D249),INVENTARIO!$A$2:$A$2000,INVENTARIO!$B$2:$B$2000),"NO ENCONTRADO"))</f>
        <v/>
      </c>
      <c r="F249" s="2">
        <f>IF(D249="","",IFERROR(XLOOKUP(TRIM(D249),INVENTARIO!$A$2:$A$2000,INVENTARIO!$C$2:$C$2000),""))</f>
        <v/>
      </c>
      <c r="G249" s="2">
        <f>IF(D249="","",IF(E249="NO ENCONTRADO","CODIGO NO EXISTE",IF(COUNTIF($D$2:D249,D249)&gt;1,"DUPLICADO",IF(C249="","OK SIN PEDIDO",IF(COUNTIFS(PEDIDO_ITEMS!$A$2:$A$501,C249,PEDIDO_ITEMS!$B$2:$B$501,E249)=0,"NO PEDIDO",IF(COUNTIFS($C$2:C249,C249,$E$2:E249,E249)&gt;SUMIFS(PEDIDO_ITEMS!$C$2:$C$501,PEDIDO_ITEMS!$A$2:$A$501,C249,PEDIDO_ITEMS!$B$2:$B$501,E249),"EXCEDE PEDIDO","OK"))))))</f>
        <v/>
      </c>
    </row>
    <row r="250">
      <c r="A250" s="9" t="inlineStr"/>
      <c r="B250" s="2" t="inlineStr"/>
      <c r="C250" s="2" t="inlineStr"/>
      <c r="D250" s="2" t="inlineStr"/>
      <c r="E250" s="2">
        <f>IF(D250="","",IFERROR(XLOOKUP(TRIM(D250),INVENTARIO!$A$2:$A$2000,INVENTARIO!$B$2:$B$2000),"NO ENCONTRADO"))</f>
        <v/>
      </c>
      <c r="F250" s="2">
        <f>IF(D250="","",IFERROR(XLOOKUP(TRIM(D250),INVENTARIO!$A$2:$A$2000,INVENTARIO!$C$2:$C$2000),""))</f>
        <v/>
      </c>
      <c r="G250" s="2">
        <f>IF(D250="","",IF(E250="NO ENCONTRADO","CODIGO NO EXISTE",IF(COUNTIF($D$2:D250,D250)&gt;1,"DUPLICADO",IF(C250="","OK SIN PEDIDO",IF(COUNTIFS(PEDIDO_ITEMS!$A$2:$A$501,C250,PEDIDO_ITEMS!$B$2:$B$501,E250)=0,"NO PEDIDO",IF(COUNTIFS($C$2:C250,C250,$E$2:E250,E250)&gt;SUMIFS(PEDIDO_ITEMS!$C$2:$C$501,PEDIDO_ITEMS!$A$2:$A$501,C250,PEDIDO_ITEMS!$B$2:$B$501,E250),"EXCEDE PEDIDO","OK"))))))</f>
        <v/>
      </c>
    </row>
    <row r="251">
      <c r="A251" s="9" t="inlineStr"/>
      <c r="B251" s="2" t="inlineStr"/>
      <c r="C251" s="2" t="inlineStr"/>
      <c r="D251" s="2" t="inlineStr"/>
      <c r="E251" s="2">
        <f>IF(D251="","",IFERROR(XLOOKUP(TRIM(D251),INVENTARIO!$A$2:$A$2000,INVENTARIO!$B$2:$B$2000),"NO ENCONTRADO"))</f>
        <v/>
      </c>
      <c r="F251" s="2">
        <f>IF(D251="","",IFERROR(XLOOKUP(TRIM(D251),INVENTARIO!$A$2:$A$2000,INVENTARIO!$C$2:$C$2000),""))</f>
        <v/>
      </c>
      <c r="G251" s="2">
        <f>IF(D251="","",IF(E251="NO ENCONTRADO","CODIGO NO EXISTE",IF(COUNTIF($D$2:D251,D251)&gt;1,"DUPLICADO",IF(C251="","OK SIN PEDIDO",IF(COUNTIFS(PEDIDO_ITEMS!$A$2:$A$501,C251,PEDIDO_ITEMS!$B$2:$B$501,E251)=0,"NO PEDIDO",IF(COUNTIFS($C$2:C251,C251,$E$2:E251,E251)&gt;SUMIFS(PEDIDO_ITEMS!$C$2:$C$501,PEDIDO_ITEMS!$A$2:$A$501,C251,PEDIDO_ITEMS!$B$2:$B$501,E251),"EXCEDE PEDIDO","OK"))))))</f>
        <v/>
      </c>
    </row>
    <row r="252">
      <c r="A252" s="9" t="inlineStr"/>
      <c r="B252" s="2" t="inlineStr"/>
      <c r="C252" s="2" t="inlineStr"/>
      <c r="D252" s="2" t="inlineStr"/>
      <c r="E252" s="2">
        <f>IF(D252="","",IFERROR(XLOOKUP(TRIM(D252),INVENTARIO!$A$2:$A$2000,INVENTARIO!$B$2:$B$2000),"NO ENCONTRADO"))</f>
        <v/>
      </c>
      <c r="F252" s="2">
        <f>IF(D252="","",IFERROR(XLOOKUP(TRIM(D252),INVENTARIO!$A$2:$A$2000,INVENTARIO!$C$2:$C$2000),""))</f>
        <v/>
      </c>
      <c r="G252" s="2">
        <f>IF(D252="","",IF(E252="NO ENCONTRADO","CODIGO NO EXISTE",IF(COUNTIF($D$2:D252,D252)&gt;1,"DUPLICADO",IF(C252="","OK SIN PEDIDO",IF(COUNTIFS(PEDIDO_ITEMS!$A$2:$A$501,C252,PEDIDO_ITEMS!$B$2:$B$501,E252)=0,"NO PEDIDO",IF(COUNTIFS($C$2:C252,C252,$E$2:E252,E252)&gt;SUMIFS(PEDIDO_ITEMS!$C$2:$C$501,PEDIDO_ITEMS!$A$2:$A$501,C252,PEDIDO_ITEMS!$B$2:$B$501,E252),"EXCEDE PEDIDO","OK"))))))</f>
        <v/>
      </c>
    </row>
    <row r="253">
      <c r="A253" s="9" t="inlineStr"/>
      <c r="B253" s="2" t="inlineStr"/>
      <c r="C253" s="2" t="inlineStr"/>
      <c r="D253" s="2" t="inlineStr"/>
      <c r="E253" s="2">
        <f>IF(D253="","",IFERROR(XLOOKUP(TRIM(D253),INVENTARIO!$A$2:$A$2000,INVENTARIO!$B$2:$B$2000),"NO ENCONTRADO"))</f>
        <v/>
      </c>
      <c r="F253" s="2">
        <f>IF(D253="","",IFERROR(XLOOKUP(TRIM(D253),INVENTARIO!$A$2:$A$2000,INVENTARIO!$C$2:$C$2000),""))</f>
        <v/>
      </c>
      <c r="G253" s="2">
        <f>IF(D253="","",IF(E253="NO ENCONTRADO","CODIGO NO EXISTE",IF(COUNTIF($D$2:D253,D253)&gt;1,"DUPLICADO",IF(C253="","OK SIN PEDIDO",IF(COUNTIFS(PEDIDO_ITEMS!$A$2:$A$501,C253,PEDIDO_ITEMS!$B$2:$B$501,E253)=0,"NO PEDIDO",IF(COUNTIFS($C$2:C253,C253,$E$2:E253,E253)&gt;SUMIFS(PEDIDO_ITEMS!$C$2:$C$501,PEDIDO_ITEMS!$A$2:$A$501,C253,PEDIDO_ITEMS!$B$2:$B$501,E253),"EXCEDE PEDIDO","OK"))))))</f>
        <v/>
      </c>
    </row>
    <row r="254">
      <c r="A254" s="9" t="inlineStr"/>
      <c r="B254" s="2" t="inlineStr"/>
      <c r="C254" s="2" t="inlineStr"/>
      <c r="D254" s="2" t="inlineStr"/>
      <c r="E254" s="2">
        <f>IF(D254="","",IFERROR(XLOOKUP(TRIM(D254),INVENTARIO!$A$2:$A$2000,INVENTARIO!$B$2:$B$2000),"NO ENCONTRADO"))</f>
        <v/>
      </c>
      <c r="F254" s="2">
        <f>IF(D254="","",IFERROR(XLOOKUP(TRIM(D254),INVENTARIO!$A$2:$A$2000,INVENTARIO!$C$2:$C$2000),""))</f>
        <v/>
      </c>
      <c r="G254" s="2">
        <f>IF(D254="","",IF(E254="NO ENCONTRADO","CODIGO NO EXISTE",IF(COUNTIF($D$2:D254,D254)&gt;1,"DUPLICADO",IF(C254="","OK SIN PEDIDO",IF(COUNTIFS(PEDIDO_ITEMS!$A$2:$A$501,C254,PEDIDO_ITEMS!$B$2:$B$501,E254)=0,"NO PEDIDO",IF(COUNTIFS($C$2:C254,C254,$E$2:E254,E254)&gt;SUMIFS(PEDIDO_ITEMS!$C$2:$C$501,PEDIDO_ITEMS!$A$2:$A$501,C254,PEDIDO_ITEMS!$B$2:$B$501,E254),"EXCEDE PEDIDO","OK"))))))</f>
        <v/>
      </c>
    </row>
    <row r="255">
      <c r="A255" s="9" t="inlineStr"/>
      <c r="B255" s="2" t="inlineStr"/>
      <c r="C255" s="2" t="inlineStr"/>
      <c r="D255" s="2" t="inlineStr"/>
      <c r="E255" s="2">
        <f>IF(D255="","",IFERROR(XLOOKUP(TRIM(D255),INVENTARIO!$A$2:$A$2000,INVENTARIO!$B$2:$B$2000),"NO ENCONTRADO"))</f>
        <v/>
      </c>
      <c r="F255" s="2">
        <f>IF(D255="","",IFERROR(XLOOKUP(TRIM(D255),INVENTARIO!$A$2:$A$2000,INVENTARIO!$C$2:$C$2000),""))</f>
        <v/>
      </c>
      <c r="G255" s="2">
        <f>IF(D255="","",IF(E255="NO ENCONTRADO","CODIGO NO EXISTE",IF(COUNTIF($D$2:D255,D255)&gt;1,"DUPLICADO",IF(C255="","OK SIN PEDIDO",IF(COUNTIFS(PEDIDO_ITEMS!$A$2:$A$501,C255,PEDIDO_ITEMS!$B$2:$B$501,E255)=0,"NO PEDIDO",IF(COUNTIFS($C$2:C255,C255,$E$2:E255,E255)&gt;SUMIFS(PEDIDO_ITEMS!$C$2:$C$501,PEDIDO_ITEMS!$A$2:$A$501,C255,PEDIDO_ITEMS!$B$2:$B$501,E255),"EXCEDE PEDIDO","OK"))))))</f>
        <v/>
      </c>
    </row>
    <row r="256">
      <c r="A256" s="9" t="inlineStr"/>
      <c r="B256" s="2" t="inlineStr"/>
      <c r="C256" s="2" t="inlineStr"/>
      <c r="D256" s="2" t="inlineStr"/>
      <c r="E256" s="2">
        <f>IF(D256="","",IFERROR(XLOOKUP(TRIM(D256),INVENTARIO!$A$2:$A$2000,INVENTARIO!$B$2:$B$2000),"NO ENCONTRADO"))</f>
        <v/>
      </c>
      <c r="F256" s="2">
        <f>IF(D256="","",IFERROR(XLOOKUP(TRIM(D256),INVENTARIO!$A$2:$A$2000,INVENTARIO!$C$2:$C$2000),""))</f>
        <v/>
      </c>
      <c r="G256" s="2">
        <f>IF(D256="","",IF(E256="NO ENCONTRADO","CODIGO NO EXISTE",IF(COUNTIF($D$2:D256,D256)&gt;1,"DUPLICADO",IF(C256="","OK SIN PEDIDO",IF(COUNTIFS(PEDIDO_ITEMS!$A$2:$A$501,C256,PEDIDO_ITEMS!$B$2:$B$501,E256)=0,"NO PEDIDO",IF(COUNTIFS($C$2:C256,C256,$E$2:E256,E256)&gt;SUMIFS(PEDIDO_ITEMS!$C$2:$C$501,PEDIDO_ITEMS!$A$2:$A$501,C256,PEDIDO_ITEMS!$B$2:$B$501,E256),"EXCEDE PEDIDO","OK"))))))</f>
        <v/>
      </c>
    </row>
    <row r="257">
      <c r="A257" s="9" t="inlineStr"/>
      <c r="B257" s="2" t="inlineStr"/>
      <c r="C257" s="2" t="inlineStr"/>
      <c r="D257" s="2" t="inlineStr"/>
      <c r="E257" s="2">
        <f>IF(D257="","",IFERROR(XLOOKUP(TRIM(D257),INVENTARIO!$A$2:$A$2000,INVENTARIO!$B$2:$B$2000),"NO ENCONTRADO"))</f>
        <v/>
      </c>
      <c r="F257" s="2">
        <f>IF(D257="","",IFERROR(XLOOKUP(TRIM(D257),INVENTARIO!$A$2:$A$2000,INVENTARIO!$C$2:$C$2000),""))</f>
        <v/>
      </c>
      <c r="G257" s="2">
        <f>IF(D257="","",IF(E257="NO ENCONTRADO","CODIGO NO EXISTE",IF(COUNTIF($D$2:D257,D257)&gt;1,"DUPLICADO",IF(C257="","OK SIN PEDIDO",IF(COUNTIFS(PEDIDO_ITEMS!$A$2:$A$501,C257,PEDIDO_ITEMS!$B$2:$B$501,E257)=0,"NO PEDIDO",IF(COUNTIFS($C$2:C257,C257,$E$2:E257,E257)&gt;SUMIFS(PEDIDO_ITEMS!$C$2:$C$501,PEDIDO_ITEMS!$A$2:$A$501,C257,PEDIDO_ITEMS!$B$2:$B$501,E257),"EXCEDE PEDIDO","OK"))))))</f>
        <v/>
      </c>
    </row>
    <row r="258">
      <c r="A258" s="9" t="inlineStr"/>
      <c r="B258" s="2" t="inlineStr"/>
      <c r="C258" s="2" t="inlineStr"/>
      <c r="D258" s="2" t="inlineStr"/>
      <c r="E258" s="2">
        <f>IF(D258="","",IFERROR(XLOOKUP(TRIM(D258),INVENTARIO!$A$2:$A$2000,INVENTARIO!$B$2:$B$2000),"NO ENCONTRADO"))</f>
        <v/>
      </c>
      <c r="F258" s="2">
        <f>IF(D258="","",IFERROR(XLOOKUP(TRIM(D258),INVENTARIO!$A$2:$A$2000,INVENTARIO!$C$2:$C$2000),""))</f>
        <v/>
      </c>
      <c r="G258" s="2">
        <f>IF(D258="","",IF(E258="NO ENCONTRADO","CODIGO NO EXISTE",IF(COUNTIF($D$2:D258,D258)&gt;1,"DUPLICADO",IF(C258="","OK SIN PEDIDO",IF(COUNTIFS(PEDIDO_ITEMS!$A$2:$A$501,C258,PEDIDO_ITEMS!$B$2:$B$501,E258)=0,"NO PEDIDO",IF(COUNTIFS($C$2:C258,C258,$E$2:E258,E258)&gt;SUMIFS(PEDIDO_ITEMS!$C$2:$C$501,PEDIDO_ITEMS!$A$2:$A$501,C258,PEDIDO_ITEMS!$B$2:$B$501,E258),"EXCEDE PEDIDO","OK"))))))</f>
        <v/>
      </c>
    </row>
    <row r="259">
      <c r="A259" s="9" t="inlineStr"/>
      <c r="B259" s="2" t="inlineStr"/>
      <c r="C259" s="2" t="inlineStr"/>
      <c r="D259" s="2" t="inlineStr"/>
      <c r="E259" s="2">
        <f>IF(D259="","",IFERROR(XLOOKUP(TRIM(D259),INVENTARIO!$A$2:$A$2000,INVENTARIO!$B$2:$B$2000),"NO ENCONTRADO"))</f>
        <v/>
      </c>
      <c r="F259" s="2">
        <f>IF(D259="","",IFERROR(XLOOKUP(TRIM(D259),INVENTARIO!$A$2:$A$2000,INVENTARIO!$C$2:$C$2000),""))</f>
        <v/>
      </c>
      <c r="G259" s="2">
        <f>IF(D259="","",IF(E259="NO ENCONTRADO","CODIGO NO EXISTE",IF(COUNTIF($D$2:D259,D259)&gt;1,"DUPLICADO",IF(C259="","OK SIN PEDIDO",IF(COUNTIFS(PEDIDO_ITEMS!$A$2:$A$501,C259,PEDIDO_ITEMS!$B$2:$B$501,E259)=0,"NO PEDIDO",IF(COUNTIFS($C$2:C259,C259,$E$2:E259,E259)&gt;SUMIFS(PEDIDO_ITEMS!$C$2:$C$501,PEDIDO_ITEMS!$A$2:$A$501,C259,PEDIDO_ITEMS!$B$2:$B$501,E259),"EXCEDE PEDIDO","OK"))))))</f>
        <v/>
      </c>
    </row>
    <row r="260">
      <c r="A260" s="9" t="inlineStr"/>
      <c r="B260" s="2" t="inlineStr"/>
      <c r="C260" s="2" t="inlineStr"/>
      <c r="D260" s="2" t="inlineStr"/>
      <c r="E260" s="2">
        <f>IF(D260="","",IFERROR(XLOOKUP(TRIM(D260),INVENTARIO!$A$2:$A$2000,INVENTARIO!$B$2:$B$2000),"NO ENCONTRADO"))</f>
        <v/>
      </c>
      <c r="F260" s="2">
        <f>IF(D260="","",IFERROR(XLOOKUP(TRIM(D260),INVENTARIO!$A$2:$A$2000,INVENTARIO!$C$2:$C$2000),""))</f>
        <v/>
      </c>
      <c r="G260" s="2">
        <f>IF(D260="","",IF(E260="NO ENCONTRADO","CODIGO NO EXISTE",IF(COUNTIF($D$2:D260,D260)&gt;1,"DUPLICADO",IF(C260="","OK SIN PEDIDO",IF(COUNTIFS(PEDIDO_ITEMS!$A$2:$A$501,C260,PEDIDO_ITEMS!$B$2:$B$501,E260)=0,"NO PEDIDO",IF(COUNTIFS($C$2:C260,C260,$E$2:E260,E260)&gt;SUMIFS(PEDIDO_ITEMS!$C$2:$C$501,PEDIDO_ITEMS!$A$2:$A$501,C260,PEDIDO_ITEMS!$B$2:$B$501,E260),"EXCEDE PEDIDO","OK"))))))</f>
        <v/>
      </c>
    </row>
    <row r="261">
      <c r="A261" s="9" t="inlineStr"/>
      <c r="B261" s="2" t="inlineStr"/>
      <c r="C261" s="2" t="inlineStr"/>
      <c r="D261" s="2" t="inlineStr"/>
      <c r="E261" s="2">
        <f>IF(D261="","",IFERROR(XLOOKUP(TRIM(D261),INVENTARIO!$A$2:$A$2000,INVENTARIO!$B$2:$B$2000),"NO ENCONTRADO"))</f>
        <v/>
      </c>
      <c r="F261" s="2">
        <f>IF(D261="","",IFERROR(XLOOKUP(TRIM(D261),INVENTARIO!$A$2:$A$2000,INVENTARIO!$C$2:$C$2000),""))</f>
        <v/>
      </c>
      <c r="G261" s="2">
        <f>IF(D261="","",IF(E261="NO ENCONTRADO","CODIGO NO EXISTE",IF(COUNTIF($D$2:D261,D261)&gt;1,"DUPLICADO",IF(C261="","OK SIN PEDIDO",IF(COUNTIFS(PEDIDO_ITEMS!$A$2:$A$501,C261,PEDIDO_ITEMS!$B$2:$B$501,E261)=0,"NO PEDIDO",IF(COUNTIFS($C$2:C261,C261,$E$2:E261,E261)&gt;SUMIFS(PEDIDO_ITEMS!$C$2:$C$501,PEDIDO_ITEMS!$A$2:$A$501,C261,PEDIDO_ITEMS!$B$2:$B$501,E261),"EXCEDE PEDIDO","OK"))))))</f>
        <v/>
      </c>
    </row>
    <row r="262">
      <c r="A262" s="9" t="inlineStr"/>
      <c r="B262" s="2" t="inlineStr"/>
      <c r="C262" s="2" t="inlineStr"/>
      <c r="D262" s="2" t="inlineStr"/>
      <c r="E262" s="2">
        <f>IF(D262="","",IFERROR(XLOOKUP(TRIM(D262),INVENTARIO!$A$2:$A$2000,INVENTARIO!$B$2:$B$2000),"NO ENCONTRADO"))</f>
        <v/>
      </c>
      <c r="F262" s="2">
        <f>IF(D262="","",IFERROR(XLOOKUP(TRIM(D262),INVENTARIO!$A$2:$A$2000,INVENTARIO!$C$2:$C$2000),""))</f>
        <v/>
      </c>
      <c r="G262" s="2">
        <f>IF(D262="","",IF(E262="NO ENCONTRADO","CODIGO NO EXISTE",IF(COUNTIF($D$2:D262,D262)&gt;1,"DUPLICADO",IF(C262="","OK SIN PEDIDO",IF(COUNTIFS(PEDIDO_ITEMS!$A$2:$A$501,C262,PEDIDO_ITEMS!$B$2:$B$501,E262)=0,"NO PEDIDO",IF(COUNTIFS($C$2:C262,C262,$E$2:E262,E262)&gt;SUMIFS(PEDIDO_ITEMS!$C$2:$C$501,PEDIDO_ITEMS!$A$2:$A$501,C262,PEDIDO_ITEMS!$B$2:$B$501,E262),"EXCEDE PEDIDO","OK"))))))</f>
        <v/>
      </c>
    </row>
    <row r="263">
      <c r="A263" s="9" t="inlineStr"/>
      <c r="B263" s="2" t="inlineStr"/>
      <c r="C263" s="2" t="inlineStr"/>
      <c r="D263" s="2" t="inlineStr"/>
      <c r="E263" s="2">
        <f>IF(D263="","",IFERROR(XLOOKUP(TRIM(D263),INVENTARIO!$A$2:$A$2000,INVENTARIO!$B$2:$B$2000),"NO ENCONTRADO"))</f>
        <v/>
      </c>
      <c r="F263" s="2">
        <f>IF(D263="","",IFERROR(XLOOKUP(TRIM(D263),INVENTARIO!$A$2:$A$2000,INVENTARIO!$C$2:$C$2000),""))</f>
        <v/>
      </c>
      <c r="G263" s="2">
        <f>IF(D263="","",IF(E263="NO ENCONTRADO","CODIGO NO EXISTE",IF(COUNTIF($D$2:D263,D263)&gt;1,"DUPLICADO",IF(C263="","OK SIN PEDIDO",IF(COUNTIFS(PEDIDO_ITEMS!$A$2:$A$501,C263,PEDIDO_ITEMS!$B$2:$B$501,E263)=0,"NO PEDIDO",IF(COUNTIFS($C$2:C263,C263,$E$2:E263,E263)&gt;SUMIFS(PEDIDO_ITEMS!$C$2:$C$501,PEDIDO_ITEMS!$A$2:$A$501,C263,PEDIDO_ITEMS!$B$2:$B$501,E263),"EXCEDE PEDIDO","OK"))))))</f>
        <v/>
      </c>
    </row>
    <row r="264">
      <c r="A264" s="9" t="inlineStr"/>
      <c r="B264" s="2" t="inlineStr"/>
      <c r="C264" s="2" t="inlineStr"/>
      <c r="D264" s="2" t="inlineStr"/>
      <c r="E264" s="2">
        <f>IF(D264="","",IFERROR(XLOOKUP(TRIM(D264),INVENTARIO!$A$2:$A$2000,INVENTARIO!$B$2:$B$2000),"NO ENCONTRADO"))</f>
        <v/>
      </c>
      <c r="F264" s="2">
        <f>IF(D264="","",IFERROR(XLOOKUP(TRIM(D264),INVENTARIO!$A$2:$A$2000,INVENTARIO!$C$2:$C$2000),""))</f>
        <v/>
      </c>
      <c r="G264" s="2">
        <f>IF(D264="","",IF(E264="NO ENCONTRADO","CODIGO NO EXISTE",IF(COUNTIF($D$2:D264,D264)&gt;1,"DUPLICADO",IF(C264="","OK SIN PEDIDO",IF(COUNTIFS(PEDIDO_ITEMS!$A$2:$A$501,C264,PEDIDO_ITEMS!$B$2:$B$501,E264)=0,"NO PEDIDO",IF(COUNTIFS($C$2:C264,C264,$E$2:E264,E264)&gt;SUMIFS(PEDIDO_ITEMS!$C$2:$C$501,PEDIDO_ITEMS!$A$2:$A$501,C264,PEDIDO_ITEMS!$B$2:$B$501,E264),"EXCEDE PEDIDO","OK"))))))</f>
        <v/>
      </c>
    </row>
    <row r="265">
      <c r="A265" s="9" t="inlineStr"/>
      <c r="B265" s="2" t="inlineStr"/>
      <c r="C265" s="2" t="inlineStr"/>
      <c r="D265" s="2" t="inlineStr"/>
      <c r="E265" s="2">
        <f>IF(D265="","",IFERROR(XLOOKUP(TRIM(D265),INVENTARIO!$A$2:$A$2000,INVENTARIO!$B$2:$B$2000),"NO ENCONTRADO"))</f>
        <v/>
      </c>
      <c r="F265" s="2">
        <f>IF(D265="","",IFERROR(XLOOKUP(TRIM(D265),INVENTARIO!$A$2:$A$2000,INVENTARIO!$C$2:$C$2000),""))</f>
        <v/>
      </c>
      <c r="G265" s="2">
        <f>IF(D265="","",IF(E265="NO ENCONTRADO","CODIGO NO EXISTE",IF(COUNTIF($D$2:D265,D265)&gt;1,"DUPLICADO",IF(C265="","OK SIN PEDIDO",IF(COUNTIFS(PEDIDO_ITEMS!$A$2:$A$501,C265,PEDIDO_ITEMS!$B$2:$B$501,E265)=0,"NO PEDIDO",IF(COUNTIFS($C$2:C265,C265,$E$2:E265,E265)&gt;SUMIFS(PEDIDO_ITEMS!$C$2:$C$501,PEDIDO_ITEMS!$A$2:$A$501,C265,PEDIDO_ITEMS!$B$2:$B$501,E265),"EXCEDE PEDIDO","OK"))))))</f>
        <v/>
      </c>
    </row>
    <row r="266">
      <c r="A266" s="9" t="inlineStr"/>
      <c r="B266" s="2" t="inlineStr"/>
      <c r="C266" s="2" t="inlineStr"/>
      <c r="D266" s="2" t="inlineStr"/>
      <c r="E266" s="2">
        <f>IF(D266="","",IFERROR(XLOOKUP(TRIM(D266),INVENTARIO!$A$2:$A$2000,INVENTARIO!$B$2:$B$2000),"NO ENCONTRADO"))</f>
        <v/>
      </c>
      <c r="F266" s="2">
        <f>IF(D266="","",IFERROR(XLOOKUP(TRIM(D266),INVENTARIO!$A$2:$A$2000,INVENTARIO!$C$2:$C$2000),""))</f>
        <v/>
      </c>
      <c r="G266" s="2">
        <f>IF(D266="","",IF(E266="NO ENCONTRADO","CODIGO NO EXISTE",IF(COUNTIF($D$2:D266,D266)&gt;1,"DUPLICADO",IF(C266="","OK SIN PEDIDO",IF(COUNTIFS(PEDIDO_ITEMS!$A$2:$A$501,C266,PEDIDO_ITEMS!$B$2:$B$501,E266)=0,"NO PEDIDO",IF(COUNTIFS($C$2:C266,C266,$E$2:E266,E266)&gt;SUMIFS(PEDIDO_ITEMS!$C$2:$C$501,PEDIDO_ITEMS!$A$2:$A$501,C266,PEDIDO_ITEMS!$B$2:$B$501,E266),"EXCEDE PEDIDO","OK"))))))</f>
        <v/>
      </c>
    </row>
    <row r="267">
      <c r="A267" s="9" t="inlineStr"/>
      <c r="B267" s="2" t="inlineStr"/>
      <c r="C267" s="2" t="inlineStr"/>
      <c r="D267" s="2" t="inlineStr"/>
      <c r="E267" s="2">
        <f>IF(D267="","",IFERROR(XLOOKUP(TRIM(D267),INVENTARIO!$A$2:$A$2000,INVENTARIO!$B$2:$B$2000),"NO ENCONTRADO"))</f>
        <v/>
      </c>
      <c r="F267" s="2">
        <f>IF(D267="","",IFERROR(XLOOKUP(TRIM(D267),INVENTARIO!$A$2:$A$2000,INVENTARIO!$C$2:$C$2000),""))</f>
        <v/>
      </c>
      <c r="G267" s="2">
        <f>IF(D267="","",IF(E267="NO ENCONTRADO","CODIGO NO EXISTE",IF(COUNTIF($D$2:D267,D267)&gt;1,"DUPLICADO",IF(C267="","OK SIN PEDIDO",IF(COUNTIFS(PEDIDO_ITEMS!$A$2:$A$501,C267,PEDIDO_ITEMS!$B$2:$B$501,E267)=0,"NO PEDIDO",IF(COUNTIFS($C$2:C267,C267,$E$2:E267,E267)&gt;SUMIFS(PEDIDO_ITEMS!$C$2:$C$501,PEDIDO_ITEMS!$A$2:$A$501,C267,PEDIDO_ITEMS!$B$2:$B$501,E267),"EXCEDE PEDIDO","OK"))))))</f>
        <v/>
      </c>
    </row>
    <row r="268">
      <c r="A268" s="9" t="inlineStr"/>
      <c r="B268" s="2" t="inlineStr"/>
      <c r="C268" s="2" t="inlineStr"/>
      <c r="D268" s="2" t="inlineStr"/>
      <c r="E268" s="2">
        <f>IF(D268="","",IFERROR(XLOOKUP(TRIM(D268),INVENTARIO!$A$2:$A$2000,INVENTARIO!$B$2:$B$2000),"NO ENCONTRADO"))</f>
        <v/>
      </c>
      <c r="F268" s="2">
        <f>IF(D268="","",IFERROR(XLOOKUP(TRIM(D268),INVENTARIO!$A$2:$A$2000,INVENTARIO!$C$2:$C$2000),""))</f>
        <v/>
      </c>
      <c r="G268" s="2">
        <f>IF(D268="","",IF(E268="NO ENCONTRADO","CODIGO NO EXISTE",IF(COUNTIF($D$2:D268,D268)&gt;1,"DUPLICADO",IF(C268="","OK SIN PEDIDO",IF(COUNTIFS(PEDIDO_ITEMS!$A$2:$A$501,C268,PEDIDO_ITEMS!$B$2:$B$501,E268)=0,"NO PEDIDO",IF(COUNTIFS($C$2:C268,C268,$E$2:E268,E268)&gt;SUMIFS(PEDIDO_ITEMS!$C$2:$C$501,PEDIDO_ITEMS!$A$2:$A$501,C268,PEDIDO_ITEMS!$B$2:$B$501,E268),"EXCEDE PEDIDO","OK"))))))</f>
        <v/>
      </c>
    </row>
    <row r="269">
      <c r="A269" s="9" t="inlineStr"/>
      <c r="B269" s="2" t="inlineStr"/>
      <c r="C269" s="2" t="inlineStr"/>
      <c r="D269" s="2" t="inlineStr"/>
      <c r="E269" s="2">
        <f>IF(D269="","",IFERROR(XLOOKUP(TRIM(D269),INVENTARIO!$A$2:$A$2000,INVENTARIO!$B$2:$B$2000),"NO ENCONTRADO"))</f>
        <v/>
      </c>
      <c r="F269" s="2">
        <f>IF(D269="","",IFERROR(XLOOKUP(TRIM(D269),INVENTARIO!$A$2:$A$2000,INVENTARIO!$C$2:$C$2000),""))</f>
        <v/>
      </c>
      <c r="G269" s="2">
        <f>IF(D269="","",IF(E269="NO ENCONTRADO","CODIGO NO EXISTE",IF(COUNTIF($D$2:D269,D269)&gt;1,"DUPLICADO",IF(C269="","OK SIN PEDIDO",IF(COUNTIFS(PEDIDO_ITEMS!$A$2:$A$501,C269,PEDIDO_ITEMS!$B$2:$B$501,E269)=0,"NO PEDIDO",IF(COUNTIFS($C$2:C269,C269,$E$2:E269,E269)&gt;SUMIFS(PEDIDO_ITEMS!$C$2:$C$501,PEDIDO_ITEMS!$A$2:$A$501,C269,PEDIDO_ITEMS!$B$2:$B$501,E269),"EXCEDE PEDIDO","OK"))))))</f>
        <v/>
      </c>
    </row>
    <row r="270">
      <c r="A270" s="9" t="inlineStr"/>
      <c r="B270" s="2" t="inlineStr"/>
      <c r="C270" s="2" t="inlineStr"/>
      <c r="D270" s="2" t="inlineStr"/>
      <c r="E270" s="2">
        <f>IF(D270="","",IFERROR(XLOOKUP(TRIM(D270),INVENTARIO!$A$2:$A$2000,INVENTARIO!$B$2:$B$2000),"NO ENCONTRADO"))</f>
        <v/>
      </c>
      <c r="F270" s="2">
        <f>IF(D270="","",IFERROR(XLOOKUP(TRIM(D270),INVENTARIO!$A$2:$A$2000,INVENTARIO!$C$2:$C$2000),""))</f>
        <v/>
      </c>
      <c r="G270" s="2">
        <f>IF(D270="","",IF(E270="NO ENCONTRADO","CODIGO NO EXISTE",IF(COUNTIF($D$2:D270,D270)&gt;1,"DUPLICADO",IF(C270="","OK SIN PEDIDO",IF(COUNTIFS(PEDIDO_ITEMS!$A$2:$A$501,C270,PEDIDO_ITEMS!$B$2:$B$501,E270)=0,"NO PEDIDO",IF(COUNTIFS($C$2:C270,C270,$E$2:E270,E270)&gt;SUMIFS(PEDIDO_ITEMS!$C$2:$C$501,PEDIDO_ITEMS!$A$2:$A$501,C270,PEDIDO_ITEMS!$B$2:$B$501,E270),"EXCEDE PEDIDO","OK"))))))</f>
        <v/>
      </c>
    </row>
    <row r="271">
      <c r="A271" s="9" t="inlineStr"/>
      <c r="B271" s="2" t="inlineStr"/>
      <c r="C271" s="2" t="inlineStr"/>
      <c r="D271" s="2" t="inlineStr"/>
      <c r="E271" s="2">
        <f>IF(D271="","",IFERROR(XLOOKUP(TRIM(D271),INVENTARIO!$A$2:$A$2000,INVENTARIO!$B$2:$B$2000),"NO ENCONTRADO"))</f>
        <v/>
      </c>
      <c r="F271" s="2">
        <f>IF(D271="","",IFERROR(XLOOKUP(TRIM(D271),INVENTARIO!$A$2:$A$2000,INVENTARIO!$C$2:$C$2000),""))</f>
        <v/>
      </c>
      <c r="G271" s="2">
        <f>IF(D271="","",IF(E271="NO ENCONTRADO","CODIGO NO EXISTE",IF(COUNTIF($D$2:D271,D271)&gt;1,"DUPLICADO",IF(C271="","OK SIN PEDIDO",IF(COUNTIFS(PEDIDO_ITEMS!$A$2:$A$501,C271,PEDIDO_ITEMS!$B$2:$B$501,E271)=0,"NO PEDIDO",IF(COUNTIFS($C$2:C271,C271,$E$2:E271,E271)&gt;SUMIFS(PEDIDO_ITEMS!$C$2:$C$501,PEDIDO_ITEMS!$A$2:$A$501,C271,PEDIDO_ITEMS!$B$2:$B$501,E271),"EXCEDE PEDIDO","OK"))))))</f>
        <v/>
      </c>
    </row>
    <row r="272">
      <c r="A272" s="9" t="inlineStr"/>
      <c r="B272" s="2" t="inlineStr"/>
      <c r="C272" s="2" t="inlineStr"/>
      <c r="D272" s="2" t="inlineStr"/>
      <c r="E272" s="2">
        <f>IF(D272="","",IFERROR(XLOOKUP(TRIM(D272),INVENTARIO!$A$2:$A$2000,INVENTARIO!$B$2:$B$2000),"NO ENCONTRADO"))</f>
        <v/>
      </c>
      <c r="F272" s="2">
        <f>IF(D272="","",IFERROR(XLOOKUP(TRIM(D272),INVENTARIO!$A$2:$A$2000,INVENTARIO!$C$2:$C$2000),""))</f>
        <v/>
      </c>
      <c r="G272" s="2">
        <f>IF(D272="","",IF(E272="NO ENCONTRADO","CODIGO NO EXISTE",IF(COUNTIF($D$2:D272,D272)&gt;1,"DUPLICADO",IF(C272="","OK SIN PEDIDO",IF(COUNTIFS(PEDIDO_ITEMS!$A$2:$A$501,C272,PEDIDO_ITEMS!$B$2:$B$501,E272)=0,"NO PEDIDO",IF(COUNTIFS($C$2:C272,C272,$E$2:E272,E272)&gt;SUMIFS(PEDIDO_ITEMS!$C$2:$C$501,PEDIDO_ITEMS!$A$2:$A$501,C272,PEDIDO_ITEMS!$B$2:$B$501,E272),"EXCEDE PEDIDO","OK"))))))</f>
        <v/>
      </c>
    </row>
    <row r="273">
      <c r="A273" s="9" t="inlineStr"/>
      <c r="B273" s="2" t="inlineStr"/>
      <c r="C273" s="2" t="inlineStr"/>
      <c r="D273" s="2" t="inlineStr"/>
      <c r="E273" s="2">
        <f>IF(D273="","",IFERROR(XLOOKUP(TRIM(D273),INVENTARIO!$A$2:$A$2000,INVENTARIO!$B$2:$B$2000),"NO ENCONTRADO"))</f>
        <v/>
      </c>
      <c r="F273" s="2">
        <f>IF(D273="","",IFERROR(XLOOKUP(TRIM(D273),INVENTARIO!$A$2:$A$2000,INVENTARIO!$C$2:$C$2000),""))</f>
        <v/>
      </c>
      <c r="G273" s="2">
        <f>IF(D273="","",IF(E273="NO ENCONTRADO","CODIGO NO EXISTE",IF(COUNTIF($D$2:D273,D273)&gt;1,"DUPLICADO",IF(C273="","OK SIN PEDIDO",IF(COUNTIFS(PEDIDO_ITEMS!$A$2:$A$501,C273,PEDIDO_ITEMS!$B$2:$B$501,E273)=0,"NO PEDIDO",IF(COUNTIFS($C$2:C273,C273,$E$2:E273,E273)&gt;SUMIFS(PEDIDO_ITEMS!$C$2:$C$501,PEDIDO_ITEMS!$A$2:$A$501,C273,PEDIDO_ITEMS!$B$2:$B$501,E273),"EXCEDE PEDIDO","OK"))))))</f>
        <v/>
      </c>
    </row>
    <row r="274">
      <c r="A274" s="9" t="inlineStr"/>
      <c r="B274" s="2" t="inlineStr"/>
      <c r="C274" s="2" t="inlineStr"/>
      <c r="D274" s="2" t="inlineStr"/>
      <c r="E274" s="2">
        <f>IF(D274="","",IFERROR(XLOOKUP(TRIM(D274),INVENTARIO!$A$2:$A$2000,INVENTARIO!$B$2:$B$2000),"NO ENCONTRADO"))</f>
        <v/>
      </c>
      <c r="F274" s="2">
        <f>IF(D274="","",IFERROR(XLOOKUP(TRIM(D274),INVENTARIO!$A$2:$A$2000,INVENTARIO!$C$2:$C$2000),""))</f>
        <v/>
      </c>
      <c r="G274" s="2">
        <f>IF(D274="","",IF(E274="NO ENCONTRADO","CODIGO NO EXISTE",IF(COUNTIF($D$2:D274,D274)&gt;1,"DUPLICADO",IF(C274="","OK SIN PEDIDO",IF(COUNTIFS(PEDIDO_ITEMS!$A$2:$A$501,C274,PEDIDO_ITEMS!$B$2:$B$501,E274)=0,"NO PEDIDO",IF(COUNTIFS($C$2:C274,C274,$E$2:E274,E274)&gt;SUMIFS(PEDIDO_ITEMS!$C$2:$C$501,PEDIDO_ITEMS!$A$2:$A$501,C274,PEDIDO_ITEMS!$B$2:$B$501,E274),"EXCEDE PEDIDO","OK"))))))</f>
        <v/>
      </c>
    </row>
    <row r="275">
      <c r="A275" s="9" t="inlineStr"/>
      <c r="B275" s="2" t="inlineStr"/>
      <c r="C275" s="2" t="inlineStr"/>
      <c r="D275" s="2" t="inlineStr"/>
      <c r="E275" s="2">
        <f>IF(D275="","",IFERROR(XLOOKUP(TRIM(D275),INVENTARIO!$A$2:$A$2000,INVENTARIO!$B$2:$B$2000),"NO ENCONTRADO"))</f>
        <v/>
      </c>
      <c r="F275" s="2">
        <f>IF(D275="","",IFERROR(XLOOKUP(TRIM(D275),INVENTARIO!$A$2:$A$2000,INVENTARIO!$C$2:$C$2000),""))</f>
        <v/>
      </c>
      <c r="G275" s="2">
        <f>IF(D275="","",IF(E275="NO ENCONTRADO","CODIGO NO EXISTE",IF(COUNTIF($D$2:D275,D275)&gt;1,"DUPLICADO",IF(C275="","OK SIN PEDIDO",IF(COUNTIFS(PEDIDO_ITEMS!$A$2:$A$501,C275,PEDIDO_ITEMS!$B$2:$B$501,E275)=0,"NO PEDIDO",IF(COUNTIFS($C$2:C275,C275,$E$2:E275,E275)&gt;SUMIFS(PEDIDO_ITEMS!$C$2:$C$501,PEDIDO_ITEMS!$A$2:$A$501,C275,PEDIDO_ITEMS!$B$2:$B$501,E275),"EXCEDE PEDIDO","OK"))))))</f>
        <v/>
      </c>
    </row>
    <row r="276">
      <c r="A276" s="9" t="inlineStr"/>
      <c r="B276" s="2" t="inlineStr"/>
      <c r="C276" s="2" t="inlineStr"/>
      <c r="D276" s="2" t="inlineStr"/>
      <c r="E276" s="2">
        <f>IF(D276="","",IFERROR(XLOOKUP(TRIM(D276),INVENTARIO!$A$2:$A$2000,INVENTARIO!$B$2:$B$2000),"NO ENCONTRADO"))</f>
        <v/>
      </c>
      <c r="F276" s="2">
        <f>IF(D276="","",IFERROR(XLOOKUP(TRIM(D276),INVENTARIO!$A$2:$A$2000,INVENTARIO!$C$2:$C$2000),""))</f>
        <v/>
      </c>
      <c r="G276" s="2">
        <f>IF(D276="","",IF(E276="NO ENCONTRADO","CODIGO NO EXISTE",IF(COUNTIF($D$2:D276,D276)&gt;1,"DUPLICADO",IF(C276="","OK SIN PEDIDO",IF(COUNTIFS(PEDIDO_ITEMS!$A$2:$A$501,C276,PEDIDO_ITEMS!$B$2:$B$501,E276)=0,"NO PEDIDO",IF(COUNTIFS($C$2:C276,C276,$E$2:E276,E276)&gt;SUMIFS(PEDIDO_ITEMS!$C$2:$C$501,PEDIDO_ITEMS!$A$2:$A$501,C276,PEDIDO_ITEMS!$B$2:$B$501,E276),"EXCEDE PEDIDO","OK"))))))</f>
        <v/>
      </c>
    </row>
    <row r="277">
      <c r="A277" s="9" t="inlineStr"/>
      <c r="B277" s="2" t="inlineStr"/>
      <c r="C277" s="2" t="inlineStr"/>
      <c r="D277" s="2" t="inlineStr"/>
      <c r="E277" s="2">
        <f>IF(D277="","",IFERROR(XLOOKUP(TRIM(D277),INVENTARIO!$A$2:$A$2000,INVENTARIO!$B$2:$B$2000),"NO ENCONTRADO"))</f>
        <v/>
      </c>
      <c r="F277" s="2">
        <f>IF(D277="","",IFERROR(XLOOKUP(TRIM(D277),INVENTARIO!$A$2:$A$2000,INVENTARIO!$C$2:$C$2000),""))</f>
        <v/>
      </c>
      <c r="G277" s="2">
        <f>IF(D277="","",IF(E277="NO ENCONTRADO","CODIGO NO EXISTE",IF(COUNTIF($D$2:D277,D277)&gt;1,"DUPLICADO",IF(C277="","OK SIN PEDIDO",IF(COUNTIFS(PEDIDO_ITEMS!$A$2:$A$501,C277,PEDIDO_ITEMS!$B$2:$B$501,E277)=0,"NO PEDIDO",IF(COUNTIFS($C$2:C277,C277,$E$2:E277,E277)&gt;SUMIFS(PEDIDO_ITEMS!$C$2:$C$501,PEDIDO_ITEMS!$A$2:$A$501,C277,PEDIDO_ITEMS!$B$2:$B$501,E277),"EXCEDE PEDIDO","OK"))))))</f>
        <v/>
      </c>
    </row>
    <row r="278">
      <c r="A278" s="9" t="inlineStr"/>
      <c r="B278" s="2" t="inlineStr"/>
      <c r="C278" s="2" t="inlineStr"/>
      <c r="D278" s="2" t="inlineStr"/>
      <c r="E278" s="2">
        <f>IF(D278="","",IFERROR(XLOOKUP(TRIM(D278),INVENTARIO!$A$2:$A$2000,INVENTARIO!$B$2:$B$2000),"NO ENCONTRADO"))</f>
        <v/>
      </c>
      <c r="F278" s="2">
        <f>IF(D278="","",IFERROR(XLOOKUP(TRIM(D278),INVENTARIO!$A$2:$A$2000,INVENTARIO!$C$2:$C$2000),""))</f>
        <v/>
      </c>
      <c r="G278" s="2">
        <f>IF(D278="","",IF(E278="NO ENCONTRADO","CODIGO NO EXISTE",IF(COUNTIF($D$2:D278,D278)&gt;1,"DUPLICADO",IF(C278="","OK SIN PEDIDO",IF(COUNTIFS(PEDIDO_ITEMS!$A$2:$A$501,C278,PEDIDO_ITEMS!$B$2:$B$501,E278)=0,"NO PEDIDO",IF(COUNTIFS($C$2:C278,C278,$E$2:E278,E278)&gt;SUMIFS(PEDIDO_ITEMS!$C$2:$C$501,PEDIDO_ITEMS!$A$2:$A$501,C278,PEDIDO_ITEMS!$B$2:$B$501,E278),"EXCEDE PEDIDO","OK"))))))</f>
        <v/>
      </c>
    </row>
    <row r="279">
      <c r="A279" s="9" t="inlineStr"/>
      <c r="B279" s="2" t="inlineStr"/>
      <c r="C279" s="2" t="inlineStr"/>
      <c r="D279" s="2" t="inlineStr"/>
      <c r="E279" s="2">
        <f>IF(D279="","",IFERROR(XLOOKUP(TRIM(D279),INVENTARIO!$A$2:$A$2000,INVENTARIO!$B$2:$B$2000),"NO ENCONTRADO"))</f>
        <v/>
      </c>
      <c r="F279" s="2">
        <f>IF(D279="","",IFERROR(XLOOKUP(TRIM(D279),INVENTARIO!$A$2:$A$2000,INVENTARIO!$C$2:$C$2000),""))</f>
        <v/>
      </c>
      <c r="G279" s="2">
        <f>IF(D279="","",IF(E279="NO ENCONTRADO","CODIGO NO EXISTE",IF(COUNTIF($D$2:D279,D279)&gt;1,"DUPLICADO",IF(C279="","OK SIN PEDIDO",IF(COUNTIFS(PEDIDO_ITEMS!$A$2:$A$501,C279,PEDIDO_ITEMS!$B$2:$B$501,E279)=0,"NO PEDIDO",IF(COUNTIFS($C$2:C279,C279,$E$2:E279,E279)&gt;SUMIFS(PEDIDO_ITEMS!$C$2:$C$501,PEDIDO_ITEMS!$A$2:$A$501,C279,PEDIDO_ITEMS!$B$2:$B$501,E279),"EXCEDE PEDIDO","OK"))))))</f>
        <v/>
      </c>
    </row>
    <row r="280">
      <c r="A280" s="9" t="inlineStr"/>
      <c r="B280" s="2" t="inlineStr"/>
      <c r="C280" s="2" t="inlineStr"/>
      <c r="D280" s="2" t="inlineStr"/>
      <c r="E280" s="2">
        <f>IF(D280="","",IFERROR(XLOOKUP(TRIM(D280),INVENTARIO!$A$2:$A$2000,INVENTARIO!$B$2:$B$2000),"NO ENCONTRADO"))</f>
        <v/>
      </c>
      <c r="F280" s="2">
        <f>IF(D280="","",IFERROR(XLOOKUP(TRIM(D280),INVENTARIO!$A$2:$A$2000,INVENTARIO!$C$2:$C$2000),""))</f>
        <v/>
      </c>
      <c r="G280" s="2">
        <f>IF(D280="","",IF(E280="NO ENCONTRADO","CODIGO NO EXISTE",IF(COUNTIF($D$2:D280,D280)&gt;1,"DUPLICADO",IF(C280="","OK SIN PEDIDO",IF(COUNTIFS(PEDIDO_ITEMS!$A$2:$A$501,C280,PEDIDO_ITEMS!$B$2:$B$501,E280)=0,"NO PEDIDO",IF(COUNTIFS($C$2:C280,C280,$E$2:E280,E280)&gt;SUMIFS(PEDIDO_ITEMS!$C$2:$C$501,PEDIDO_ITEMS!$A$2:$A$501,C280,PEDIDO_ITEMS!$B$2:$B$501,E280),"EXCEDE PEDIDO","OK"))))))</f>
        <v/>
      </c>
    </row>
    <row r="281">
      <c r="A281" s="9" t="inlineStr"/>
      <c r="B281" s="2" t="inlineStr"/>
      <c r="C281" s="2" t="inlineStr"/>
      <c r="D281" s="2" t="inlineStr"/>
      <c r="E281" s="2">
        <f>IF(D281="","",IFERROR(XLOOKUP(TRIM(D281),INVENTARIO!$A$2:$A$2000,INVENTARIO!$B$2:$B$2000),"NO ENCONTRADO"))</f>
        <v/>
      </c>
      <c r="F281" s="2">
        <f>IF(D281="","",IFERROR(XLOOKUP(TRIM(D281),INVENTARIO!$A$2:$A$2000,INVENTARIO!$C$2:$C$2000),""))</f>
        <v/>
      </c>
      <c r="G281" s="2">
        <f>IF(D281="","",IF(E281="NO ENCONTRADO","CODIGO NO EXISTE",IF(COUNTIF($D$2:D281,D281)&gt;1,"DUPLICADO",IF(C281="","OK SIN PEDIDO",IF(COUNTIFS(PEDIDO_ITEMS!$A$2:$A$501,C281,PEDIDO_ITEMS!$B$2:$B$501,E281)=0,"NO PEDIDO",IF(COUNTIFS($C$2:C281,C281,$E$2:E281,E281)&gt;SUMIFS(PEDIDO_ITEMS!$C$2:$C$501,PEDIDO_ITEMS!$A$2:$A$501,C281,PEDIDO_ITEMS!$B$2:$B$501,E281),"EXCEDE PEDIDO","OK"))))))</f>
        <v/>
      </c>
    </row>
    <row r="282">
      <c r="A282" s="9" t="inlineStr"/>
      <c r="B282" s="2" t="inlineStr"/>
      <c r="C282" s="2" t="inlineStr"/>
      <c r="D282" s="2" t="inlineStr"/>
      <c r="E282" s="2">
        <f>IF(D282="","",IFERROR(XLOOKUP(TRIM(D282),INVENTARIO!$A$2:$A$2000,INVENTARIO!$B$2:$B$2000),"NO ENCONTRADO"))</f>
        <v/>
      </c>
      <c r="F282" s="2">
        <f>IF(D282="","",IFERROR(XLOOKUP(TRIM(D282),INVENTARIO!$A$2:$A$2000,INVENTARIO!$C$2:$C$2000),""))</f>
        <v/>
      </c>
      <c r="G282" s="2">
        <f>IF(D282="","",IF(E282="NO ENCONTRADO","CODIGO NO EXISTE",IF(COUNTIF($D$2:D282,D282)&gt;1,"DUPLICADO",IF(C282="","OK SIN PEDIDO",IF(COUNTIFS(PEDIDO_ITEMS!$A$2:$A$501,C282,PEDIDO_ITEMS!$B$2:$B$501,E282)=0,"NO PEDIDO",IF(COUNTIFS($C$2:C282,C282,$E$2:E282,E282)&gt;SUMIFS(PEDIDO_ITEMS!$C$2:$C$501,PEDIDO_ITEMS!$A$2:$A$501,C282,PEDIDO_ITEMS!$B$2:$B$501,E282),"EXCEDE PEDIDO","OK"))))))</f>
        <v/>
      </c>
    </row>
    <row r="283">
      <c r="A283" s="9" t="inlineStr"/>
      <c r="B283" s="2" t="inlineStr"/>
      <c r="C283" s="2" t="inlineStr"/>
      <c r="D283" s="2" t="inlineStr"/>
      <c r="E283" s="2">
        <f>IF(D283="","",IFERROR(XLOOKUP(TRIM(D283),INVENTARIO!$A$2:$A$2000,INVENTARIO!$B$2:$B$2000),"NO ENCONTRADO"))</f>
        <v/>
      </c>
      <c r="F283" s="2">
        <f>IF(D283="","",IFERROR(XLOOKUP(TRIM(D283),INVENTARIO!$A$2:$A$2000,INVENTARIO!$C$2:$C$2000),""))</f>
        <v/>
      </c>
      <c r="G283" s="2">
        <f>IF(D283="","",IF(E283="NO ENCONTRADO","CODIGO NO EXISTE",IF(COUNTIF($D$2:D283,D283)&gt;1,"DUPLICADO",IF(C283="","OK SIN PEDIDO",IF(COUNTIFS(PEDIDO_ITEMS!$A$2:$A$501,C283,PEDIDO_ITEMS!$B$2:$B$501,E283)=0,"NO PEDIDO",IF(COUNTIFS($C$2:C283,C283,$E$2:E283,E283)&gt;SUMIFS(PEDIDO_ITEMS!$C$2:$C$501,PEDIDO_ITEMS!$A$2:$A$501,C283,PEDIDO_ITEMS!$B$2:$B$501,E283),"EXCEDE PEDIDO","OK"))))))</f>
        <v/>
      </c>
    </row>
    <row r="284">
      <c r="A284" s="9" t="inlineStr"/>
      <c r="B284" s="2" t="inlineStr"/>
      <c r="C284" s="2" t="inlineStr"/>
      <c r="D284" s="2" t="inlineStr"/>
      <c r="E284" s="2">
        <f>IF(D284="","",IFERROR(XLOOKUP(TRIM(D284),INVENTARIO!$A$2:$A$2000,INVENTARIO!$B$2:$B$2000),"NO ENCONTRADO"))</f>
        <v/>
      </c>
      <c r="F284" s="2">
        <f>IF(D284="","",IFERROR(XLOOKUP(TRIM(D284),INVENTARIO!$A$2:$A$2000,INVENTARIO!$C$2:$C$2000),""))</f>
        <v/>
      </c>
      <c r="G284" s="2">
        <f>IF(D284="","",IF(E284="NO ENCONTRADO","CODIGO NO EXISTE",IF(COUNTIF($D$2:D284,D284)&gt;1,"DUPLICADO",IF(C284="","OK SIN PEDIDO",IF(COUNTIFS(PEDIDO_ITEMS!$A$2:$A$501,C284,PEDIDO_ITEMS!$B$2:$B$501,E284)=0,"NO PEDIDO",IF(COUNTIFS($C$2:C284,C284,$E$2:E284,E284)&gt;SUMIFS(PEDIDO_ITEMS!$C$2:$C$501,PEDIDO_ITEMS!$A$2:$A$501,C284,PEDIDO_ITEMS!$B$2:$B$501,E284),"EXCEDE PEDIDO","OK"))))))</f>
        <v/>
      </c>
    </row>
    <row r="285">
      <c r="A285" s="9" t="inlineStr"/>
      <c r="B285" s="2" t="inlineStr"/>
      <c r="C285" s="2" t="inlineStr"/>
      <c r="D285" s="2" t="inlineStr"/>
      <c r="E285" s="2">
        <f>IF(D285="","",IFERROR(XLOOKUP(TRIM(D285),INVENTARIO!$A$2:$A$2000,INVENTARIO!$B$2:$B$2000),"NO ENCONTRADO"))</f>
        <v/>
      </c>
      <c r="F285" s="2">
        <f>IF(D285="","",IFERROR(XLOOKUP(TRIM(D285),INVENTARIO!$A$2:$A$2000,INVENTARIO!$C$2:$C$2000),""))</f>
        <v/>
      </c>
      <c r="G285" s="2">
        <f>IF(D285="","",IF(E285="NO ENCONTRADO","CODIGO NO EXISTE",IF(COUNTIF($D$2:D285,D285)&gt;1,"DUPLICADO",IF(C285="","OK SIN PEDIDO",IF(COUNTIFS(PEDIDO_ITEMS!$A$2:$A$501,C285,PEDIDO_ITEMS!$B$2:$B$501,E285)=0,"NO PEDIDO",IF(COUNTIFS($C$2:C285,C285,$E$2:E285,E285)&gt;SUMIFS(PEDIDO_ITEMS!$C$2:$C$501,PEDIDO_ITEMS!$A$2:$A$501,C285,PEDIDO_ITEMS!$B$2:$B$501,E285),"EXCEDE PEDIDO","OK"))))))</f>
        <v/>
      </c>
    </row>
    <row r="286">
      <c r="A286" s="9" t="inlineStr"/>
      <c r="B286" s="2" t="inlineStr"/>
      <c r="C286" s="2" t="inlineStr"/>
      <c r="D286" s="2" t="inlineStr"/>
      <c r="E286" s="2">
        <f>IF(D286="","",IFERROR(XLOOKUP(TRIM(D286),INVENTARIO!$A$2:$A$2000,INVENTARIO!$B$2:$B$2000),"NO ENCONTRADO"))</f>
        <v/>
      </c>
      <c r="F286" s="2">
        <f>IF(D286="","",IFERROR(XLOOKUP(TRIM(D286),INVENTARIO!$A$2:$A$2000,INVENTARIO!$C$2:$C$2000),""))</f>
        <v/>
      </c>
      <c r="G286" s="2">
        <f>IF(D286="","",IF(E286="NO ENCONTRADO","CODIGO NO EXISTE",IF(COUNTIF($D$2:D286,D286)&gt;1,"DUPLICADO",IF(C286="","OK SIN PEDIDO",IF(COUNTIFS(PEDIDO_ITEMS!$A$2:$A$501,C286,PEDIDO_ITEMS!$B$2:$B$501,E286)=0,"NO PEDIDO",IF(COUNTIFS($C$2:C286,C286,$E$2:E286,E286)&gt;SUMIFS(PEDIDO_ITEMS!$C$2:$C$501,PEDIDO_ITEMS!$A$2:$A$501,C286,PEDIDO_ITEMS!$B$2:$B$501,E286),"EXCEDE PEDIDO","OK"))))))</f>
        <v/>
      </c>
    </row>
    <row r="287">
      <c r="A287" s="9" t="inlineStr"/>
      <c r="B287" s="2" t="inlineStr"/>
      <c r="C287" s="2" t="inlineStr"/>
      <c r="D287" s="2" t="inlineStr"/>
      <c r="E287" s="2">
        <f>IF(D287="","",IFERROR(XLOOKUP(TRIM(D287),INVENTARIO!$A$2:$A$2000,INVENTARIO!$B$2:$B$2000),"NO ENCONTRADO"))</f>
        <v/>
      </c>
      <c r="F287" s="2">
        <f>IF(D287="","",IFERROR(XLOOKUP(TRIM(D287),INVENTARIO!$A$2:$A$2000,INVENTARIO!$C$2:$C$2000),""))</f>
        <v/>
      </c>
      <c r="G287" s="2">
        <f>IF(D287="","",IF(E287="NO ENCONTRADO","CODIGO NO EXISTE",IF(COUNTIF($D$2:D287,D287)&gt;1,"DUPLICADO",IF(C287="","OK SIN PEDIDO",IF(COUNTIFS(PEDIDO_ITEMS!$A$2:$A$501,C287,PEDIDO_ITEMS!$B$2:$B$501,E287)=0,"NO PEDIDO",IF(COUNTIFS($C$2:C287,C287,$E$2:E287,E287)&gt;SUMIFS(PEDIDO_ITEMS!$C$2:$C$501,PEDIDO_ITEMS!$A$2:$A$501,C287,PEDIDO_ITEMS!$B$2:$B$501,E287),"EXCEDE PEDIDO","OK"))))))</f>
        <v/>
      </c>
    </row>
    <row r="288">
      <c r="A288" s="9" t="inlineStr"/>
      <c r="B288" s="2" t="inlineStr"/>
      <c r="C288" s="2" t="inlineStr"/>
      <c r="D288" s="2" t="inlineStr"/>
      <c r="E288" s="2">
        <f>IF(D288="","",IFERROR(XLOOKUP(TRIM(D288),INVENTARIO!$A$2:$A$2000,INVENTARIO!$B$2:$B$2000),"NO ENCONTRADO"))</f>
        <v/>
      </c>
      <c r="F288" s="2">
        <f>IF(D288="","",IFERROR(XLOOKUP(TRIM(D288),INVENTARIO!$A$2:$A$2000,INVENTARIO!$C$2:$C$2000),""))</f>
        <v/>
      </c>
      <c r="G288" s="2">
        <f>IF(D288="","",IF(E288="NO ENCONTRADO","CODIGO NO EXISTE",IF(COUNTIF($D$2:D288,D288)&gt;1,"DUPLICADO",IF(C288="","OK SIN PEDIDO",IF(COUNTIFS(PEDIDO_ITEMS!$A$2:$A$501,C288,PEDIDO_ITEMS!$B$2:$B$501,E288)=0,"NO PEDIDO",IF(COUNTIFS($C$2:C288,C288,$E$2:E288,E288)&gt;SUMIFS(PEDIDO_ITEMS!$C$2:$C$501,PEDIDO_ITEMS!$A$2:$A$501,C288,PEDIDO_ITEMS!$B$2:$B$501,E288),"EXCEDE PEDIDO","OK"))))))</f>
        <v/>
      </c>
    </row>
    <row r="289">
      <c r="A289" s="9" t="inlineStr"/>
      <c r="B289" s="2" t="inlineStr"/>
      <c r="C289" s="2" t="inlineStr"/>
      <c r="D289" s="2" t="inlineStr"/>
      <c r="E289" s="2">
        <f>IF(D289="","",IFERROR(XLOOKUP(TRIM(D289),INVENTARIO!$A$2:$A$2000,INVENTARIO!$B$2:$B$2000),"NO ENCONTRADO"))</f>
        <v/>
      </c>
      <c r="F289" s="2">
        <f>IF(D289="","",IFERROR(XLOOKUP(TRIM(D289),INVENTARIO!$A$2:$A$2000,INVENTARIO!$C$2:$C$2000),""))</f>
        <v/>
      </c>
      <c r="G289" s="2">
        <f>IF(D289="","",IF(E289="NO ENCONTRADO","CODIGO NO EXISTE",IF(COUNTIF($D$2:D289,D289)&gt;1,"DUPLICADO",IF(C289="","OK SIN PEDIDO",IF(COUNTIFS(PEDIDO_ITEMS!$A$2:$A$501,C289,PEDIDO_ITEMS!$B$2:$B$501,E289)=0,"NO PEDIDO",IF(COUNTIFS($C$2:C289,C289,$E$2:E289,E289)&gt;SUMIFS(PEDIDO_ITEMS!$C$2:$C$501,PEDIDO_ITEMS!$A$2:$A$501,C289,PEDIDO_ITEMS!$B$2:$B$501,E289),"EXCEDE PEDIDO","OK"))))))</f>
        <v/>
      </c>
    </row>
    <row r="290">
      <c r="A290" s="9" t="inlineStr"/>
      <c r="B290" s="2" t="inlineStr"/>
      <c r="C290" s="2" t="inlineStr"/>
      <c r="D290" s="2" t="inlineStr"/>
      <c r="E290" s="2">
        <f>IF(D290="","",IFERROR(XLOOKUP(TRIM(D290),INVENTARIO!$A$2:$A$2000,INVENTARIO!$B$2:$B$2000),"NO ENCONTRADO"))</f>
        <v/>
      </c>
      <c r="F290" s="2">
        <f>IF(D290="","",IFERROR(XLOOKUP(TRIM(D290),INVENTARIO!$A$2:$A$2000,INVENTARIO!$C$2:$C$2000),""))</f>
        <v/>
      </c>
      <c r="G290" s="2">
        <f>IF(D290="","",IF(E290="NO ENCONTRADO","CODIGO NO EXISTE",IF(COUNTIF($D$2:D290,D290)&gt;1,"DUPLICADO",IF(C290="","OK SIN PEDIDO",IF(COUNTIFS(PEDIDO_ITEMS!$A$2:$A$501,C290,PEDIDO_ITEMS!$B$2:$B$501,E290)=0,"NO PEDIDO",IF(COUNTIFS($C$2:C290,C290,$E$2:E290,E290)&gt;SUMIFS(PEDIDO_ITEMS!$C$2:$C$501,PEDIDO_ITEMS!$A$2:$A$501,C290,PEDIDO_ITEMS!$B$2:$B$501,E290),"EXCEDE PEDIDO","OK"))))))</f>
        <v/>
      </c>
    </row>
    <row r="291">
      <c r="A291" s="9" t="inlineStr"/>
      <c r="B291" s="2" t="inlineStr"/>
      <c r="C291" s="2" t="inlineStr"/>
      <c r="D291" s="2" t="inlineStr"/>
      <c r="E291" s="2">
        <f>IF(D291="","",IFERROR(XLOOKUP(TRIM(D291),INVENTARIO!$A$2:$A$2000,INVENTARIO!$B$2:$B$2000),"NO ENCONTRADO"))</f>
        <v/>
      </c>
      <c r="F291" s="2">
        <f>IF(D291="","",IFERROR(XLOOKUP(TRIM(D291),INVENTARIO!$A$2:$A$2000,INVENTARIO!$C$2:$C$2000),""))</f>
        <v/>
      </c>
      <c r="G291" s="2">
        <f>IF(D291="","",IF(E291="NO ENCONTRADO","CODIGO NO EXISTE",IF(COUNTIF($D$2:D291,D291)&gt;1,"DUPLICADO",IF(C291="","OK SIN PEDIDO",IF(COUNTIFS(PEDIDO_ITEMS!$A$2:$A$501,C291,PEDIDO_ITEMS!$B$2:$B$501,E291)=0,"NO PEDIDO",IF(COUNTIFS($C$2:C291,C291,$E$2:E291,E291)&gt;SUMIFS(PEDIDO_ITEMS!$C$2:$C$501,PEDIDO_ITEMS!$A$2:$A$501,C291,PEDIDO_ITEMS!$B$2:$B$501,E291),"EXCEDE PEDIDO","OK"))))))</f>
        <v/>
      </c>
    </row>
    <row r="292">
      <c r="A292" s="9" t="inlineStr"/>
      <c r="B292" s="2" t="inlineStr"/>
      <c r="C292" s="2" t="inlineStr"/>
      <c r="D292" s="2" t="inlineStr"/>
      <c r="E292" s="2">
        <f>IF(D292="","",IFERROR(XLOOKUP(TRIM(D292),INVENTARIO!$A$2:$A$2000,INVENTARIO!$B$2:$B$2000),"NO ENCONTRADO"))</f>
        <v/>
      </c>
      <c r="F292" s="2">
        <f>IF(D292="","",IFERROR(XLOOKUP(TRIM(D292),INVENTARIO!$A$2:$A$2000,INVENTARIO!$C$2:$C$2000),""))</f>
        <v/>
      </c>
      <c r="G292" s="2">
        <f>IF(D292="","",IF(E292="NO ENCONTRADO","CODIGO NO EXISTE",IF(COUNTIF($D$2:D292,D292)&gt;1,"DUPLICADO",IF(C292="","OK SIN PEDIDO",IF(COUNTIFS(PEDIDO_ITEMS!$A$2:$A$501,C292,PEDIDO_ITEMS!$B$2:$B$501,E292)=0,"NO PEDIDO",IF(COUNTIFS($C$2:C292,C292,$E$2:E292,E292)&gt;SUMIFS(PEDIDO_ITEMS!$C$2:$C$501,PEDIDO_ITEMS!$A$2:$A$501,C292,PEDIDO_ITEMS!$B$2:$B$501,E292),"EXCEDE PEDIDO","OK"))))))</f>
        <v/>
      </c>
    </row>
    <row r="293">
      <c r="A293" s="9" t="inlineStr"/>
      <c r="B293" s="2" t="inlineStr"/>
      <c r="C293" s="2" t="inlineStr"/>
      <c r="D293" s="2" t="inlineStr"/>
      <c r="E293" s="2">
        <f>IF(D293="","",IFERROR(XLOOKUP(TRIM(D293),INVENTARIO!$A$2:$A$2000,INVENTARIO!$B$2:$B$2000),"NO ENCONTRADO"))</f>
        <v/>
      </c>
      <c r="F293" s="2">
        <f>IF(D293="","",IFERROR(XLOOKUP(TRIM(D293),INVENTARIO!$A$2:$A$2000,INVENTARIO!$C$2:$C$2000),""))</f>
        <v/>
      </c>
      <c r="G293" s="2">
        <f>IF(D293="","",IF(E293="NO ENCONTRADO","CODIGO NO EXISTE",IF(COUNTIF($D$2:D293,D293)&gt;1,"DUPLICADO",IF(C293="","OK SIN PEDIDO",IF(COUNTIFS(PEDIDO_ITEMS!$A$2:$A$501,C293,PEDIDO_ITEMS!$B$2:$B$501,E293)=0,"NO PEDIDO",IF(COUNTIFS($C$2:C293,C293,$E$2:E293,E293)&gt;SUMIFS(PEDIDO_ITEMS!$C$2:$C$501,PEDIDO_ITEMS!$A$2:$A$501,C293,PEDIDO_ITEMS!$B$2:$B$501,E293),"EXCEDE PEDIDO","OK"))))))</f>
        <v/>
      </c>
    </row>
    <row r="294">
      <c r="A294" s="9" t="inlineStr"/>
      <c r="B294" s="2" t="inlineStr"/>
      <c r="C294" s="2" t="inlineStr"/>
      <c r="D294" s="2" t="inlineStr"/>
      <c r="E294" s="2">
        <f>IF(D294="","",IFERROR(XLOOKUP(TRIM(D294),INVENTARIO!$A$2:$A$2000,INVENTARIO!$B$2:$B$2000),"NO ENCONTRADO"))</f>
        <v/>
      </c>
      <c r="F294" s="2">
        <f>IF(D294="","",IFERROR(XLOOKUP(TRIM(D294),INVENTARIO!$A$2:$A$2000,INVENTARIO!$C$2:$C$2000),""))</f>
        <v/>
      </c>
      <c r="G294" s="2">
        <f>IF(D294="","",IF(E294="NO ENCONTRADO","CODIGO NO EXISTE",IF(COUNTIF($D$2:D294,D294)&gt;1,"DUPLICADO",IF(C294="","OK SIN PEDIDO",IF(COUNTIFS(PEDIDO_ITEMS!$A$2:$A$501,C294,PEDIDO_ITEMS!$B$2:$B$501,E294)=0,"NO PEDIDO",IF(COUNTIFS($C$2:C294,C294,$E$2:E294,E294)&gt;SUMIFS(PEDIDO_ITEMS!$C$2:$C$501,PEDIDO_ITEMS!$A$2:$A$501,C294,PEDIDO_ITEMS!$B$2:$B$501,E294),"EXCEDE PEDIDO","OK"))))))</f>
        <v/>
      </c>
    </row>
    <row r="295">
      <c r="A295" s="9" t="inlineStr"/>
      <c r="B295" s="2" t="inlineStr"/>
      <c r="C295" s="2" t="inlineStr"/>
      <c r="D295" s="2" t="inlineStr"/>
      <c r="E295" s="2">
        <f>IF(D295="","",IFERROR(XLOOKUP(TRIM(D295),INVENTARIO!$A$2:$A$2000,INVENTARIO!$B$2:$B$2000),"NO ENCONTRADO"))</f>
        <v/>
      </c>
      <c r="F295" s="2">
        <f>IF(D295="","",IFERROR(XLOOKUP(TRIM(D295),INVENTARIO!$A$2:$A$2000,INVENTARIO!$C$2:$C$2000),""))</f>
        <v/>
      </c>
      <c r="G295" s="2">
        <f>IF(D295="","",IF(E295="NO ENCONTRADO","CODIGO NO EXISTE",IF(COUNTIF($D$2:D295,D295)&gt;1,"DUPLICADO",IF(C295="","OK SIN PEDIDO",IF(COUNTIFS(PEDIDO_ITEMS!$A$2:$A$501,C295,PEDIDO_ITEMS!$B$2:$B$501,E295)=0,"NO PEDIDO",IF(COUNTIFS($C$2:C295,C295,$E$2:E295,E295)&gt;SUMIFS(PEDIDO_ITEMS!$C$2:$C$501,PEDIDO_ITEMS!$A$2:$A$501,C295,PEDIDO_ITEMS!$B$2:$B$501,E295),"EXCEDE PEDIDO","OK"))))))</f>
        <v/>
      </c>
    </row>
    <row r="296">
      <c r="A296" s="9" t="inlineStr"/>
      <c r="B296" s="2" t="inlineStr"/>
      <c r="C296" s="2" t="inlineStr"/>
      <c r="D296" s="2" t="inlineStr"/>
      <c r="E296" s="2">
        <f>IF(D296="","",IFERROR(XLOOKUP(TRIM(D296),INVENTARIO!$A$2:$A$2000,INVENTARIO!$B$2:$B$2000),"NO ENCONTRADO"))</f>
        <v/>
      </c>
      <c r="F296" s="2">
        <f>IF(D296="","",IFERROR(XLOOKUP(TRIM(D296),INVENTARIO!$A$2:$A$2000,INVENTARIO!$C$2:$C$2000),""))</f>
        <v/>
      </c>
      <c r="G296" s="2">
        <f>IF(D296="","",IF(E296="NO ENCONTRADO","CODIGO NO EXISTE",IF(COUNTIF($D$2:D296,D296)&gt;1,"DUPLICADO",IF(C296="","OK SIN PEDIDO",IF(COUNTIFS(PEDIDO_ITEMS!$A$2:$A$501,C296,PEDIDO_ITEMS!$B$2:$B$501,E296)=0,"NO PEDIDO",IF(COUNTIFS($C$2:C296,C296,$E$2:E296,E296)&gt;SUMIFS(PEDIDO_ITEMS!$C$2:$C$501,PEDIDO_ITEMS!$A$2:$A$501,C296,PEDIDO_ITEMS!$B$2:$B$501,E296),"EXCEDE PEDIDO","OK"))))))</f>
        <v/>
      </c>
    </row>
    <row r="297">
      <c r="A297" s="9" t="inlineStr"/>
      <c r="B297" s="2" t="inlineStr"/>
      <c r="C297" s="2" t="inlineStr"/>
      <c r="D297" s="2" t="inlineStr"/>
      <c r="E297" s="2">
        <f>IF(D297="","",IFERROR(XLOOKUP(TRIM(D297),INVENTARIO!$A$2:$A$2000,INVENTARIO!$B$2:$B$2000),"NO ENCONTRADO"))</f>
        <v/>
      </c>
      <c r="F297" s="2">
        <f>IF(D297="","",IFERROR(XLOOKUP(TRIM(D297),INVENTARIO!$A$2:$A$2000,INVENTARIO!$C$2:$C$2000),""))</f>
        <v/>
      </c>
      <c r="G297" s="2">
        <f>IF(D297="","",IF(E297="NO ENCONTRADO","CODIGO NO EXISTE",IF(COUNTIF($D$2:D297,D297)&gt;1,"DUPLICADO",IF(C297="","OK SIN PEDIDO",IF(COUNTIFS(PEDIDO_ITEMS!$A$2:$A$501,C297,PEDIDO_ITEMS!$B$2:$B$501,E297)=0,"NO PEDIDO",IF(COUNTIFS($C$2:C297,C297,$E$2:E297,E297)&gt;SUMIFS(PEDIDO_ITEMS!$C$2:$C$501,PEDIDO_ITEMS!$A$2:$A$501,C297,PEDIDO_ITEMS!$B$2:$B$501,E297),"EXCEDE PEDIDO","OK"))))))</f>
        <v/>
      </c>
    </row>
    <row r="298">
      <c r="A298" s="9" t="inlineStr"/>
      <c r="B298" s="2" t="inlineStr"/>
      <c r="C298" s="2" t="inlineStr"/>
      <c r="D298" s="2" t="inlineStr"/>
      <c r="E298" s="2">
        <f>IF(D298="","",IFERROR(XLOOKUP(TRIM(D298),INVENTARIO!$A$2:$A$2000,INVENTARIO!$B$2:$B$2000),"NO ENCONTRADO"))</f>
        <v/>
      </c>
      <c r="F298" s="2">
        <f>IF(D298="","",IFERROR(XLOOKUP(TRIM(D298),INVENTARIO!$A$2:$A$2000,INVENTARIO!$C$2:$C$2000),""))</f>
        <v/>
      </c>
      <c r="G298" s="2">
        <f>IF(D298="","",IF(E298="NO ENCONTRADO","CODIGO NO EXISTE",IF(COUNTIF($D$2:D298,D298)&gt;1,"DUPLICADO",IF(C298="","OK SIN PEDIDO",IF(COUNTIFS(PEDIDO_ITEMS!$A$2:$A$501,C298,PEDIDO_ITEMS!$B$2:$B$501,E298)=0,"NO PEDIDO",IF(COUNTIFS($C$2:C298,C298,$E$2:E298,E298)&gt;SUMIFS(PEDIDO_ITEMS!$C$2:$C$501,PEDIDO_ITEMS!$A$2:$A$501,C298,PEDIDO_ITEMS!$B$2:$B$501,E298),"EXCEDE PEDIDO","OK"))))))</f>
        <v/>
      </c>
    </row>
    <row r="299">
      <c r="A299" s="9" t="inlineStr"/>
      <c r="B299" s="2" t="inlineStr"/>
      <c r="C299" s="2" t="inlineStr"/>
      <c r="D299" s="2" t="inlineStr"/>
      <c r="E299" s="2">
        <f>IF(D299="","",IFERROR(XLOOKUP(TRIM(D299),INVENTARIO!$A$2:$A$2000,INVENTARIO!$B$2:$B$2000),"NO ENCONTRADO"))</f>
        <v/>
      </c>
      <c r="F299" s="2">
        <f>IF(D299="","",IFERROR(XLOOKUP(TRIM(D299),INVENTARIO!$A$2:$A$2000,INVENTARIO!$C$2:$C$2000),""))</f>
        <v/>
      </c>
      <c r="G299" s="2">
        <f>IF(D299="","",IF(E299="NO ENCONTRADO","CODIGO NO EXISTE",IF(COUNTIF($D$2:D299,D299)&gt;1,"DUPLICADO",IF(C299="","OK SIN PEDIDO",IF(COUNTIFS(PEDIDO_ITEMS!$A$2:$A$501,C299,PEDIDO_ITEMS!$B$2:$B$501,E299)=0,"NO PEDIDO",IF(COUNTIFS($C$2:C299,C299,$E$2:E299,E299)&gt;SUMIFS(PEDIDO_ITEMS!$C$2:$C$501,PEDIDO_ITEMS!$A$2:$A$501,C299,PEDIDO_ITEMS!$B$2:$B$501,E299),"EXCEDE PEDIDO","OK"))))))</f>
        <v/>
      </c>
    </row>
    <row r="300">
      <c r="A300" s="9" t="inlineStr"/>
      <c r="B300" s="2" t="inlineStr"/>
      <c r="C300" s="2" t="inlineStr"/>
      <c r="D300" s="2" t="inlineStr"/>
      <c r="E300" s="2">
        <f>IF(D300="","",IFERROR(XLOOKUP(TRIM(D300),INVENTARIO!$A$2:$A$2000,INVENTARIO!$B$2:$B$2000),"NO ENCONTRADO"))</f>
        <v/>
      </c>
      <c r="F300" s="2">
        <f>IF(D300="","",IFERROR(XLOOKUP(TRIM(D300),INVENTARIO!$A$2:$A$2000,INVENTARIO!$C$2:$C$2000),""))</f>
        <v/>
      </c>
      <c r="G300" s="2">
        <f>IF(D300="","",IF(E300="NO ENCONTRADO","CODIGO NO EXISTE",IF(COUNTIF($D$2:D300,D300)&gt;1,"DUPLICADO",IF(C300="","OK SIN PEDIDO",IF(COUNTIFS(PEDIDO_ITEMS!$A$2:$A$501,C300,PEDIDO_ITEMS!$B$2:$B$501,E300)=0,"NO PEDIDO",IF(COUNTIFS($C$2:C300,C300,$E$2:E300,E300)&gt;SUMIFS(PEDIDO_ITEMS!$C$2:$C$501,PEDIDO_ITEMS!$A$2:$A$501,C300,PEDIDO_ITEMS!$B$2:$B$501,E300),"EXCEDE PEDIDO","OK"))))))</f>
        <v/>
      </c>
    </row>
    <row r="301">
      <c r="A301" s="9" t="inlineStr"/>
      <c r="B301" s="2" t="inlineStr"/>
      <c r="C301" s="2" t="inlineStr"/>
      <c r="D301" s="2" t="inlineStr"/>
      <c r="E301" s="2">
        <f>IF(D301="","",IFERROR(XLOOKUP(TRIM(D301),INVENTARIO!$A$2:$A$2000,INVENTARIO!$B$2:$B$2000),"NO ENCONTRADO"))</f>
        <v/>
      </c>
      <c r="F301" s="2">
        <f>IF(D301="","",IFERROR(XLOOKUP(TRIM(D301),INVENTARIO!$A$2:$A$2000,INVENTARIO!$C$2:$C$2000),""))</f>
        <v/>
      </c>
      <c r="G301" s="2">
        <f>IF(D301="","",IF(E301="NO ENCONTRADO","CODIGO NO EXISTE",IF(COUNTIF($D$2:D301,D301)&gt;1,"DUPLICADO",IF(C301="","OK SIN PEDIDO",IF(COUNTIFS(PEDIDO_ITEMS!$A$2:$A$501,C301,PEDIDO_ITEMS!$B$2:$B$501,E301)=0,"NO PEDIDO",IF(COUNTIFS($C$2:C301,C301,$E$2:E301,E301)&gt;SUMIFS(PEDIDO_ITEMS!$C$2:$C$501,PEDIDO_ITEMS!$A$2:$A$501,C301,PEDIDO_ITEMS!$B$2:$B$501,E301),"EXCEDE PEDIDO","OK"))))))</f>
        <v/>
      </c>
    </row>
    <row r="302">
      <c r="A302" s="9" t="inlineStr"/>
      <c r="B302" s="2" t="inlineStr"/>
      <c r="C302" s="2" t="inlineStr"/>
      <c r="D302" s="2" t="inlineStr"/>
      <c r="E302" s="2">
        <f>IF(D302="","",IFERROR(XLOOKUP(TRIM(D302),INVENTARIO!$A$2:$A$2000,INVENTARIO!$B$2:$B$2000),"NO ENCONTRADO"))</f>
        <v/>
      </c>
      <c r="F302" s="2">
        <f>IF(D302="","",IFERROR(XLOOKUP(TRIM(D302),INVENTARIO!$A$2:$A$2000,INVENTARIO!$C$2:$C$2000),""))</f>
        <v/>
      </c>
      <c r="G302" s="2">
        <f>IF(D302="","",IF(E302="NO ENCONTRADO","CODIGO NO EXISTE",IF(COUNTIF($D$2:D302,D302)&gt;1,"DUPLICADO",IF(C302="","OK SIN PEDIDO",IF(COUNTIFS(PEDIDO_ITEMS!$A$2:$A$501,C302,PEDIDO_ITEMS!$B$2:$B$501,E302)=0,"NO PEDIDO",IF(COUNTIFS($C$2:C302,C302,$E$2:E302,E302)&gt;SUMIFS(PEDIDO_ITEMS!$C$2:$C$501,PEDIDO_ITEMS!$A$2:$A$501,C302,PEDIDO_ITEMS!$B$2:$B$501,E302),"EXCEDE PEDIDO","OK"))))))</f>
        <v/>
      </c>
    </row>
    <row r="303">
      <c r="A303" s="9" t="inlineStr"/>
      <c r="B303" s="2" t="inlineStr"/>
      <c r="C303" s="2" t="inlineStr"/>
      <c r="D303" s="2" t="inlineStr"/>
      <c r="E303" s="2">
        <f>IF(D303="","",IFERROR(XLOOKUP(TRIM(D303),INVENTARIO!$A$2:$A$2000,INVENTARIO!$B$2:$B$2000),"NO ENCONTRADO"))</f>
        <v/>
      </c>
      <c r="F303" s="2">
        <f>IF(D303="","",IFERROR(XLOOKUP(TRIM(D303),INVENTARIO!$A$2:$A$2000,INVENTARIO!$C$2:$C$2000),""))</f>
        <v/>
      </c>
      <c r="G303" s="2">
        <f>IF(D303="","",IF(E303="NO ENCONTRADO","CODIGO NO EXISTE",IF(COUNTIF($D$2:D303,D303)&gt;1,"DUPLICADO",IF(C303="","OK SIN PEDIDO",IF(COUNTIFS(PEDIDO_ITEMS!$A$2:$A$501,C303,PEDIDO_ITEMS!$B$2:$B$501,E303)=0,"NO PEDIDO",IF(COUNTIFS($C$2:C303,C303,$E$2:E303,E303)&gt;SUMIFS(PEDIDO_ITEMS!$C$2:$C$501,PEDIDO_ITEMS!$A$2:$A$501,C303,PEDIDO_ITEMS!$B$2:$B$501,E303),"EXCEDE PEDIDO","OK"))))))</f>
        <v/>
      </c>
    </row>
    <row r="304">
      <c r="A304" s="9" t="inlineStr"/>
      <c r="B304" s="2" t="inlineStr"/>
      <c r="C304" s="2" t="inlineStr"/>
      <c r="D304" s="2" t="inlineStr"/>
      <c r="E304" s="2">
        <f>IF(D304="","",IFERROR(XLOOKUP(TRIM(D304),INVENTARIO!$A$2:$A$2000,INVENTARIO!$B$2:$B$2000),"NO ENCONTRADO"))</f>
        <v/>
      </c>
      <c r="F304" s="2">
        <f>IF(D304="","",IFERROR(XLOOKUP(TRIM(D304),INVENTARIO!$A$2:$A$2000,INVENTARIO!$C$2:$C$2000),""))</f>
        <v/>
      </c>
      <c r="G304" s="2">
        <f>IF(D304="","",IF(E304="NO ENCONTRADO","CODIGO NO EXISTE",IF(COUNTIF($D$2:D304,D304)&gt;1,"DUPLICADO",IF(C304="","OK SIN PEDIDO",IF(COUNTIFS(PEDIDO_ITEMS!$A$2:$A$501,C304,PEDIDO_ITEMS!$B$2:$B$501,E304)=0,"NO PEDIDO",IF(COUNTIFS($C$2:C304,C304,$E$2:E304,E304)&gt;SUMIFS(PEDIDO_ITEMS!$C$2:$C$501,PEDIDO_ITEMS!$A$2:$A$501,C304,PEDIDO_ITEMS!$B$2:$B$501,E304),"EXCEDE PEDIDO","OK"))))))</f>
        <v/>
      </c>
    </row>
    <row r="305">
      <c r="A305" s="9" t="inlineStr"/>
      <c r="B305" s="2" t="inlineStr"/>
      <c r="C305" s="2" t="inlineStr"/>
      <c r="D305" s="2" t="inlineStr"/>
      <c r="E305" s="2">
        <f>IF(D305="","",IFERROR(XLOOKUP(TRIM(D305),INVENTARIO!$A$2:$A$2000,INVENTARIO!$B$2:$B$2000),"NO ENCONTRADO"))</f>
        <v/>
      </c>
      <c r="F305" s="2">
        <f>IF(D305="","",IFERROR(XLOOKUP(TRIM(D305),INVENTARIO!$A$2:$A$2000,INVENTARIO!$C$2:$C$2000),""))</f>
        <v/>
      </c>
      <c r="G305" s="2">
        <f>IF(D305="","",IF(E305="NO ENCONTRADO","CODIGO NO EXISTE",IF(COUNTIF($D$2:D305,D305)&gt;1,"DUPLICADO",IF(C305="","OK SIN PEDIDO",IF(COUNTIFS(PEDIDO_ITEMS!$A$2:$A$501,C305,PEDIDO_ITEMS!$B$2:$B$501,E305)=0,"NO PEDIDO",IF(COUNTIFS($C$2:C305,C305,$E$2:E305,E305)&gt;SUMIFS(PEDIDO_ITEMS!$C$2:$C$501,PEDIDO_ITEMS!$A$2:$A$501,C305,PEDIDO_ITEMS!$B$2:$B$501,E305),"EXCEDE PEDIDO","OK"))))))</f>
        <v/>
      </c>
    </row>
    <row r="306">
      <c r="A306" s="9" t="inlineStr"/>
      <c r="B306" s="2" t="inlineStr"/>
      <c r="C306" s="2" t="inlineStr"/>
      <c r="D306" s="2" t="inlineStr"/>
      <c r="E306" s="2">
        <f>IF(D306="","",IFERROR(XLOOKUP(TRIM(D306),INVENTARIO!$A$2:$A$2000,INVENTARIO!$B$2:$B$2000),"NO ENCONTRADO"))</f>
        <v/>
      </c>
      <c r="F306" s="2">
        <f>IF(D306="","",IFERROR(XLOOKUP(TRIM(D306),INVENTARIO!$A$2:$A$2000,INVENTARIO!$C$2:$C$2000),""))</f>
        <v/>
      </c>
      <c r="G306" s="2">
        <f>IF(D306="","",IF(E306="NO ENCONTRADO","CODIGO NO EXISTE",IF(COUNTIF($D$2:D306,D306)&gt;1,"DUPLICADO",IF(C306="","OK SIN PEDIDO",IF(COUNTIFS(PEDIDO_ITEMS!$A$2:$A$501,C306,PEDIDO_ITEMS!$B$2:$B$501,E306)=0,"NO PEDIDO",IF(COUNTIFS($C$2:C306,C306,$E$2:E306,E306)&gt;SUMIFS(PEDIDO_ITEMS!$C$2:$C$501,PEDIDO_ITEMS!$A$2:$A$501,C306,PEDIDO_ITEMS!$B$2:$B$501,E306),"EXCEDE PEDIDO","OK"))))))</f>
        <v/>
      </c>
    </row>
    <row r="307">
      <c r="A307" s="9" t="inlineStr"/>
      <c r="B307" s="2" t="inlineStr"/>
      <c r="C307" s="2" t="inlineStr"/>
      <c r="D307" s="2" t="inlineStr"/>
      <c r="E307" s="2">
        <f>IF(D307="","",IFERROR(XLOOKUP(TRIM(D307),INVENTARIO!$A$2:$A$2000,INVENTARIO!$B$2:$B$2000),"NO ENCONTRADO"))</f>
        <v/>
      </c>
      <c r="F307" s="2">
        <f>IF(D307="","",IFERROR(XLOOKUP(TRIM(D307),INVENTARIO!$A$2:$A$2000,INVENTARIO!$C$2:$C$2000),""))</f>
        <v/>
      </c>
      <c r="G307" s="2">
        <f>IF(D307="","",IF(E307="NO ENCONTRADO","CODIGO NO EXISTE",IF(COUNTIF($D$2:D307,D307)&gt;1,"DUPLICADO",IF(C307="","OK SIN PEDIDO",IF(COUNTIFS(PEDIDO_ITEMS!$A$2:$A$501,C307,PEDIDO_ITEMS!$B$2:$B$501,E307)=0,"NO PEDIDO",IF(COUNTIFS($C$2:C307,C307,$E$2:E307,E307)&gt;SUMIFS(PEDIDO_ITEMS!$C$2:$C$501,PEDIDO_ITEMS!$A$2:$A$501,C307,PEDIDO_ITEMS!$B$2:$B$501,E307),"EXCEDE PEDIDO","OK"))))))</f>
        <v/>
      </c>
    </row>
    <row r="308">
      <c r="A308" s="9" t="inlineStr"/>
      <c r="B308" s="2" t="inlineStr"/>
      <c r="C308" s="2" t="inlineStr"/>
      <c r="D308" s="2" t="inlineStr"/>
      <c r="E308" s="2">
        <f>IF(D308="","",IFERROR(XLOOKUP(TRIM(D308),INVENTARIO!$A$2:$A$2000,INVENTARIO!$B$2:$B$2000),"NO ENCONTRADO"))</f>
        <v/>
      </c>
      <c r="F308" s="2">
        <f>IF(D308="","",IFERROR(XLOOKUP(TRIM(D308),INVENTARIO!$A$2:$A$2000,INVENTARIO!$C$2:$C$2000),""))</f>
        <v/>
      </c>
      <c r="G308" s="2">
        <f>IF(D308="","",IF(E308="NO ENCONTRADO","CODIGO NO EXISTE",IF(COUNTIF($D$2:D308,D308)&gt;1,"DUPLICADO",IF(C308="","OK SIN PEDIDO",IF(COUNTIFS(PEDIDO_ITEMS!$A$2:$A$501,C308,PEDIDO_ITEMS!$B$2:$B$501,E308)=0,"NO PEDIDO",IF(COUNTIFS($C$2:C308,C308,$E$2:E308,E308)&gt;SUMIFS(PEDIDO_ITEMS!$C$2:$C$501,PEDIDO_ITEMS!$A$2:$A$501,C308,PEDIDO_ITEMS!$B$2:$B$501,E308),"EXCEDE PEDIDO","OK"))))))</f>
        <v/>
      </c>
    </row>
    <row r="309">
      <c r="A309" s="9" t="inlineStr"/>
      <c r="B309" s="2" t="inlineStr"/>
      <c r="C309" s="2" t="inlineStr"/>
      <c r="D309" s="2" t="inlineStr"/>
      <c r="E309" s="2">
        <f>IF(D309="","",IFERROR(XLOOKUP(TRIM(D309),INVENTARIO!$A$2:$A$2000,INVENTARIO!$B$2:$B$2000),"NO ENCONTRADO"))</f>
        <v/>
      </c>
      <c r="F309" s="2">
        <f>IF(D309="","",IFERROR(XLOOKUP(TRIM(D309),INVENTARIO!$A$2:$A$2000,INVENTARIO!$C$2:$C$2000),""))</f>
        <v/>
      </c>
      <c r="G309" s="2">
        <f>IF(D309="","",IF(E309="NO ENCONTRADO","CODIGO NO EXISTE",IF(COUNTIF($D$2:D309,D309)&gt;1,"DUPLICADO",IF(C309="","OK SIN PEDIDO",IF(COUNTIFS(PEDIDO_ITEMS!$A$2:$A$501,C309,PEDIDO_ITEMS!$B$2:$B$501,E309)=0,"NO PEDIDO",IF(COUNTIFS($C$2:C309,C309,$E$2:E309,E309)&gt;SUMIFS(PEDIDO_ITEMS!$C$2:$C$501,PEDIDO_ITEMS!$A$2:$A$501,C309,PEDIDO_ITEMS!$B$2:$B$501,E309),"EXCEDE PEDIDO","OK"))))))</f>
        <v/>
      </c>
    </row>
    <row r="310">
      <c r="A310" s="9" t="inlineStr"/>
      <c r="B310" s="2" t="inlineStr"/>
      <c r="C310" s="2" t="inlineStr"/>
      <c r="D310" s="2" t="inlineStr"/>
      <c r="E310" s="2">
        <f>IF(D310="","",IFERROR(XLOOKUP(TRIM(D310),INVENTARIO!$A$2:$A$2000,INVENTARIO!$B$2:$B$2000),"NO ENCONTRADO"))</f>
        <v/>
      </c>
      <c r="F310" s="2">
        <f>IF(D310="","",IFERROR(XLOOKUP(TRIM(D310),INVENTARIO!$A$2:$A$2000,INVENTARIO!$C$2:$C$2000),""))</f>
        <v/>
      </c>
      <c r="G310" s="2">
        <f>IF(D310="","",IF(E310="NO ENCONTRADO","CODIGO NO EXISTE",IF(COUNTIF($D$2:D310,D310)&gt;1,"DUPLICADO",IF(C310="","OK SIN PEDIDO",IF(COUNTIFS(PEDIDO_ITEMS!$A$2:$A$501,C310,PEDIDO_ITEMS!$B$2:$B$501,E310)=0,"NO PEDIDO",IF(COUNTIFS($C$2:C310,C310,$E$2:E310,E310)&gt;SUMIFS(PEDIDO_ITEMS!$C$2:$C$501,PEDIDO_ITEMS!$A$2:$A$501,C310,PEDIDO_ITEMS!$B$2:$B$501,E310),"EXCEDE PEDIDO","OK"))))))</f>
        <v/>
      </c>
    </row>
    <row r="311">
      <c r="A311" s="9" t="inlineStr"/>
      <c r="B311" s="2" t="inlineStr"/>
      <c r="C311" s="2" t="inlineStr"/>
      <c r="D311" s="2" t="inlineStr"/>
      <c r="E311" s="2">
        <f>IF(D311="","",IFERROR(XLOOKUP(TRIM(D311),INVENTARIO!$A$2:$A$2000,INVENTARIO!$B$2:$B$2000),"NO ENCONTRADO"))</f>
        <v/>
      </c>
      <c r="F311" s="2">
        <f>IF(D311="","",IFERROR(XLOOKUP(TRIM(D311),INVENTARIO!$A$2:$A$2000,INVENTARIO!$C$2:$C$2000),""))</f>
        <v/>
      </c>
      <c r="G311" s="2">
        <f>IF(D311="","",IF(E311="NO ENCONTRADO","CODIGO NO EXISTE",IF(COUNTIF($D$2:D311,D311)&gt;1,"DUPLICADO",IF(C311="","OK SIN PEDIDO",IF(COUNTIFS(PEDIDO_ITEMS!$A$2:$A$501,C311,PEDIDO_ITEMS!$B$2:$B$501,E311)=0,"NO PEDIDO",IF(COUNTIFS($C$2:C311,C311,$E$2:E311,E311)&gt;SUMIFS(PEDIDO_ITEMS!$C$2:$C$501,PEDIDO_ITEMS!$A$2:$A$501,C311,PEDIDO_ITEMS!$B$2:$B$501,E311),"EXCEDE PEDIDO","OK"))))))</f>
        <v/>
      </c>
    </row>
    <row r="312">
      <c r="A312" s="9" t="inlineStr"/>
      <c r="B312" s="2" t="inlineStr"/>
      <c r="C312" s="2" t="inlineStr"/>
      <c r="D312" s="2" t="inlineStr"/>
      <c r="E312" s="2">
        <f>IF(D312="","",IFERROR(XLOOKUP(TRIM(D312),INVENTARIO!$A$2:$A$2000,INVENTARIO!$B$2:$B$2000),"NO ENCONTRADO"))</f>
        <v/>
      </c>
      <c r="F312" s="2">
        <f>IF(D312="","",IFERROR(XLOOKUP(TRIM(D312),INVENTARIO!$A$2:$A$2000,INVENTARIO!$C$2:$C$2000),""))</f>
        <v/>
      </c>
      <c r="G312" s="2">
        <f>IF(D312="","",IF(E312="NO ENCONTRADO","CODIGO NO EXISTE",IF(COUNTIF($D$2:D312,D312)&gt;1,"DUPLICADO",IF(C312="","OK SIN PEDIDO",IF(COUNTIFS(PEDIDO_ITEMS!$A$2:$A$501,C312,PEDIDO_ITEMS!$B$2:$B$501,E312)=0,"NO PEDIDO",IF(COUNTIFS($C$2:C312,C312,$E$2:E312,E312)&gt;SUMIFS(PEDIDO_ITEMS!$C$2:$C$501,PEDIDO_ITEMS!$A$2:$A$501,C312,PEDIDO_ITEMS!$B$2:$B$501,E312),"EXCEDE PEDIDO","OK"))))))</f>
        <v/>
      </c>
    </row>
    <row r="313">
      <c r="A313" s="9" t="inlineStr"/>
      <c r="B313" s="2" t="inlineStr"/>
      <c r="C313" s="2" t="inlineStr"/>
      <c r="D313" s="2" t="inlineStr"/>
      <c r="E313" s="2">
        <f>IF(D313="","",IFERROR(XLOOKUP(TRIM(D313),INVENTARIO!$A$2:$A$2000,INVENTARIO!$B$2:$B$2000),"NO ENCONTRADO"))</f>
        <v/>
      </c>
      <c r="F313" s="2">
        <f>IF(D313="","",IFERROR(XLOOKUP(TRIM(D313),INVENTARIO!$A$2:$A$2000,INVENTARIO!$C$2:$C$2000),""))</f>
        <v/>
      </c>
      <c r="G313" s="2">
        <f>IF(D313="","",IF(E313="NO ENCONTRADO","CODIGO NO EXISTE",IF(COUNTIF($D$2:D313,D313)&gt;1,"DUPLICADO",IF(C313="","OK SIN PEDIDO",IF(COUNTIFS(PEDIDO_ITEMS!$A$2:$A$501,C313,PEDIDO_ITEMS!$B$2:$B$501,E313)=0,"NO PEDIDO",IF(COUNTIFS($C$2:C313,C313,$E$2:E313,E313)&gt;SUMIFS(PEDIDO_ITEMS!$C$2:$C$501,PEDIDO_ITEMS!$A$2:$A$501,C313,PEDIDO_ITEMS!$B$2:$B$501,E313),"EXCEDE PEDIDO","OK"))))))</f>
        <v/>
      </c>
    </row>
    <row r="314">
      <c r="A314" s="9" t="inlineStr"/>
      <c r="B314" s="2" t="inlineStr"/>
      <c r="C314" s="2" t="inlineStr"/>
      <c r="D314" s="2" t="inlineStr"/>
      <c r="E314" s="2">
        <f>IF(D314="","",IFERROR(XLOOKUP(TRIM(D314),INVENTARIO!$A$2:$A$2000,INVENTARIO!$B$2:$B$2000),"NO ENCONTRADO"))</f>
        <v/>
      </c>
      <c r="F314" s="2">
        <f>IF(D314="","",IFERROR(XLOOKUP(TRIM(D314),INVENTARIO!$A$2:$A$2000,INVENTARIO!$C$2:$C$2000),""))</f>
        <v/>
      </c>
      <c r="G314" s="2">
        <f>IF(D314="","",IF(E314="NO ENCONTRADO","CODIGO NO EXISTE",IF(COUNTIF($D$2:D314,D314)&gt;1,"DUPLICADO",IF(C314="","OK SIN PEDIDO",IF(COUNTIFS(PEDIDO_ITEMS!$A$2:$A$501,C314,PEDIDO_ITEMS!$B$2:$B$501,E314)=0,"NO PEDIDO",IF(COUNTIFS($C$2:C314,C314,$E$2:E314,E314)&gt;SUMIFS(PEDIDO_ITEMS!$C$2:$C$501,PEDIDO_ITEMS!$A$2:$A$501,C314,PEDIDO_ITEMS!$B$2:$B$501,E314),"EXCEDE PEDIDO","OK"))))))</f>
        <v/>
      </c>
    </row>
    <row r="315">
      <c r="A315" s="9" t="inlineStr"/>
      <c r="B315" s="2" t="inlineStr"/>
      <c r="C315" s="2" t="inlineStr"/>
      <c r="D315" s="2" t="inlineStr"/>
      <c r="E315" s="2">
        <f>IF(D315="","",IFERROR(XLOOKUP(TRIM(D315),INVENTARIO!$A$2:$A$2000,INVENTARIO!$B$2:$B$2000),"NO ENCONTRADO"))</f>
        <v/>
      </c>
      <c r="F315" s="2">
        <f>IF(D315="","",IFERROR(XLOOKUP(TRIM(D315),INVENTARIO!$A$2:$A$2000,INVENTARIO!$C$2:$C$2000),""))</f>
        <v/>
      </c>
      <c r="G315" s="2">
        <f>IF(D315="","",IF(E315="NO ENCONTRADO","CODIGO NO EXISTE",IF(COUNTIF($D$2:D315,D315)&gt;1,"DUPLICADO",IF(C315="","OK SIN PEDIDO",IF(COUNTIFS(PEDIDO_ITEMS!$A$2:$A$501,C315,PEDIDO_ITEMS!$B$2:$B$501,E315)=0,"NO PEDIDO",IF(COUNTIFS($C$2:C315,C315,$E$2:E315,E315)&gt;SUMIFS(PEDIDO_ITEMS!$C$2:$C$501,PEDIDO_ITEMS!$A$2:$A$501,C315,PEDIDO_ITEMS!$B$2:$B$501,E315),"EXCEDE PEDIDO","OK"))))))</f>
        <v/>
      </c>
    </row>
    <row r="316">
      <c r="A316" s="9" t="inlineStr"/>
      <c r="B316" s="2" t="inlineStr"/>
      <c r="C316" s="2" t="inlineStr"/>
      <c r="D316" s="2" t="inlineStr"/>
      <c r="E316" s="2">
        <f>IF(D316="","",IFERROR(XLOOKUP(TRIM(D316),INVENTARIO!$A$2:$A$2000,INVENTARIO!$B$2:$B$2000),"NO ENCONTRADO"))</f>
        <v/>
      </c>
      <c r="F316" s="2">
        <f>IF(D316="","",IFERROR(XLOOKUP(TRIM(D316),INVENTARIO!$A$2:$A$2000,INVENTARIO!$C$2:$C$2000),""))</f>
        <v/>
      </c>
      <c r="G316" s="2">
        <f>IF(D316="","",IF(E316="NO ENCONTRADO","CODIGO NO EXISTE",IF(COUNTIF($D$2:D316,D316)&gt;1,"DUPLICADO",IF(C316="","OK SIN PEDIDO",IF(COUNTIFS(PEDIDO_ITEMS!$A$2:$A$501,C316,PEDIDO_ITEMS!$B$2:$B$501,E316)=0,"NO PEDIDO",IF(COUNTIFS($C$2:C316,C316,$E$2:E316,E316)&gt;SUMIFS(PEDIDO_ITEMS!$C$2:$C$501,PEDIDO_ITEMS!$A$2:$A$501,C316,PEDIDO_ITEMS!$B$2:$B$501,E316),"EXCEDE PEDIDO","OK"))))))</f>
        <v/>
      </c>
    </row>
    <row r="317">
      <c r="A317" s="9" t="inlineStr"/>
      <c r="B317" s="2" t="inlineStr"/>
      <c r="C317" s="2" t="inlineStr"/>
      <c r="D317" s="2" t="inlineStr"/>
      <c r="E317" s="2">
        <f>IF(D317="","",IFERROR(XLOOKUP(TRIM(D317),INVENTARIO!$A$2:$A$2000,INVENTARIO!$B$2:$B$2000),"NO ENCONTRADO"))</f>
        <v/>
      </c>
      <c r="F317" s="2">
        <f>IF(D317="","",IFERROR(XLOOKUP(TRIM(D317),INVENTARIO!$A$2:$A$2000,INVENTARIO!$C$2:$C$2000),""))</f>
        <v/>
      </c>
      <c r="G317" s="2">
        <f>IF(D317="","",IF(E317="NO ENCONTRADO","CODIGO NO EXISTE",IF(COUNTIF($D$2:D317,D317)&gt;1,"DUPLICADO",IF(C317="","OK SIN PEDIDO",IF(COUNTIFS(PEDIDO_ITEMS!$A$2:$A$501,C317,PEDIDO_ITEMS!$B$2:$B$501,E317)=0,"NO PEDIDO",IF(COUNTIFS($C$2:C317,C317,$E$2:E317,E317)&gt;SUMIFS(PEDIDO_ITEMS!$C$2:$C$501,PEDIDO_ITEMS!$A$2:$A$501,C317,PEDIDO_ITEMS!$B$2:$B$501,E317),"EXCEDE PEDIDO","OK"))))))</f>
        <v/>
      </c>
    </row>
    <row r="318">
      <c r="A318" s="9" t="inlineStr"/>
      <c r="B318" s="2" t="inlineStr"/>
      <c r="C318" s="2" t="inlineStr"/>
      <c r="D318" s="2" t="inlineStr"/>
      <c r="E318" s="2">
        <f>IF(D318="","",IFERROR(XLOOKUP(TRIM(D318),INVENTARIO!$A$2:$A$2000,INVENTARIO!$B$2:$B$2000),"NO ENCONTRADO"))</f>
        <v/>
      </c>
      <c r="F318" s="2">
        <f>IF(D318="","",IFERROR(XLOOKUP(TRIM(D318),INVENTARIO!$A$2:$A$2000,INVENTARIO!$C$2:$C$2000),""))</f>
        <v/>
      </c>
      <c r="G318" s="2">
        <f>IF(D318="","",IF(E318="NO ENCONTRADO","CODIGO NO EXISTE",IF(COUNTIF($D$2:D318,D318)&gt;1,"DUPLICADO",IF(C318="","OK SIN PEDIDO",IF(COUNTIFS(PEDIDO_ITEMS!$A$2:$A$501,C318,PEDIDO_ITEMS!$B$2:$B$501,E318)=0,"NO PEDIDO",IF(COUNTIFS($C$2:C318,C318,$E$2:E318,E318)&gt;SUMIFS(PEDIDO_ITEMS!$C$2:$C$501,PEDIDO_ITEMS!$A$2:$A$501,C318,PEDIDO_ITEMS!$B$2:$B$501,E318),"EXCEDE PEDIDO","OK"))))))</f>
        <v/>
      </c>
    </row>
    <row r="319">
      <c r="A319" s="9" t="inlineStr"/>
      <c r="B319" s="2" t="inlineStr"/>
      <c r="C319" s="2" t="inlineStr"/>
      <c r="D319" s="2" t="inlineStr"/>
      <c r="E319" s="2">
        <f>IF(D319="","",IFERROR(XLOOKUP(TRIM(D319),INVENTARIO!$A$2:$A$2000,INVENTARIO!$B$2:$B$2000),"NO ENCONTRADO"))</f>
        <v/>
      </c>
      <c r="F319" s="2">
        <f>IF(D319="","",IFERROR(XLOOKUP(TRIM(D319),INVENTARIO!$A$2:$A$2000,INVENTARIO!$C$2:$C$2000),""))</f>
        <v/>
      </c>
      <c r="G319" s="2">
        <f>IF(D319="","",IF(E319="NO ENCONTRADO","CODIGO NO EXISTE",IF(COUNTIF($D$2:D319,D319)&gt;1,"DUPLICADO",IF(C319="","OK SIN PEDIDO",IF(COUNTIFS(PEDIDO_ITEMS!$A$2:$A$501,C319,PEDIDO_ITEMS!$B$2:$B$501,E319)=0,"NO PEDIDO",IF(COUNTIFS($C$2:C319,C319,$E$2:E319,E319)&gt;SUMIFS(PEDIDO_ITEMS!$C$2:$C$501,PEDIDO_ITEMS!$A$2:$A$501,C319,PEDIDO_ITEMS!$B$2:$B$501,E319),"EXCEDE PEDIDO","OK"))))))</f>
        <v/>
      </c>
    </row>
    <row r="320">
      <c r="A320" s="9" t="inlineStr"/>
      <c r="B320" s="2" t="inlineStr"/>
      <c r="C320" s="2" t="inlineStr"/>
      <c r="D320" s="2" t="inlineStr"/>
      <c r="E320" s="2">
        <f>IF(D320="","",IFERROR(XLOOKUP(TRIM(D320),INVENTARIO!$A$2:$A$2000,INVENTARIO!$B$2:$B$2000),"NO ENCONTRADO"))</f>
        <v/>
      </c>
      <c r="F320" s="2">
        <f>IF(D320="","",IFERROR(XLOOKUP(TRIM(D320),INVENTARIO!$A$2:$A$2000,INVENTARIO!$C$2:$C$2000),""))</f>
        <v/>
      </c>
      <c r="G320" s="2">
        <f>IF(D320="","",IF(E320="NO ENCONTRADO","CODIGO NO EXISTE",IF(COUNTIF($D$2:D320,D320)&gt;1,"DUPLICADO",IF(C320="","OK SIN PEDIDO",IF(COUNTIFS(PEDIDO_ITEMS!$A$2:$A$501,C320,PEDIDO_ITEMS!$B$2:$B$501,E320)=0,"NO PEDIDO",IF(COUNTIFS($C$2:C320,C320,$E$2:E320,E320)&gt;SUMIFS(PEDIDO_ITEMS!$C$2:$C$501,PEDIDO_ITEMS!$A$2:$A$501,C320,PEDIDO_ITEMS!$B$2:$B$501,E320),"EXCEDE PEDIDO","OK"))))))</f>
        <v/>
      </c>
    </row>
    <row r="321">
      <c r="A321" s="9" t="inlineStr"/>
      <c r="B321" s="2" t="inlineStr"/>
      <c r="C321" s="2" t="inlineStr"/>
      <c r="D321" s="2" t="inlineStr"/>
      <c r="E321" s="2">
        <f>IF(D321="","",IFERROR(XLOOKUP(TRIM(D321),INVENTARIO!$A$2:$A$2000,INVENTARIO!$B$2:$B$2000),"NO ENCONTRADO"))</f>
        <v/>
      </c>
      <c r="F321" s="2">
        <f>IF(D321="","",IFERROR(XLOOKUP(TRIM(D321),INVENTARIO!$A$2:$A$2000,INVENTARIO!$C$2:$C$2000),""))</f>
        <v/>
      </c>
      <c r="G321" s="2">
        <f>IF(D321="","",IF(E321="NO ENCONTRADO","CODIGO NO EXISTE",IF(COUNTIF($D$2:D321,D321)&gt;1,"DUPLICADO",IF(C321="","OK SIN PEDIDO",IF(COUNTIFS(PEDIDO_ITEMS!$A$2:$A$501,C321,PEDIDO_ITEMS!$B$2:$B$501,E321)=0,"NO PEDIDO",IF(COUNTIFS($C$2:C321,C321,$E$2:E321,E321)&gt;SUMIFS(PEDIDO_ITEMS!$C$2:$C$501,PEDIDO_ITEMS!$A$2:$A$501,C321,PEDIDO_ITEMS!$B$2:$B$501,E321),"EXCEDE PEDIDO","OK"))))))</f>
        <v/>
      </c>
    </row>
    <row r="322">
      <c r="A322" s="9" t="inlineStr"/>
      <c r="B322" s="2" t="inlineStr"/>
      <c r="C322" s="2" t="inlineStr"/>
      <c r="D322" s="2" t="inlineStr"/>
      <c r="E322" s="2">
        <f>IF(D322="","",IFERROR(XLOOKUP(TRIM(D322),INVENTARIO!$A$2:$A$2000,INVENTARIO!$B$2:$B$2000),"NO ENCONTRADO"))</f>
        <v/>
      </c>
      <c r="F322" s="2">
        <f>IF(D322="","",IFERROR(XLOOKUP(TRIM(D322),INVENTARIO!$A$2:$A$2000,INVENTARIO!$C$2:$C$2000),""))</f>
        <v/>
      </c>
      <c r="G322" s="2">
        <f>IF(D322="","",IF(E322="NO ENCONTRADO","CODIGO NO EXISTE",IF(COUNTIF($D$2:D322,D322)&gt;1,"DUPLICADO",IF(C322="","OK SIN PEDIDO",IF(COUNTIFS(PEDIDO_ITEMS!$A$2:$A$501,C322,PEDIDO_ITEMS!$B$2:$B$501,E322)=0,"NO PEDIDO",IF(COUNTIFS($C$2:C322,C322,$E$2:E322,E322)&gt;SUMIFS(PEDIDO_ITEMS!$C$2:$C$501,PEDIDO_ITEMS!$A$2:$A$501,C322,PEDIDO_ITEMS!$B$2:$B$501,E322),"EXCEDE PEDIDO","OK"))))))</f>
        <v/>
      </c>
    </row>
    <row r="323">
      <c r="A323" s="9" t="inlineStr"/>
      <c r="B323" s="2" t="inlineStr"/>
      <c r="C323" s="2" t="inlineStr"/>
      <c r="D323" s="2" t="inlineStr"/>
      <c r="E323" s="2">
        <f>IF(D323="","",IFERROR(XLOOKUP(TRIM(D323),INVENTARIO!$A$2:$A$2000,INVENTARIO!$B$2:$B$2000),"NO ENCONTRADO"))</f>
        <v/>
      </c>
      <c r="F323" s="2">
        <f>IF(D323="","",IFERROR(XLOOKUP(TRIM(D323),INVENTARIO!$A$2:$A$2000,INVENTARIO!$C$2:$C$2000),""))</f>
        <v/>
      </c>
      <c r="G323" s="2">
        <f>IF(D323="","",IF(E323="NO ENCONTRADO","CODIGO NO EXISTE",IF(COUNTIF($D$2:D323,D323)&gt;1,"DUPLICADO",IF(C323="","OK SIN PEDIDO",IF(COUNTIFS(PEDIDO_ITEMS!$A$2:$A$501,C323,PEDIDO_ITEMS!$B$2:$B$501,E323)=0,"NO PEDIDO",IF(COUNTIFS($C$2:C323,C323,$E$2:E323,E323)&gt;SUMIFS(PEDIDO_ITEMS!$C$2:$C$501,PEDIDO_ITEMS!$A$2:$A$501,C323,PEDIDO_ITEMS!$B$2:$B$501,E323),"EXCEDE PEDIDO","OK"))))))</f>
        <v/>
      </c>
    </row>
    <row r="324">
      <c r="A324" s="9" t="inlineStr"/>
      <c r="B324" s="2" t="inlineStr"/>
      <c r="C324" s="2" t="inlineStr"/>
      <c r="D324" s="2" t="inlineStr"/>
      <c r="E324" s="2">
        <f>IF(D324="","",IFERROR(XLOOKUP(TRIM(D324),INVENTARIO!$A$2:$A$2000,INVENTARIO!$B$2:$B$2000),"NO ENCONTRADO"))</f>
        <v/>
      </c>
      <c r="F324" s="2">
        <f>IF(D324="","",IFERROR(XLOOKUP(TRIM(D324),INVENTARIO!$A$2:$A$2000,INVENTARIO!$C$2:$C$2000),""))</f>
        <v/>
      </c>
      <c r="G324" s="2">
        <f>IF(D324="","",IF(E324="NO ENCONTRADO","CODIGO NO EXISTE",IF(COUNTIF($D$2:D324,D324)&gt;1,"DUPLICADO",IF(C324="","OK SIN PEDIDO",IF(COUNTIFS(PEDIDO_ITEMS!$A$2:$A$501,C324,PEDIDO_ITEMS!$B$2:$B$501,E324)=0,"NO PEDIDO",IF(COUNTIFS($C$2:C324,C324,$E$2:E324,E324)&gt;SUMIFS(PEDIDO_ITEMS!$C$2:$C$501,PEDIDO_ITEMS!$A$2:$A$501,C324,PEDIDO_ITEMS!$B$2:$B$501,E324),"EXCEDE PEDIDO","OK"))))))</f>
        <v/>
      </c>
    </row>
    <row r="325">
      <c r="A325" s="9" t="inlineStr"/>
      <c r="B325" s="2" t="inlineStr"/>
      <c r="C325" s="2" t="inlineStr"/>
      <c r="D325" s="2" t="inlineStr"/>
      <c r="E325" s="2">
        <f>IF(D325="","",IFERROR(XLOOKUP(TRIM(D325),INVENTARIO!$A$2:$A$2000,INVENTARIO!$B$2:$B$2000),"NO ENCONTRADO"))</f>
        <v/>
      </c>
      <c r="F325" s="2">
        <f>IF(D325="","",IFERROR(XLOOKUP(TRIM(D325),INVENTARIO!$A$2:$A$2000,INVENTARIO!$C$2:$C$2000),""))</f>
        <v/>
      </c>
      <c r="G325" s="2">
        <f>IF(D325="","",IF(E325="NO ENCONTRADO","CODIGO NO EXISTE",IF(COUNTIF($D$2:D325,D325)&gt;1,"DUPLICADO",IF(C325="","OK SIN PEDIDO",IF(COUNTIFS(PEDIDO_ITEMS!$A$2:$A$501,C325,PEDIDO_ITEMS!$B$2:$B$501,E325)=0,"NO PEDIDO",IF(COUNTIFS($C$2:C325,C325,$E$2:E325,E325)&gt;SUMIFS(PEDIDO_ITEMS!$C$2:$C$501,PEDIDO_ITEMS!$A$2:$A$501,C325,PEDIDO_ITEMS!$B$2:$B$501,E325),"EXCEDE PEDIDO","OK"))))))</f>
        <v/>
      </c>
    </row>
    <row r="326">
      <c r="A326" s="9" t="inlineStr"/>
      <c r="B326" s="2" t="inlineStr"/>
      <c r="C326" s="2" t="inlineStr"/>
      <c r="D326" s="2" t="inlineStr"/>
      <c r="E326" s="2">
        <f>IF(D326="","",IFERROR(XLOOKUP(TRIM(D326),INVENTARIO!$A$2:$A$2000,INVENTARIO!$B$2:$B$2000),"NO ENCONTRADO"))</f>
        <v/>
      </c>
      <c r="F326" s="2">
        <f>IF(D326="","",IFERROR(XLOOKUP(TRIM(D326),INVENTARIO!$A$2:$A$2000,INVENTARIO!$C$2:$C$2000),""))</f>
        <v/>
      </c>
      <c r="G326" s="2">
        <f>IF(D326="","",IF(E326="NO ENCONTRADO","CODIGO NO EXISTE",IF(COUNTIF($D$2:D326,D326)&gt;1,"DUPLICADO",IF(C326="","OK SIN PEDIDO",IF(COUNTIFS(PEDIDO_ITEMS!$A$2:$A$501,C326,PEDIDO_ITEMS!$B$2:$B$501,E326)=0,"NO PEDIDO",IF(COUNTIFS($C$2:C326,C326,$E$2:E326,E326)&gt;SUMIFS(PEDIDO_ITEMS!$C$2:$C$501,PEDIDO_ITEMS!$A$2:$A$501,C326,PEDIDO_ITEMS!$B$2:$B$501,E326),"EXCEDE PEDIDO","OK"))))))</f>
        <v/>
      </c>
    </row>
    <row r="327">
      <c r="A327" s="9" t="inlineStr"/>
      <c r="B327" s="2" t="inlineStr"/>
      <c r="C327" s="2" t="inlineStr"/>
      <c r="D327" s="2" t="inlineStr"/>
      <c r="E327" s="2">
        <f>IF(D327="","",IFERROR(XLOOKUP(TRIM(D327),INVENTARIO!$A$2:$A$2000,INVENTARIO!$B$2:$B$2000),"NO ENCONTRADO"))</f>
        <v/>
      </c>
      <c r="F327" s="2">
        <f>IF(D327="","",IFERROR(XLOOKUP(TRIM(D327),INVENTARIO!$A$2:$A$2000,INVENTARIO!$C$2:$C$2000),""))</f>
        <v/>
      </c>
      <c r="G327" s="2">
        <f>IF(D327="","",IF(E327="NO ENCONTRADO","CODIGO NO EXISTE",IF(COUNTIF($D$2:D327,D327)&gt;1,"DUPLICADO",IF(C327="","OK SIN PEDIDO",IF(COUNTIFS(PEDIDO_ITEMS!$A$2:$A$501,C327,PEDIDO_ITEMS!$B$2:$B$501,E327)=0,"NO PEDIDO",IF(COUNTIFS($C$2:C327,C327,$E$2:E327,E327)&gt;SUMIFS(PEDIDO_ITEMS!$C$2:$C$501,PEDIDO_ITEMS!$A$2:$A$501,C327,PEDIDO_ITEMS!$B$2:$B$501,E327),"EXCEDE PEDIDO","OK"))))))</f>
        <v/>
      </c>
    </row>
    <row r="328">
      <c r="A328" s="9" t="inlineStr"/>
      <c r="B328" s="2" t="inlineStr"/>
      <c r="C328" s="2" t="inlineStr"/>
      <c r="D328" s="2" t="inlineStr"/>
      <c r="E328" s="2">
        <f>IF(D328="","",IFERROR(XLOOKUP(TRIM(D328),INVENTARIO!$A$2:$A$2000,INVENTARIO!$B$2:$B$2000),"NO ENCONTRADO"))</f>
        <v/>
      </c>
      <c r="F328" s="2">
        <f>IF(D328="","",IFERROR(XLOOKUP(TRIM(D328),INVENTARIO!$A$2:$A$2000,INVENTARIO!$C$2:$C$2000),""))</f>
        <v/>
      </c>
      <c r="G328" s="2">
        <f>IF(D328="","",IF(E328="NO ENCONTRADO","CODIGO NO EXISTE",IF(COUNTIF($D$2:D328,D328)&gt;1,"DUPLICADO",IF(C328="","OK SIN PEDIDO",IF(COUNTIFS(PEDIDO_ITEMS!$A$2:$A$501,C328,PEDIDO_ITEMS!$B$2:$B$501,E328)=0,"NO PEDIDO",IF(COUNTIFS($C$2:C328,C328,$E$2:E328,E328)&gt;SUMIFS(PEDIDO_ITEMS!$C$2:$C$501,PEDIDO_ITEMS!$A$2:$A$501,C328,PEDIDO_ITEMS!$B$2:$B$501,E328),"EXCEDE PEDIDO","OK"))))))</f>
        <v/>
      </c>
    </row>
    <row r="329">
      <c r="A329" s="9" t="inlineStr"/>
      <c r="B329" s="2" t="inlineStr"/>
      <c r="C329" s="2" t="inlineStr"/>
      <c r="D329" s="2" t="inlineStr"/>
      <c r="E329" s="2">
        <f>IF(D329="","",IFERROR(XLOOKUP(TRIM(D329),INVENTARIO!$A$2:$A$2000,INVENTARIO!$B$2:$B$2000),"NO ENCONTRADO"))</f>
        <v/>
      </c>
      <c r="F329" s="2">
        <f>IF(D329="","",IFERROR(XLOOKUP(TRIM(D329),INVENTARIO!$A$2:$A$2000,INVENTARIO!$C$2:$C$2000),""))</f>
        <v/>
      </c>
      <c r="G329" s="2">
        <f>IF(D329="","",IF(E329="NO ENCONTRADO","CODIGO NO EXISTE",IF(COUNTIF($D$2:D329,D329)&gt;1,"DUPLICADO",IF(C329="","OK SIN PEDIDO",IF(COUNTIFS(PEDIDO_ITEMS!$A$2:$A$501,C329,PEDIDO_ITEMS!$B$2:$B$501,E329)=0,"NO PEDIDO",IF(COUNTIFS($C$2:C329,C329,$E$2:E329,E329)&gt;SUMIFS(PEDIDO_ITEMS!$C$2:$C$501,PEDIDO_ITEMS!$A$2:$A$501,C329,PEDIDO_ITEMS!$B$2:$B$501,E329),"EXCEDE PEDIDO","OK"))))))</f>
        <v/>
      </c>
    </row>
    <row r="330">
      <c r="A330" s="9" t="inlineStr"/>
      <c r="B330" s="2" t="inlineStr"/>
      <c r="C330" s="2" t="inlineStr"/>
      <c r="D330" s="2" t="inlineStr"/>
      <c r="E330" s="2">
        <f>IF(D330="","",IFERROR(XLOOKUP(TRIM(D330),INVENTARIO!$A$2:$A$2000,INVENTARIO!$B$2:$B$2000),"NO ENCONTRADO"))</f>
        <v/>
      </c>
      <c r="F330" s="2">
        <f>IF(D330="","",IFERROR(XLOOKUP(TRIM(D330),INVENTARIO!$A$2:$A$2000,INVENTARIO!$C$2:$C$2000),""))</f>
        <v/>
      </c>
      <c r="G330" s="2">
        <f>IF(D330="","",IF(E330="NO ENCONTRADO","CODIGO NO EXISTE",IF(COUNTIF($D$2:D330,D330)&gt;1,"DUPLICADO",IF(C330="","OK SIN PEDIDO",IF(COUNTIFS(PEDIDO_ITEMS!$A$2:$A$501,C330,PEDIDO_ITEMS!$B$2:$B$501,E330)=0,"NO PEDIDO",IF(COUNTIFS($C$2:C330,C330,$E$2:E330,E330)&gt;SUMIFS(PEDIDO_ITEMS!$C$2:$C$501,PEDIDO_ITEMS!$A$2:$A$501,C330,PEDIDO_ITEMS!$B$2:$B$501,E330),"EXCEDE PEDIDO","OK"))))))</f>
        <v/>
      </c>
    </row>
    <row r="331">
      <c r="A331" s="9" t="inlineStr"/>
      <c r="B331" s="2" t="inlineStr"/>
      <c r="C331" s="2" t="inlineStr"/>
      <c r="D331" s="2" t="inlineStr"/>
      <c r="E331" s="2">
        <f>IF(D331="","",IFERROR(XLOOKUP(TRIM(D331),INVENTARIO!$A$2:$A$2000,INVENTARIO!$B$2:$B$2000),"NO ENCONTRADO"))</f>
        <v/>
      </c>
      <c r="F331" s="2">
        <f>IF(D331="","",IFERROR(XLOOKUP(TRIM(D331),INVENTARIO!$A$2:$A$2000,INVENTARIO!$C$2:$C$2000),""))</f>
        <v/>
      </c>
      <c r="G331" s="2">
        <f>IF(D331="","",IF(E331="NO ENCONTRADO","CODIGO NO EXISTE",IF(COUNTIF($D$2:D331,D331)&gt;1,"DUPLICADO",IF(C331="","OK SIN PEDIDO",IF(COUNTIFS(PEDIDO_ITEMS!$A$2:$A$501,C331,PEDIDO_ITEMS!$B$2:$B$501,E331)=0,"NO PEDIDO",IF(COUNTIFS($C$2:C331,C331,$E$2:E331,E331)&gt;SUMIFS(PEDIDO_ITEMS!$C$2:$C$501,PEDIDO_ITEMS!$A$2:$A$501,C331,PEDIDO_ITEMS!$B$2:$B$501,E331),"EXCEDE PEDIDO","OK"))))))</f>
        <v/>
      </c>
    </row>
    <row r="332">
      <c r="A332" s="9" t="inlineStr"/>
      <c r="B332" s="2" t="inlineStr"/>
      <c r="C332" s="2" t="inlineStr"/>
      <c r="D332" s="2" t="inlineStr"/>
      <c r="E332" s="2">
        <f>IF(D332="","",IFERROR(XLOOKUP(TRIM(D332),INVENTARIO!$A$2:$A$2000,INVENTARIO!$B$2:$B$2000),"NO ENCONTRADO"))</f>
        <v/>
      </c>
      <c r="F332" s="2">
        <f>IF(D332="","",IFERROR(XLOOKUP(TRIM(D332),INVENTARIO!$A$2:$A$2000,INVENTARIO!$C$2:$C$2000),""))</f>
        <v/>
      </c>
      <c r="G332" s="2">
        <f>IF(D332="","",IF(E332="NO ENCONTRADO","CODIGO NO EXISTE",IF(COUNTIF($D$2:D332,D332)&gt;1,"DUPLICADO",IF(C332="","OK SIN PEDIDO",IF(COUNTIFS(PEDIDO_ITEMS!$A$2:$A$501,C332,PEDIDO_ITEMS!$B$2:$B$501,E332)=0,"NO PEDIDO",IF(COUNTIFS($C$2:C332,C332,$E$2:E332,E332)&gt;SUMIFS(PEDIDO_ITEMS!$C$2:$C$501,PEDIDO_ITEMS!$A$2:$A$501,C332,PEDIDO_ITEMS!$B$2:$B$501,E332),"EXCEDE PEDIDO","OK"))))))</f>
        <v/>
      </c>
    </row>
    <row r="333">
      <c r="A333" s="9" t="inlineStr"/>
      <c r="B333" s="2" t="inlineStr"/>
      <c r="C333" s="2" t="inlineStr"/>
      <c r="D333" s="2" t="inlineStr"/>
      <c r="E333" s="2">
        <f>IF(D333="","",IFERROR(XLOOKUP(TRIM(D333),INVENTARIO!$A$2:$A$2000,INVENTARIO!$B$2:$B$2000),"NO ENCONTRADO"))</f>
        <v/>
      </c>
      <c r="F333" s="2">
        <f>IF(D333="","",IFERROR(XLOOKUP(TRIM(D333),INVENTARIO!$A$2:$A$2000,INVENTARIO!$C$2:$C$2000),""))</f>
        <v/>
      </c>
      <c r="G333" s="2">
        <f>IF(D333="","",IF(E333="NO ENCONTRADO","CODIGO NO EXISTE",IF(COUNTIF($D$2:D333,D333)&gt;1,"DUPLICADO",IF(C333="","OK SIN PEDIDO",IF(COUNTIFS(PEDIDO_ITEMS!$A$2:$A$501,C333,PEDIDO_ITEMS!$B$2:$B$501,E333)=0,"NO PEDIDO",IF(COUNTIFS($C$2:C333,C333,$E$2:E333,E333)&gt;SUMIFS(PEDIDO_ITEMS!$C$2:$C$501,PEDIDO_ITEMS!$A$2:$A$501,C333,PEDIDO_ITEMS!$B$2:$B$501,E333),"EXCEDE PEDIDO","OK"))))))</f>
        <v/>
      </c>
    </row>
    <row r="334">
      <c r="A334" s="9" t="inlineStr"/>
      <c r="B334" s="2" t="inlineStr"/>
      <c r="C334" s="2" t="inlineStr"/>
      <c r="D334" s="2" t="inlineStr"/>
      <c r="E334" s="2">
        <f>IF(D334="","",IFERROR(XLOOKUP(TRIM(D334),INVENTARIO!$A$2:$A$2000,INVENTARIO!$B$2:$B$2000),"NO ENCONTRADO"))</f>
        <v/>
      </c>
      <c r="F334" s="2">
        <f>IF(D334="","",IFERROR(XLOOKUP(TRIM(D334),INVENTARIO!$A$2:$A$2000,INVENTARIO!$C$2:$C$2000),""))</f>
        <v/>
      </c>
      <c r="G334" s="2">
        <f>IF(D334="","",IF(E334="NO ENCONTRADO","CODIGO NO EXISTE",IF(COUNTIF($D$2:D334,D334)&gt;1,"DUPLICADO",IF(C334="","OK SIN PEDIDO",IF(COUNTIFS(PEDIDO_ITEMS!$A$2:$A$501,C334,PEDIDO_ITEMS!$B$2:$B$501,E334)=0,"NO PEDIDO",IF(COUNTIFS($C$2:C334,C334,$E$2:E334,E334)&gt;SUMIFS(PEDIDO_ITEMS!$C$2:$C$501,PEDIDO_ITEMS!$A$2:$A$501,C334,PEDIDO_ITEMS!$B$2:$B$501,E334),"EXCEDE PEDIDO","OK"))))))</f>
        <v/>
      </c>
    </row>
    <row r="335">
      <c r="A335" s="9" t="inlineStr"/>
      <c r="B335" s="2" t="inlineStr"/>
      <c r="C335" s="2" t="inlineStr"/>
      <c r="D335" s="2" t="inlineStr"/>
      <c r="E335" s="2">
        <f>IF(D335="","",IFERROR(XLOOKUP(TRIM(D335),INVENTARIO!$A$2:$A$2000,INVENTARIO!$B$2:$B$2000),"NO ENCONTRADO"))</f>
        <v/>
      </c>
      <c r="F335" s="2">
        <f>IF(D335="","",IFERROR(XLOOKUP(TRIM(D335),INVENTARIO!$A$2:$A$2000,INVENTARIO!$C$2:$C$2000),""))</f>
        <v/>
      </c>
      <c r="G335" s="2">
        <f>IF(D335="","",IF(E335="NO ENCONTRADO","CODIGO NO EXISTE",IF(COUNTIF($D$2:D335,D335)&gt;1,"DUPLICADO",IF(C335="","OK SIN PEDIDO",IF(COUNTIFS(PEDIDO_ITEMS!$A$2:$A$501,C335,PEDIDO_ITEMS!$B$2:$B$501,E335)=0,"NO PEDIDO",IF(COUNTIFS($C$2:C335,C335,$E$2:E335,E335)&gt;SUMIFS(PEDIDO_ITEMS!$C$2:$C$501,PEDIDO_ITEMS!$A$2:$A$501,C335,PEDIDO_ITEMS!$B$2:$B$501,E335),"EXCEDE PEDIDO","OK"))))))</f>
        <v/>
      </c>
    </row>
    <row r="336">
      <c r="A336" s="9" t="inlineStr"/>
      <c r="B336" s="2" t="inlineStr"/>
      <c r="C336" s="2" t="inlineStr"/>
      <c r="D336" s="2" t="inlineStr"/>
      <c r="E336" s="2">
        <f>IF(D336="","",IFERROR(XLOOKUP(TRIM(D336),INVENTARIO!$A$2:$A$2000,INVENTARIO!$B$2:$B$2000),"NO ENCONTRADO"))</f>
        <v/>
      </c>
      <c r="F336" s="2">
        <f>IF(D336="","",IFERROR(XLOOKUP(TRIM(D336),INVENTARIO!$A$2:$A$2000,INVENTARIO!$C$2:$C$2000),""))</f>
        <v/>
      </c>
      <c r="G336" s="2">
        <f>IF(D336="","",IF(E336="NO ENCONTRADO","CODIGO NO EXISTE",IF(COUNTIF($D$2:D336,D336)&gt;1,"DUPLICADO",IF(C336="","OK SIN PEDIDO",IF(COUNTIFS(PEDIDO_ITEMS!$A$2:$A$501,C336,PEDIDO_ITEMS!$B$2:$B$501,E336)=0,"NO PEDIDO",IF(COUNTIFS($C$2:C336,C336,$E$2:E336,E336)&gt;SUMIFS(PEDIDO_ITEMS!$C$2:$C$501,PEDIDO_ITEMS!$A$2:$A$501,C336,PEDIDO_ITEMS!$B$2:$B$501,E336),"EXCEDE PEDIDO","OK"))))))</f>
        <v/>
      </c>
    </row>
    <row r="337">
      <c r="A337" s="9" t="inlineStr"/>
      <c r="B337" s="2" t="inlineStr"/>
      <c r="C337" s="2" t="inlineStr"/>
      <c r="D337" s="2" t="inlineStr"/>
      <c r="E337" s="2">
        <f>IF(D337="","",IFERROR(XLOOKUP(TRIM(D337),INVENTARIO!$A$2:$A$2000,INVENTARIO!$B$2:$B$2000),"NO ENCONTRADO"))</f>
        <v/>
      </c>
      <c r="F337" s="2">
        <f>IF(D337="","",IFERROR(XLOOKUP(TRIM(D337),INVENTARIO!$A$2:$A$2000,INVENTARIO!$C$2:$C$2000),""))</f>
        <v/>
      </c>
      <c r="G337" s="2">
        <f>IF(D337="","",IF(E337="NO ENCONTRADO","CODIGO NO EXISTE",IF(COUNTIF($D$2:D337,D337)&gt;1,"DUPLICADO",IF(C337="","OK SIN PEDIDO",IF(COUNTIFS(PEDIDO_ITEMS!$A$2:$A$501,C337,PEDIDO_ITEMS!$B$2:$B$501,E337)=0,"NO PEDIDO",IF(COUNTIFS($C$2:C337,C337,$E$2:E337,E337)&gt;SUMIFS(PEDIDO_ITEMS!$C$2:$C$501,PEDIDO_ITEMS!$A$2:$A$501,C337,PEDIDO_ITEMS!$B$2:$B$501,E337),"EXCEDE PEDIDO","OK"))))))</f>
        <v/>
      </c>
    </row>
    <row r="338">
      <c r="A338" s="9" t="inlineStr"/>
      <c r="B338" s="2" t="inlineStr"/>
      <c r="C338" s="2" t="inlineStr"/>
      <c r="D338" s="2" t="inlineStr"/>
      <c r="E338" s="2">
        <f>IF(D338="","",IFERROR(XLOOKUP(TRIM(D338),INVENTARIO!$A$2:$A$2000,INVENTARIO!$B$2:$B$2000),"NO ENCONTRADO"))</f>
        <v/>
      </c>
      <c r="F338" s="2">
        <f>IF(D338="","",IFERROR(XLOOKUP(TRIM(D338),INVENTARIO!$A$2:$A$2000,INVENTARIO!$C$2:$C$2000),""))</f>
        <v/>
      </c>
      <c r="G338" s="2">
        <f>IF(D338="","",IF(E338="NO ENCONTRADO","CODIGO NO EXISTE",IF(COUNTIF($D$2:D338,D338)&gt;1,"DUPLICADO",IF(C338="","OK SIN PEDIDO",IF(COUNTIFS(PEDIDO_ITEMS!$A$2:$A$501,C338,PEDIDO_ITEMS!$B$2:$B$501,E338)=0,"NO PEDIDO",IF(COUNTIFS($C$2:C338,C338,$E$2:E338,E338)&gt;SUMIFS(PEDIDO_ITEMS!$C$2:$C$501,PEDIDO_ITEMS!$A$2:$A$501,C338,PEDIDO_ITEMS!$B$2:$B$501,E338),"EXCEDE PEDIDO","OK"))))))</f>
        <v/>
      </c>
    </row>
    <row r="339">
      <c r="A339" s="9" t="inlineStr"/>
      <c r="B339" s="2" t="inlineStr"/>
      <c r="C339" s="2" t="inlineStr"/>
      <c r="D339" s="2" t="inlineStr"/>
      <c r="E339" s="2">
        <f>IF(D339="","",IFERROR(XLOOKUP(TRIM(D339),INVENTARIO!$A$2:$A$2000,INVENTARIO!$B$2:$B$2000),"NO ENCONTRADO"))</f>
        <v/>
      </c>
      <c r="F339" s="2">
        <f>IF(D339="","",IFERROR(XLOOKUP(TRIM(D339),INVENTARIO!$A$2:$A$2000,INVENTARIO!$C$2:$C$2000),""))</f>
        <v/>
      </c>
      <c r="G339" s="2">
        <f>IF(D339="","",IF(E339="NO ENCONTRADO","CODIGO NO EXISTE",IF(COUNTIF($D$2:D339,D339)&gt;1,"DUPLICADO",IF(C339="","OK SIN PEDIDO",IF(COUNTIFS(PEDIDO_ITEMS!$A$2:$A$501,C339,PEDIDO_ITEMS!$B$2:$B$501,E339)=0,"NO PEDIDO",IF(COUNTIFS($C$2:C339,C339,$E$2:E339,E339)&gt;SUMIFS(PEDIDO_ITEMS!$C$2:$C$501,PEDIDO_ITEMS!$A$2:$A$501,C339,PEDIDO_ITEMS!$B$2:$B$501,E339),"EXCEDE PEDIDO","OK"))))))</f>
        <v/>
      </c>
    </row>
    <row r="340">
      <c r="A340" s="9" t="inlineStr"/>
      <c r="B340" s="2" t="inlineStr"/>
      <c r="C340" s="2" t="inlineStr"/>
      <c r="D340" s="2" t="inlineStr"/>
      <c r="E340" s="2">
        <f>IF(D340="","",IFERROR(XLOOKUP(TRIM(D340),INVENTARIO!$A$2:$A$2000,INVENTARIO!$B$2:$B$2000),"NO ENCONTRADO"))</f>
        <v/>
      </c>
      <c r="F340" s="2">
        <f>IF(D340="","",IFERROR(XLOOKUP(TRIM(D340),INVENTARIO!$A$2:$A$2000,INVENTARIO!$C$2:$C$2000),""))</f>
        <v/>
      </c>
      <c r="G340" s="2">
        <f>IF(D340="","",IF(E340="NO ENCONTRADO","CODIGO NO EXISTE",IF(COUNTIF($D$2:D340,D340)&gt;1,"DUPLICADO",IF(C340="","OK SIN PEDIDO",IF(COUNTIFS(PEDIDO_ITEMS!$A$2:$A$501,C340,PEDIDO_ITEMS!$B$2:$B$501,E340)=0,"NO PEDIDO",IF(COUNTIFS($C$2:C340,C340,$E$2:E340,E340)&gt;SUMIFS(PEDIDO_ITEMS!$C$2:$C$501,PEDIDO_ITEMS!$A$2:$A$501,C340,PEDIDO_ITEMS!$B$2:$B$501,E340),"EXCEDE PEDIDO","OK"))))))</f>
        <v/>
      </c>
    </row>
    <row r="341">
      <c r="A341" s="9" t="inlineStr"/>
      <c r="B341" s="2" t="inlineStr"/>
      <c r="C341" s="2" t="inlineStr"/>
      <c r="D341" s="2" t="inlineStr"/>
      <c r="E341" s="2">
        <f>IF(D341="","",IFERROR(XLOOKUP(TRIM(D341),INVENTARIO!$A$2:$A$2000,INVENTARIO!$B$2:$B$2000),"NO ENCONTRADO"))</f>
        <v/>
      </c>
      <c r="F341" s="2">
        <f>IF(D341="","",IFERROR(XLOOKUP(TRIM(D341),INVENTARIO!$A$2:$A$2000,INVENTARIO!$C$2:$C$2000),""))</f>
        <v/>
      </c>
      <c r="G341" s="2">
        <f>IF(D341="","",IF(E341="NO ENCONTRADO","CODIGO NO EXISTE",IF(COUNTIF($D$2:D341,D341)&gt;1,"DUPLICADO",IF(C341="","OK SIN PEDIDO",IF(COUNTIFS(PEDIDO_ITEMS!$A$2:$A$501,C341,PEDIDO_ITEMS!$B$2:$B$501,E341)=0,"NO PEDIDO",IF(COUNTIFS($C$2:C341,C341,$E$2:E341,E341)&gt;SUMIFS(PEDIDO_ITEMS!$C$2:$C$501,PEDIDO_ITEMS!$A$2:$A$501,C341,PEDIDO_ITEMS!$B$2:$B$501,E341),"EXCEDE PEDIDO","OK"))))))</f>
        <v/>
      </c>
    </row>
    <row r="342">
      <c r="A342" s="9" t="inlineStr"/>
      <c r="B342" s="2" t="inlineStr"/>
      <c r="C342" s="2" t="inlineStr"/>
      <c r="D342" s="2" t="inlineStr"/>
      <c r="E342" s="2">
        <f>IF(D342="","",IFERROR(XLOOKUP(TRIM(D342),INVENTARIO!$A$2:$A$2000,INVENTARIO!$B$2:$B$2000),"NO ENCONTRADO"))</f>
        <v/>
      </c>
      <c r="F342" s="2">
        <f>IF(D342="","",IFERROR(XLOOKUP(TRIM(D342),INVENTARIO!$A$2:$A$2000,INVENTARIO!$C$2:$C$2000),""))</f>
        <v/>
      </c>
      <c r="G342" s="2">
        <f>IF(D342="","",IF(E342="NO ENCONTRADO","CODIGO NO EXISTE",IF(COUNTIF($D$2:D342,D342)&gt;1,"DUPLICADO",IF(C342="","OK SIN PEDIDO",IF(COUNTIFS(PEDIDO_ITEMS!$A$2:$A$501,C342,PEDIDO_ITEMS!$B$2:$B$501,E342)=0,"NO PEDIDO",IF(COUNTIFS($C$2:C342,C342,$E$2:E342,E342)&gt;SUMIFS(PEDIDO_ITEMS!$C$2:$C$501,PEDIDO_ITEMS!$A$2:$A$501,C342,PEDIDO_ITEMS!$B$2:$B$501,E342),"EXCEDE PEDIDO","OK"))))))</f>
        <v/>
      </c>
    </row>
    <row r="343">
      <c r="A343" s="9" t="inlineStr"/>
      <c r="B343" s="2" t="inlineStr"/>
      <c r="C343" s="2" t="inlineStr"/>
      <c r="D343" s="2" t="inlineStr"/>
      <c r="E343" s="2">
        <f>IF(D343="","",IFERROR(XLOOKUP(TRIM(D343),INVENTARIO!$A$2:$A$2000,INVENTARIO!$B$2:$B$2000),"NO ENCONTRADO"))</f>
        <v/>
      </c>
      <c r="F343" s="2">
        <f>IF(D343="","",IFERROR(XLOOKUP(TRIM(D343),INVENTARIO!$A$2:$A$2000,INVENTARIO!$C$2:$C$2000),""))</f>
        <v/>
      </c>
      <c r="G343" s="2">
        <f>IF(D343="","",IF(E343="NO ENCONTRADO","CODIGO NO EXISTE",IF(COUNTIF($D$2:D343,D343)&gt;1,"DUPLICADO",IF(C343="","OK SIN PEDIDO",IF(COUNTIFS(PEDIDO_ITEMS!$A$2:$A$501,C343,PEDIDO_ITEMS!$B$2:$B$501,E343)=0,"NO PEDIDO",IF(COUNTIFS($C$2:C343,C343,$E$2:E343,E343)&gt;SUMIFS(PEDIDO_ITEMS!$C$2:$C$501,PEDIDO_ITEMS!$A$2:$A$501,C343,PEDIDO_ITEMS!$B$2:$B$501,E343),"EXCEDE PEDIDO","OK"))))))</f>
        <v/>
      </c>
    </row>
    <row r="344">
      <c r="A344" s="9" t="inlineStr"/>
      <c r="B344" s="2" t="inlineStr"/>
      <c r="C344" s="2" t="inlineStr"/>
      <c r="D344" s="2" t="inlineStr"/>
      <c r="E344" s="2">
        <f>IF(D344="","",IFERROR(XLOOKUP(TRIM(D344),INVENTARIO!$A$2:$A$2000,INVENTARIO!$B$2:$B$2000),"NO ENCONTRADO"))</f>
        <v/>
      </c>
      <c r="F344" s="2">
        <f>IF(D344="","",IFERROR(XLOOKUP(TRIM(D344),INVENTARIO!$A$2:$A$2000,INVENTARIO!$C$2:$C$2000),""))</f>
        <v/>
      </c>
      <c r="G344" s="2">
        <f>IF(D344="","",IF(E344="NO ENCONTRADO","CODIGO NO EXISTE",IF(COUNTIF($D$2:D344,D344)&gt;1,"DUPLICADO",IF(C344="","OK SIN PEDIDO",IF(COUNTIFS(PEDIDO_ITEMS!$A$2:$A$501,C344,PEDIDO_ITEMS!$B$2:$B$501,E344)=0,"NO PEDIDO",IF(COUNTIFS($C$2:C344,C344,$E$2:E344,E344)&gt;SUMIFS(PEDIDO_ITEMS!$C$2:$C$501,PEDIDO_ITEMS!$A$2:$A$501,C344,PEDIDO_ITEMS!$B$2:$B$501,E344),"EXCEDE PEDIDO","OK"))))))</f>
        <v/>
      </c>
    </row>
    <row r="345">
      <c r="A345" s="9" t="inlineStr"/>
      <c r="B345" s="2" t="inlineStr"/>
      <c r="C345" s="2" t="inlineStr"/>
      <c r="D345" s="2" t="inlineStr"/>
      <c r="E345" s="2">
        <f>IF(D345="","",IFERROR(XLOOKUP(TRIM(D345),INVENTARIO!$A$2:$A$2000,INVENTARIO!$B$2:$B$2000),"NO ENCONTRADO"))</f>
        <v/>
      </c>
      <c r="F345" s="2">
        <f>IF(D345="","",IFERROR(XLOOKUP(TRIM(D345),INVENTARIO!$A$2:$A$2000,INVENTARIO!$C$2:$C$2000),""))</f>
        <v/>
      </c>
      <c r="G345" s="2">
        <f>IF(D345="","",IF(E345="NO ENCONTRADO","CODIGO NO EXISTE",IF(COUNTIF($D$2:D345,D345)&gt;1,"DUPLICADO",IF(C345="","OK SIN PEDIDO",IF(COUNTIFS(PEDIDO_ITEMS!$A$2:$A$501,C345,PEDIDO_ITEMS!$B$2:$B$501,E345)=0,"NO PEDIDO",IF(COUNTIFS($C$2:C345,C345,$E$2:E345,E345)&gt;SUMIFS(PEDIDO_ITEMS!$C$2:$C$501,PEDIDO_ITEMS!$A$2:$A$501,C345,PEDIDO_ITEMS!$B$2:$B$501,E345),"EXCEDE PEDIDO","OK"))))))</f>
        <v/>
      </c>
    </row>
    <row r="346">
      <c r="A346" s="9" t="inlineStr"/>
      <c r="B346" s="2" t="inlineStr"/>
      <c r="C346" s="2" t="inlineStr"/>
      <c r="D346" s="2" t="inlineStr"/>
      <c r="E346" s="2">
        <f>IF(D346="","",IFERROR(XLOOKUP(TRIM(D346),INVENTARIO!$A$2:$A$2000,INVENTARIO!$B$2:$B$2000),"NO ENCONTRADO"))</f>
        <v/>
      </c>
      <c r="F346" s="2">
        <f>IF(D346="","",IFERROR(XLOOKUP(TRIM(D346),INVENTARIO!$A$2:$A$2000,INVENTARIO!$C$2:$C$2000),""))</f>
        <v/>
      </c>
      <c r="G346" s="2">
        <f>IF(D346="","",IF(E346="NO ENCONTRADO","CODIGO NO EXISTE",IF(COUNTIF($D$2:D346,D346)&gt;1,"DUPLICADO",IF(C346="","OK SIN PEDIDO",IF(COUNTIFS(PEDIDO_ITEMS!$A$2:$A$501,C346,PEDIDO_ITEMS!$B$2:$B$501,E346)=0,"NO PEDIDO",IF(COUNTIFS($C$2:C346,C346,$E$2:E346,E346)&gt;SUMIFS(PEDIDO_ITEMS!$C$2:$C$501,PEDIDO_ITEMS!$A$2:$A$501,C346,PEDIDO_ITEMS!$B$2:$B$501,E346),"EXCEDE PEDIDO","OK"))))))</f>
        <v/>
      </c>
    </row>
    <row r="347">
      <c r="A347" s="9" t="inlineStr"/>
      <c r="B347" s="2" t="inlineStr"/>
      <c r="C347" s="2" t="inlineStr"/>
      <c r="D347" s="2" t="inlineStr"/>
      <c r="E347" s="2">
        <f>IF(D347="","",IFERROR(XLOOKUP(TRIM(D347),INVENTARIO!$A$2:$A$2000,INVENTARIO!$B$2:$B$2000),"NO ENCONTRADO"))</f>
        <v/>
      </c>
      <c r="F347" s="2">
        <f>IF(D347="","",IFERROR(XLOOKUP(TRIM(D347),INVENTARIO!$A$2:$A$2000,INVENTARIO!$C$2:$C$2000),""))</f>
        <v/>
      </c>
      <c r="G347" s="2">
        <f>IF(D347="","",IF(E347="NO ENCONTRADO","CODIGO NO EXISTE",IF(COUNTIF($D$2:D347,D347)&gt;1,"DUPLICADO",IF(C347="","OK SIN PEDIDO",IF(COUNTIFS(PEDIDO_ITEMS!$A$2:$A$501,C347,PEDIDO_ITEMS!$B$2:$B$501,E347)=0,"NO PEDIDO",IF(COUNTIFS($C$2:C347,C347,$E$2:E347,E347)&gt;SUMIFS(PEDIDO_ITEMS!$C$2:$C$501,PEDIDO_ITEMS!$A$2:$A$501,C347,PEDIDO_ITEMS!$B$2:$B$501,E347),"EXCEDE PEDIDO","OK"))))))</f>
        <v/>
      </c>
    </row>
    <row r="348">
      <c r="A348" s="9" t="inlineStr"/>
      <c r="B348" s="2" t="inlineStr"/>
      <c r="C348" s="2" t="inlineStr"/>
      <c r="D348" s="2" t="inlineStr"/>
      <c r="E348" s="2">
        <f>IF(D348="","",IFERROR(XLOOKUP(TRIM(D348),INVENTARIO!$A$2:$A$2000,INVENTARIO!$B$2:$B$2000),"NO ENCONTRADO"))</f>
        <v/>
      </c>
      <c r="F348" s="2">
        <f>IF(D348="","",IFERROR(XLOOKUP(TRIM(D348),INVENTARIO!$A$2:$A$2000,INVENTARIO!$C$2:$C$2000),""))</f>
        <v/>
      </c>
      <c r="G348" s="2">
        <f>IF(D348="","",IF(E348="NO ENCONTRADO","CODIGO NO EXISTE",IF(COUNTIF($D$2:D348,D348)&gt;1,"DUPLICADO",IF(C348="","OK SIN PEDIDO",IF(COUNTIFS(PEDIDO_ITEMS!$A$2:$A$501,C348,PEDIDO_ITEMS!$B$2:$B$501,E348)=0,"NO PEDIDO",IF(COUNTIFS($C$2:C348,C348,$E$2:E348,E348)&gt;SUMIFS(PEDIDO_ITEMS!$C$2:$C$501,PEDIDO_ITEMS!$A$2:$A$501,C348,PEDIDO_ITEMS!$B$2:$B$501,E348),"EXCEDE PEDIDO","OK"))))))</f>
        <v/>
      </c>
    </row>
    <row r="349">
      <c r="A349" s="9" t="inlineStr"/>
      <c r="B349" s="2" t="inlineStr"/>
      <c r="C349" s="2" t="inlineStr"/>
      <c r="D349" s="2" t="inlineStr"/>
      <c r="E349" s="2">
        <f>IF(D349="","",IFERROR(XLOOKUP(TRIM(D349),INVENTARIO!$A$2:$A$2000,INVENTARIO!$B$2:$B$2000),"NO ENCONTRADO"))</f>
        <v/>
      </c>
      <c r="F349" s="2">
        <f>IF(D349="","",IFERROR(XLOOKUP(TRIM(D349),INVENTARIO!$A$2:$A$2000,INVENTARIO!$C$2:$C$2000),""))</f>
        <v/>
      </c>
      <c r="G349" s="2">
        <f>IF(D349="","",IF(E349="NO ENCONTRADO","CODIGO NO EXISTE",IF(COUNTIF($D$2:D349,D349)&gt;1,"DUPLICADO",IF(C349="","OK SIN PEDIDO",IF(COUNTIFS(PEDIDO_ITEMS!$A$2:$A$501,C349,PEDIDO_ITEMS!$B$2:$B$501,E349)=0,"NO PEDIDO",IF(COUNTIFS($C$2:C349,C349,$E$2:E349,E349)&gt;SUMIFS(PEDIDO_ITEMS!$C$2:$C$501,PEDIDO_ITEMS!$A$2:$A$501,C349,PEDIDO_ITEMS!$B$2:$B$501,E349),"EXCEDE PEDIDO","OK"))))))</f>
        <v/>
      </c>
    </row>
    <row r="350">
      <c r="A350" s="9" t="inlineStr"/>
      <c r="B350" s="2" t="inlineStr"/>
      <c r="C350" s="2" t="inlineStr"/>
      <c r="D350" s="2" t="inlineStr"/>
      <c r="E350" s="2">
        <f>IF(D350="","",IFERROR(XLOOKUP(TRIM(D350),INVENTARIO!$A$2:$A$2000,INVENTARIO!$B$2:$B$2000),"NO ENCONTRADO"))</f>
        <v/>
      </c>
      <c r="F350" s="2">
        <f>IF(D350="","",IFERROR(XLOOKUP(TRIM(D350),INVENTARIO!$A$2:$A$2000,INVENTARIO!$C$2:$C$2000),""))</f>
        <v/>
      </c>
      <c r="G350" s="2">
        <f>IF(D350="","",IF(E350="NO ENCONTRADO","CODIGO NO EXISTE",IF(COUNTIF($D$2:D350,D350)&gt;1,"DUPLICADO",IF(C350="","OK SIN PEDIDO",IF(COUNTIFS(PEDIDO_ITEMS!$A$2:$A$501,C350,PEDIDO_ITEMS!$B$2:$B$501,E350)=0,"NO PEDIDO",IF(COUNTIFS($C$2:C350,C350,$E$2:E350,E350)&gt;SUMIFS(PEDIDO_ITEMS!$C$2:$C$501,PEDIDO_ITEMS!$A$2:$A$501,C350,PEDIDO_ITEMS!$B$2:$B$501,E350),"EXCEDE PEDIDO","OK"))))))</f>
        <v/>
      </c>
    </row>
    <row r="351">
      <c r="A351" s="9" t="inlineStr"/>
      <c r="B351" s="2" t="inlineStr"/>
      <c r="C351" s="2" t="inlineStr"/>
      <c r="D351" s="2" t="inlineStr"/>
      <c r="E351" s="2">
        <f>IF(D351="","",IFERROR(XLOOKUP(TRIM(D351),INVENTARIO!$A$2:$A$2000,INVENTARIO!$B$2:$B$2000),"NO ENCONTRADO"))</f>
        <v/>
      </c>
      <c r="F351" s="2">
        <f>IF(D351="","",IFERROR(XLOOKUP(TRIM(D351),INVENTARIO!$A$2:$A$2000,INVENTARIO!$C$2:$C$2000),""))</f>
        <v/>
      </c>
      <c r="G351" s="2">
        <f>IF(D351="","",IF(E351="NO ENCONTRADO","CODIGO NO EXISTE",IF(COUNTIF($D$2:D351,D351)&gt;1,"DUPLICADO",IF(C351="","OK SIN PEDIDO",IF(COUNTIFS(PEDIDO_ITEMS!$A$2:$A$501,C351,PEDIDO_ITEMS!$B$2:$B$501,E351)=0,"NO PEDIDO",IF(COUNTIFS($C$2:C351,C351,$E$2:E351,E351)&gt;SUMIFS(PEDIDO_ITEMS!$C$2:$C$501,PEDIDO_ITEMS!$A$2:$A$501,C351,PEDIDO_ITEMS!$B$2:$B$501,E351),"EXCEDE PEDIDO","OK"))))))</f>
        <v/>
      </c>
    </row>
    <row r="352">
      <c r="A352" s="9" t="inlineStr"/>
      <c r="B352" s="2" t="inlineStr"/>
      <c r="C352" s="2" t="inlineStr"/>
      <c r="D352" s="2" t="inlineStr"/>
      <c r="E352" s="2">
        <f>IF(D352="","",IFERROR(XLOOKUP(TRIM(D352),INVENTARIO!$A$2:$A$2000,INVENTARIO!$B$2:$B$2000),"NO ENCONTRADO"))</f>
        <v/>
      </c>
      <c r="F352" s="2">
        <f>IF(D352="","",IFERROR(XLOOKUP(TRIM(D352),INVENTARIO!$A$2:$A$2000,INVENTARIO!$C$2:$C$2000),""))</f>
        <v/>
      </c>
      <c r="G352" s="2">
        <f>IF(D352="","",IF(E352="NO ENCONTRADO","CODIGO NO EXISTE",IF(COUNTIF($D$2:D352,D352)&gt;1,"DUPLICADO",IF(C352="","OK SIN PEDIDO",IF(COUNTIFS(PEDIDO_ITEMS!$A$2:$A$501,C352,PEDIDO_ITEMS!$B$2:$B$501,E352)=0,"NO PEDIDO",IF(COUNTIFS($C$2:C352,C352,$E$2:E352,E352)&gt;SUMIFS(PEDIDO_ITEMS!$C$2:$C$501,PEDIDO_ITEMS!$A$2:$A$501,C352,PEDIDO_ITEMS!$B$2:$B$501,E352),"EXCEDE PEDIDO","OK"))))))</f>
        <v/>
      </c>
    </row>
    <row r="353">
      <c r="A353" s="9" t="inlineStr"/>
      <c r="B353" s="2" t="inlineStr"/>
      <c r="C353" s="2" t="inlineStr"/>
      <c r="D353" s="2" t="inlineStr"/>
      <c r="E353" s="2">
        <f>IF(D353="","",IFERROR(XLOOKUP(TRIM(D353),INVENTARIO!$A$2:$A$2000,INVENTARIO!$B$2:$B$2000),"NO ENCONTRADO"))</f>
        <v/>
      </c>
      <c r="F353" s="2">
        <f>IF(D353="","",IFERROR(XLOOKUP(TRIM(D353),INVENTARIO!$A$2:$A$2000,INVENTARIO!$C$2:$C$2000),""))</f>
        <v/>
      </c>
      <c r="G353" s="2">
        <f>IF(D353="","",IF(E353="NO ENCONTRADO","CODIGO NO EXISTE",IF(COUNTIF($D$2:D353,D353)&gt;1,"DUPLICADO",IF(C353="","OK SIN PEDIDO",IF(COUNTIFS(PEDIDO_ITEMS!$A$2:$A$501,C353,PEDIDO_ITEMS!$B$2:$B$501,E353)=0,"NO PEDIDO",IF(COUNTIFS($C$2:C353,C353,$E$2:E353,E353)&gt;SUMIFS(PEDIDO_ITEMS!$C$2:$C$501,PEDIDO_ITEMS!$A$2:$A$501,C353,PEDIDO_ITEMS!$B$2:$B$501,E353),"EXCEDE PEDIDO","OK"))))))</f>
        <v/>
      </c>
    </row>
    <row r="354">
      <c r="A354" s="9" t="inlineStr"/>
      <c r="B354" s="2" t="inlineStr"/>
      <c r="C354" s="2" t="inlineStr"/>
      <c r="D354" s="2" t="inlineStr"/>
      <c r="E354" s="2">
        <f>IF(D354="","",IFERROR(XLOOKUP(TRIM(D354),INVENTARIO!$A$2:$A$2000,INVENTARIO!$B$2:$B$2000),"NO ENCONTRADO"))</f>
        <v/>
      </c>
      <c r="F354" s="2">
        <f>IF(D354="","",IFERROR(XLOOKUP(TRIM(D354),INVENTARIO!$A$2:$A$2000,INVENTARIO!$C$2:$C$2000),""))</f>
        <v/>
      </c>
      <c r="G354" s="2">
        <f>IF(D354="","",IF(E354="NO ENCONTRADO","CODIGO NO EXISTE",IF(COUNTIF($D$2:D354,D354)&gt;1,"DUPLICADO",IF(C354="","OK SIN PEDIDO",IF(COUNTIFS(PEDIDO_ITEMS!$A$2:$A$501,C354,PEDIDO_ITEMS!$B$2:$B$501,E354)=0,"NO PEDIDO",IF(COUNTIFS($C$2:C354,C354,$E$2:E354,E354)&gt;SUMIFS(PEDIDO_ITEMS!$C$2:$C$501,PEDIDO_ITEMS!$A$2:$A$501,C354,PEDIDO_ITEMS!$B$2:$B$501,E354),"EXCEDE PEDIDO","OK"))))))</f>
        <v/>
      </c>
    </row>
    <row r="355">
      <c r="A355" s="9" t="inlineStr"/>
      <c r="B355" s="2" t="inlineStr"/>
      <c r="C355" s="2" t="inlineStr"/>
      <c r="D355" s="2" t="inlineStr"/>
      <c r="E355" s="2">
        <f>IF(D355="","",IFERROR(XLOOKUP(TRIM(D355),INVENTARIO!$A$2:$A$2000,INVENTARIO!$B$2:$B$2000),"NO ENCONTRADO"))</f>
        <v/>
      </c>
      <c r="F355" s="2">
        <f>IF(D355="","",IFERROR(XLOOKUP(TRIM(D355),INVENTARIO!$A$2:$A$2000,INVENTARIO!$C$2:$C$2000),""))</f>
        <v/>
      </c>
      <c r="G355" s="2">
        <f>IF(D355="","",IF(E355="NO ENCONTRADO","CODIGO NO EXISTE",IF(COUNTIF($D$2:D355,D355)&gt;1,"DUPLICADO",IF(C355="","OK SIN PEDIDO",IF(COUNTIFS(PEDIDO_ITEMS!$A$2:$A$501,C355,PEDIDO_ITEMS!$B$2:$B$501,E355)=0,"NO PEDIDO",IF(COUNTIFS($C$2:C355,C355,$E$2:E355,E355)&gt;SUMIFS(PEDIDO_ITEMS!$C$2:$C$501,PEDIDO_ITEMS!$A$2:$A$501,C355,PEDIDO_ITEMS!$B$2:$B$501,E355),"EXCEDE PEDIDO","OK"))))))</f>
        <v/>
      </c>
    </row>
    <row r="356">
      <c r="A356" s="9" t="inlineStr"/>
      <c r="B356" s="2" t="inlineStr"/>
      <c r="C356" s="2" t="inlineStr"/>
      <c r="D356" s="2" t="inlineStr"/>
      <c r="E356" s="2">
        <f>IF(D356="","",IFERROR(XLOOKUP(TRIM(D356),INVENTARIO!$A$2:$A$2000,INVENTARIO!$B$2:$B$2000),"NO ENCONTRADO"))</f>
        <v/>
      </c>
      <c r="F356" s="2">
        <f>IF(D356="","",IFERROR(XLOOKUP(TRIM(D356),INVENTARIO!$A$2:$A$2000,INVENTARIO!$C$2:$C$2000),""))</f>
        <v/>
      </c>
      <c r="G356" s="2">
        <f>IF(D356="","",IF(E356="NO ENCONTRADO","CODIGO NO EXISTE",IF(COUNTIF($D$2:D356,D356)&gt;1,"DUPLICADO",IF(C356="","OK SIN PEDIDO",IF(COUNTIFS(PEDIDO_ITEMS!$A$2:$A$501,C356,PEDIDO_ITEMS!$B$2:$B$501,E356)=0,"NO PEDIDO",IF(COUNTIFS($C$2:C356,C356,$E$2:E356,E356)&gt;SUMIFS(PEDIDO_ITEMS!$C$2:$C$501,PEDIDO_ITEMS!$A$2:$A$501,C356,PEDIDO_ITEMS!$B$2:$B$501,E356),"EXCEDE PEDIDO","OK"))))))</f>
        <v/>
      </c>
    </row>
    <row r="357">
      <c r="A357" s="9" t="inlineStr"/>
      <c r="B357" s="2" t="inlineStr"/>
      <c r="C357" s="2" t="inlineStr"/>
      <c r="D357" s="2" t="inlineStr"/>
      <c r="E357" s="2">
        <f>IF(D357="","",IFERROR(XLOOKUP(TRIM(D357),INVENTARIO!$A$2:$A$2000,INVENTARIO!$B$2:$B$2000),"NO ENCONTRADO"))</f>
        <v/>
      </c>
      <c r="F357" s="2">
        <f>IF(D357="","",IFERROR(XLOOKUP(TRIM(D357),INVENTARIO!$A$2:$A$2000,INVENTARIO!$C$2:$C$2000),""))</f>
        <v/>
      </c>
      <c r="G357" s="2">
        <f>IF(D357="","",IF(E357="NO ENCONTRADO","CODIGO NO EXISTE",IF(COUNTIF($D$2:D357,D357)&gt;1,"DUPLICADO",IF(C357="","OK SIN PEDIDO",IF(COUNTIFS(PEDIDO_ITEMS!$A$2:$A$501,C357,PEDIDO_ITEMS!$B$2:$B$501,E357)=0,"NO PEDIDO",IF(COUNTIFS($C$2:C357,C357,$E$2:E357,E357)&gt;SUMIFS(PEDIDO_ITEMS!$C$2:$C$501,PEDIDO_ITEMS!$A$2:$A$501,C357,PEDIDO_ITEMS!$B$2:$B$501,E357),"EXCEDE PEDIDO","OK"))))))</f>
        <v/>
      </c>
    </row>
    <row r="358">
      <c r="A358" s="9" t="inlineStr"/>
      <c r="B358" s="2" t="inlineStr"/>
      <c r="C358" s="2" t="inlineStr"/>
      <c r="D358" s="2" t="inlineStr"/>
      <c r="E358" s="2">
        <f>IF(D358="","",IFERROR(XLOOKUP(TRIM(D358),INVENTARIO!$A$2:$A$2000,INVENTARIO!$B$2:$B$2000),"NO ENCONTRADO"))</f>
        <v/>
      </c>
      <c r="F358" s="2">
        <f>IF(D358="","",IFERROR(XLOOKUP(TRIM(D358),INVENTARIO!$A$2:$A$2000,INVENTARIO!$C$2:$C$2000),""))</f>
        <v/>
      </c>
      <c r="G358" s="2">
        <f>IF(D358="","",IF(E358="NO ENCONTRADO","CODIGO NO EXISTE",IF(COUNTIF($D$2:D358,D358)&gt;1,"DUPLICADO",IF(C358="","OK SIN PEDIDO",IF(COUNTIFS(PEDIDO_ITEMS!$A$2:$A$501,C358,PEDIDO_ITEMS!$B$2:$B$501,E358)=0,"NO PEDIDO",IF(COUNTIFS($C$2:C358,C358,$E$2:E358,E358)&gt;SUMIFS(PEDIDO_ITEMS!$C$2:$C$501,PEDIDO_ITEMS!$A$2:$A$501,C358,PEDIDO_ITEMS!$B$2:$B$501,E358),"EXCEDE PEDIDO","OK"))))))</f>
        <v/>
      </c>
    </row>
    <row r="359">
      <c r="A359" s="9" t="inlineStr"/>
      <c r="B359" s="2" t="inlineStr"/>
      <c r="C359" s="2" t="inlineStr"/>
      <c r="D359" s="2" t="inlineStr"/>
      <c r="E359" s="2">
        <f>IF(D359="","",IFERROR(XLOOKUP(TRIM(D359),INVENTARIO!$A$2:$A$2000,INVENTARIO!$B$2:$B$2000),"NO ENCONTRADO"))</f>
        <v/>
      </c>
      <c r="F359" s="2">
        <f>IF(D359="","",IFERROR(XLOOKUP(TRIM(D359),INVENTARIO!$A$2:$A$2000,INVENTARIO!$C$2:$C$2000),""))</f>
        <v/>
      </c>
      <c r="G359" s="2">
        <f>IF(D359="","",IF(E359="NO ENCONTRADO","CODIGO NO EXISTE",IF(COUNTIF($D$2:D359,D359)&gt;1,"DUPLICADO",IF(C359="","OK SIN PEDIDO",IF(COUNTIFS(PEDIDO_ITEMS!$A$2:$A$501,C359,PEDIDO_ITEMS!$B$2:$B$501,E359)=0,"NO PEDIDO",IF(COUNTIFS($C$2:C359,C359,$E$2:E359,E359)&gt;SUMIFS(PEDIDO_ITEMS!$C$2:$C$501,PEDIDO_ITEMS!$A$2:$A$501,C359,PEDIDO_ITEMS!$B$2:$B$501,E359),"EXCEDE PEDIDO","OK"))))))</f>
        <v/>
      </c>
    </row>
    <row r="360">
      <c r="A360" s="9" t="inlineStr"/>
      <c r="B360" s="2" t="inlineStr"/>
      <c r="C360" s="2" t="inlineStr"/>
      <c r="D360" s="2" t="inlineStr"/>
      <c r="E360" s="2">
        <f>IF(D360="","",IFERROR(XLOOKUP(TRIM(D360),INVENTARIO!$A$2:$A$2000,INVENTARIO!$B$2:$B$2000),"NO ENCONTRADO"))</f>
        <v/>
      </c>
      <c r="F360" s="2">
        <f>IF(D360="","",IFERROR(XLOOKUP(TRIM(D360),INVENTARIO!$A$2:$A$2000,INVENTARIO!$C$2:$C$2000),""))</f>
        <v/>
      </c>
      <c r="G360" s="2">
        <f>IF(D360="","",IF(E360="NO ENCONTRADO","CODIGO NO EXISTE",IF(COUNTIF($D$2:D360,D360)&gt;1,"DUPLICADO",IF(C360="","OK SIN PEDIDO",IF(COUNTIFS(PEDIDO_ITEMS!$A$2:$A$501,C360,PEDIDO_ITEMS!$B$2:$B$501,E360)=0,"NO PEDIDO",IF(COUNTIFS($C$2:C360,C360,$E$2:E360,E360)&gt;SUMIFS(PEDIDO_ITEMS!$C$2:$C$501,PEDIDO_ITEMS!$A$2:$A$501,C360,PEDIDO_ITEMS!$B$2:$B$501,E360),"EXCEDE PEDIDO","OK"))))))</f>
        <v/>
      </c>
    </row>
    <row r="361">
      <c r="A361" s="9" t="inlineStr"/>
      <c r="B361" s="2" t="inlineStr"/>
      <c r="C361" s="2" t="inlineStr"/>
      <c r="D361" s="2" t="inlineStr"/>
      <c r="E361" s="2">
        <f>IF(D361="","",IFERROR(XLOOKUP(TRIM(D361),INVENTARIO!$A$2:$A$2000,INVENTARIO!$B$2:$B$2000),"NO ENCONTRADO"))</f>
        <v/>
      </c>
      <c r="F361" s="2">
        <f>IF(D361="","",IFERROR(XLOOKUP(TRIM(D361),INVENTARIO!$A$2:$A$2000,INVENTARIO!$C$2:$C$2000),""))</f>
        <v/>
      </c>
      <c r="G361" s="2">
        <f>IF(D361="","",IF(E361="NO ENCONTRADO","CODIGO NO EXISTE",IF(COUNTIF($D$2:D361,D361)&gt;1,"DUPLICADO",IF(C361="","OK SIN PEDIDO",IF(COUNTIFS(PEDIDO_ITEMS!$A$2:$A$501,C361,PEDIDO_ITEMS!$B$2:$B$501,E361)=0,"NO PEDIDO",IF(COUNTIFS($C$2:C361,C361,$E$2:E361,E361)&gt;SUMIFS(PEDIDO_ITEMS!$C$2:$C$501,PEDIDO_ITEMS!$A$2:$A$501,C361,PEDIDO_ITEMS!$B$2:$B$501,E361),"EXCEDE PEDIDO","OK"))))))</f>
        <v/>
      </c>
    </row>
    <row r="362">
      <c r="A362" s="9" t="inlineStr"/>
      <c r="B362" s="2" t="inlineStr"/>
      <c r="C362" s="2" t="inlineStr"/>
      <c r="D362" s="2" t="inlineStr"/>
      <c r="E362" s="2">
        <f>IF(D362="","",IFERROR(XLOOKUP(TRIM(D362),INVENTARIO!$A$2:$A$2000,INVENTARIO!$B$2:$B$2000),"NO ENCONTRADO"))</f>
        <v/>
      </c>
      <c r="F362" s="2">
        <f>IF(D362="","",IFERROR(XLOOKUP(TRIM(D362),INVENTARIO!$A$2:$A$2000,INVENTARIO!$C$2:$C$2000),""))</f>
        <v/>
      </c>
      <c r="G362" s="2">
        <f>IF(D362="","",IF(E362="NO ENCONTRADO","CODIGO NO EXISTE",IF(COUNTIF($D$2:D362,D362)&gt;1,"DUPLICADO",IF(C362="","OK SIN PEDIDO",IF(COUNTIFS(PEDIDO_ITEMS!$A$2:$A$501,C362,PEDIDO_ITEMS!$B$2:$B$501,E362)=0,"NO PEDIDO",IF(COUNTIFS($C$2:C362,C362,$E$2:E362,E362)&gt;SUMIFS(PEDIDO_ITEMS!$C$2:$C$501,PEDIDO_ITEMS!$A$2:$A$501,C362,PEDIDO_ITEMS!$B$2:$B$501,E362),"EXCEDE PEDIDO","OK"))))))</f>
        <v/>
      </c>
    </row>
    <row r="363">
      <c r="A363" s="9" t="inlineStr"/>
      <c r="B363" s="2" t="inlineStr"/>
      <c r="C363" s="2" t="inlineStr"/>
      <c r="D363" s="2" t="inlineStr"/>
      <c r="E363" s="2">
        <f>IF(D363="","",IFERROR(XLOOKUP(TRIM(D363),INVENTARIO!$A$2:$A$2000,INVENTARIO!$B$2:$B$2000),"NO ENCONTRADO"))</f>
        <v/>
      </c>
      <c r="F363" s="2">
        <f>IF(D363="","",IFERROR(XLOOKUP(TRIM(D363),INVENTARIO!$A$2:$A$2000,INVENTARIO!$C$2:$C$2000),""))</f>
        <v/>
      </c>
      <c r="G363" s="2">
        <f>IF(D363="","",IF(E363="NO ENCONTRADO","CODIGO NO EXISTE",IF(COUNTIF($D$2:D363,D363)&gt;1,"DUPLICADO",IF(C363="","OK SIN PEDIDO",IF(COUNTIFS(PEDIDO_ITEMS!$A$2:$A$501,C363,PEDIDO_ITEMS!$B$2:$B$501,E363)=0,"NO PEDIDO",IF(COUNTIFS($C$2:C363,C363,$E$2:E363,E363)&gt;SUMIFS(PEDIDO_ITEMS!$C$2:$C$501,PEDIDO_ITEMS!$A$2:$A$501,C363,PEDIDO_ITEMS!$B$2:$B$501,E363),"EXCEDE PEDIDO","OK"))))))</f>
        <v/>
      </c>
    </row>
    <row r="364">
      <c r="A364" s="9" t="inlineStr"/>
      <c r="B364" s="2" t="inlineStr"/>
      <c r="C364" s="2" t="inlineStr"/>
      <c r="D364" s="2" t="inlineStr"/>
      <c r="E364" s="2">
        <f>IF(D364="","",IFERROR(XLOOKUP(TRIM(D364),INVENTARIO!$A$2:$A$2000,INVENTARIO!$B$2:$B$2000),"NO ENCONTRADO"))</f>
        <v/>
      </c>
      <c r="F364" s="2">
        <f>IF(D364="","",IFERROR(XLOOKUP(TRIM(D364),INVENTARIO!$A$2:$A$2000,INVENTARIO!$C$2:$C$2000),""))</f>
        <v/>
      </c>
      <c r="G364" s="2">
        <f>IF(D364="","",IF(E364="NO ENCONTRADO","CODIGO NO EXISTE",IF(COUNTIF($D$2:D364,D364)&gt;1,"DUPLICADO",IF(C364="","OK SIN PEDIDO",IF(COUNTIFS(PEDIDO_ITEMS!$A$2:$A$501,C364,PEDIDO_ITEMS!$B$2:$B$501,E364)=0,"NO PEDIDO",IF(COUNTIFS($C$2:C364,C364,$E$2:E364,E364)&gt;SUMIFS(PEDIDO_ITEMS!$C$2:$C$501,PEDIDO_ITEMS!$A$2:$A$501,C364,PEDIDO_ITEMS!$B$2:$B$501,E364),"EXCEDE PEDIDO","OK"))))))</f>
        <v/>
      </c>
    </row>
    <row r="365">
      <c r="A365" s="9" t="inlineStr"/>
      <c r="B365" s="2" t="inlineStr"/>
      <c r="C365" s="2" t="inlineStr"/>
      <c r="D365" s="2" t="inlineStr"/>
      <c r="E365" s="2">
        <f>IF(D365="","",IFERROR(XLOOKUP(TRIM(D365),INVENTARIO!$A$2:$A$2000,INVENTARIO!$B$2:$B$2000),"NO ENCONTRADO"))</f>
        <v/>
      </c>
      <c r="F365" s="2">
        <f>IF(D365="","",IFERROR(XLOOKUP(TRIM(D365),INVENTARIO!$A$2:$A$2000,INVENTARIO!$C$2:$C$2000),""))</f>
        <v/>
      </c>
      <c r="G365" s="2">
        <f>IF(D365="","",IF(E365="NO ENCONTRADO","CODIGO NO EXISTE",IF(COUNTIF($D$2:D365,D365)&gt;1,"DUPLICADO",IF(C365="","OK SIN PEDIDO",IF(COUNTIFS(PEDIDO_ITEMS!$A$2:$A$501,C365,PEDIDO_ITEMS!$B$2:$B$501,E365)=0,"NO PEDIDO",IF(COUNTIFS($C$2:C365,C365,$E$2:E365,E365)&gt;SUMIFS(PEDIDO_ITEMS!$C$2:$C$501,PEDIDO_ITEMS!$A$2:$A$501,C365,PEDIDO_ITEMS!$B$2:$B$501,E365),"EXCEDE PEDIDO","OK"))))))</f>
        <v/>
      </c>
    </row>
    <row r="366">
      <c r="A366" s="9" t="inlineStr"/>
      <c r="B366" s="2" t="inlineStr"/>
      <c r="C366" s="2" t="inlineStr"/>
      <c r="D366" s="2" t="inlineStr"/>
      <c r="E366" s="2">
        <f>IF(D366="","",IFERROR(XLOOKUP(TRIM(D366),INVENTARIO!$A$2:$A$2000,INVENTARIO!$B$2:$B$2000),"NO ENCONTRADO"))</f>
        <v/>
      </c>
      <c r="F366" s="2">
        <f>IF(D366="","",IFERROR(XLOOKUP(TRIM(D366),INVENTARIO!$A$2:$A$2000,INVENTARIO!$C$2:$C$2000),""))</f>
        <v/>
      </c>
      <c r="G366" s="2">
        <f>IF(D366="","",IF(E366="NO ENCONTRADO","CODIGO NO EXISTE",IF(COUNTIF($D$2:D366,D366)&gt;1,"DUPLICADO",IF(C366="","OK SIN PEDIDO",IF(COUNTIFS(PEDIDO_ITEMS!$A$2:$A$501,C366,PEDIDO_ITEMS!$B$2:$B$501,E366)=0,"NO PEDIDO",IF(COUNTIFS($C$2:C366,C366,$E$2:E366,E366)&gt;SUMIFS(PEDIDO_ITEMS!$C$2:$C$501,PEDIDO_ITEMS!$A$2:$A$501,C366,PEDIDO_ITEMS!$B$2:$B$501,E366),"EXCEDE PEDIDO","OK"))))))</f>
        <v/>
      </c>
    </row>
    <row r="367">
      <c r="A367" s="9" t="inlineStr"/>
      <c r="B367" s="2" t="inlineStr"/>
      <c r="C367" s="2" t="inlineStr"/>
      <c r="D367" s="2" t="inlineStr"/>
      <c r="E367" s="2">
        <f>IF(D367="","",IFERROR(XLOOKUP(TRIM(D367),INVENTARIO!$A$2:$A$2000,INVENTARIO!$B$2:$B$2000),"NO ENCONTRADO"))</f>
        <v/>
      </c>
      <c r="F367" s="2">
        <f>IF(D367="","",IFERROR(XLOOKUP(TRIM(D367),INVENTARIO!$A$2:$A$2000,INVENTARIO!$C$2:$C$2000),""))</f>
        <v/>
      </c>
      <c r="G367" s="2">
        <f>IF(D367="","",IF(E367="NO ENCONTRADO","CODIGO NO EXISTE",IF(COUNTIF($D$2:D367,D367)&gt;1,"DUPLICADO",IF(C367="","OK SIN PEDIDO",IF(COUNTIFS(PEDIDO_ITEMS!$A$2:$A$501,C367,PEDIDO_ITEMS!$B$2:$B$501,E367)=0,"NO PEDIDO",IF(COUNTIFS($C$2:C367,C367,$E$2:E367,E367)&gt;SUMIFS(PEDIDO_ITEMS!$C$2:$C$501,PEDIDO_ITEMS!$A$2:$A$501,C367,PEDIDO_ITEMS!$B$2:$B$501,E367),"EXCEDE PEDIDO","OK"))))))</f>
        <v/>
      </c>
    </row>
    <row r="368">
      <c r="A368" s="9" t="inlineStr"/>
      <c r="B368" s="2" t="inlineStr"/>
      <c r="C368" s="2" t="inlineStr"/>
      <c r="D368" s="2" t="inlineStr"/>
      <c r="E368" s="2">
        <f>IF(D368="","",IFERROR(XLOOKUP(TRIM(D368),INVENTARIO!$A$2:$A$2000,INVENTARIO!$B$2:$B$2000),"NO ENCONTRADO"))</f>
        <v/>
      </c>
      <c r="F368" s="2">
        <f>IF(D368="","",IFERROR(XLOOKUP(TRIM(D368),INVENTARIO!$A$2:$A$2000,INVENTARIO!$C$2:$C$2000),""))</f>
        <v/>
      </c>
      <c r="G368" s="2">
        <f>IF(D368="","",IF(E368="NO ENCONTRADO","CODIGO NO EXISTE",IF(COUNTIF($D$2:D368,D368)&gt;1,"DUPLICADO",IF(C368="","OK SIN PEDIDO",IF(COUNTIFS(PEDIDO_ITEMS!$A$2:$A$501,C368,PEDIDO_ITEMS!$B$2:$B$501,E368)=0,"NO PEDIDO",IF(COUNTIFS($C$2:C368,C368,$E$2:E368,E368)&gt;SUMIFS(PEDIDO_ITEMS!$C$2:$C$501,PEDIDO_ITEMS!$A$2:$A$501,C368,PEDIDO_ITEMS!$B$2:$B$501,E368),"EXCEDE PEDIDO","OK"))))))</f>
        <v/>
      </c>
    </row>
    <row r="369">
      <c r="A369" s="9" t="inlineStr"/>
      <c r="B369" s="2" t="inlineStr"/>
      <c r="C369" s="2" t="inlineStr"/>
      <c r="D369" s="2" t="inlineStr"/>
      <c r="E369" s="2">
        <f>IF(D369="","",IFERROR(XLOOKUP(TRIM(D369),INVENTARIO!$A$2:$A$2000,INVENTARIO!$B$2:$B$2000),"NO ENCONTRADO"))</f>
        <v/>
      </c>
      <c r="F369" s="2">
        <f>IF(D369="","",IFERROR(XLOOKUP(TRIM(D369),INVENTARIO!$A$2:$A$2000,INVENTARIO!$C$2:$C$2000),""))</f>
        <v/>
      </c>
      <c r="G369" s="2">
        <f>IF(D369="","",IF(E369="NO ENCONTRADO","CODIGO NO EXISTE",IF(COUNTIF($D$2:D369,D369)&gt;1,"DUPLICADO",IF(C369="","OK SIN PEDIDO",IF(COUNTIFS(PEDIDO_ITEMS!$A$2:$A$501,C369,PEDIDO_ITEMS!$B$2:$B$501,E369)=0,"NO PEDIDO",IF(COUNTIFS($C$2:C369,C369,$E$2:E369,E369)&gt;SUMIFS(PEDIDO_ITEMS!$C$2:$C$501,PEDIDO_ITEMS!$A$2:$A$501,C369,PEDIDO_ITEMS!$B$2:$B$501,E369),"EXCEDE PEDIDO","OK"))))))</f>
        <v/>
      </c>
    </row>
    <row r="370">
      <c r="A370" s="9" t="inlineStr"/>
      <c r="B370" s="2" t="inlineStr"/>
      <c r="C370" s="2" t="inlineStr"/>
      <c r="D370" s="2" t="inlineStr"/>
      <c r="E370" s="2">
        <f>IF(D370="","",IFERROR(XLOOKUP(TRIM(D370),INVENTARIO!$A$2:$A$2000,INVENTARIO!$B$2:$B$2000),"NO ENCONTRADO"))</f>
        <v/>
      </c>
      <c r="F370" s="2">
        <f>IF(D370="","",IFERROR(XLOOKUP(TRIM(D370),INVENTARIO!$A$2:$A$2000,INVENTARIO!$C$2:$C$2000),""))</f>
        <v/>
      </c>
      <c r="G370" s="2">
        <f>IF(D370="","",IF(E370="NO ENCONTRADO","CODIGO NO EXISTE",IF(COUNTIF($D$2:D370,D370)&gt;1,"DUPLICADO",IF(C370="","OK SIN PEDIDO",IF(COUNTIFS(PEDIDO_ITEMS!$A$2:$A$501,C370,PEDIDO_ITEMS!$B$2:$B$501,E370)=0,"NO PEDIDO",IF(COUNTIFS($C$2:C370,C370,$E$2:E370,E370)&gt;SUMIFS(PEDIDO_ITEMS!$C$2:$C$501,PEDIDO_ITEMS!$A$2:$A$501,C370,PEDIDO_ITEMS!$B$2:$B$501,E370),"EXCEDE PEDIDO","OK"))))))</f>
        <v/>
      </c>
    </row>
    <row r="371">
      <c r="A371" s="9" t="inlineStr"/>
      <c r="B371" s="2" t="inlineStr"/>
      <c r="C371" s="2" t="inlineStr"/>
      <c r="D371" s="2" t="inlineStr"/>
      <c r="E371" s="2">
        <f>IF(D371="","",IFERROR(XLOOKUP(TRIM(D371),INVENTARIO!$A$2:$A$2000,INVENTARIO!$B$2:$B$2000),"NO ENCONTRADO"))</f>
        <v/>
      </c>
      <c r="F371" s="2">
        <f>IF(D371="","",IFERROR(XLOOKUP(TRIM(D371),INVENTARIO!$A$2:$A$2000,INVENTARIO!$C$2:$C$2000),""))</f>
        <v/>
      </c>
      <c r="G371" s="2">
        <f>IF(D371="","",IF(E371="NO ENCONTRADO","CODIGO NO EXISTE",IF(COUNTIF($D$2:D371,D371)&gt;1,"DUPLICADO",IF(C371="","OK SIN PEDIDO",IF(COUNTIFS(PEDIDO_ITEMS!$A$2:$A$501,C371,PEDIDO_ITEMS!$B$2:$B$501,E371)=0,"NO PEDIDO",IF(COUNTIFS($C$2:C371,C371,$E$2:E371,E371)&gt;SUMIFS(PEDIDO_ITEMS!$C$2:$C$501,PEDIDO_ITEMS!$A$2:$A$501,C371,PEDIDO_ITEMS!$B$2:$B$501,E371),"EXCEDE PEDIDO","OK"))))))</f>
        <v/>
      </c>
    </row>
    <row r="372">
      <c r="A372" s="9" t="inlineStr"/>
      <c r="B372" s="2" t="inlineStr"/>
      <c r="C372" s="2" t="inlineStr"/>
      <c r="D372" s="2" t="inlineStr"/>
      <c r="E372" s="2">
        <f>IF(D372="","",IFERROR(XLOOKUP(TRIM(D372),INVENTARIO!$A$2:$A$2000,INVENTARIO!$B$2:$B$2000),"NO ENCONTRADO"))</f>
        <v/>
      </c>
      <c r="F372" s="2">
        <f>IF(D372="","",IFERROR(XLOOKUP(TRIM(D372),INVENTARIO!$A$2:$A$2000,INVENTARIO!$C$2:$C$2000),""))</f>
        <v/>
      </c>
      <c r="G372" s="2">
        <f>IF(D372="","",IF(E372="NO ENCONTRADO","CODIGO NO EXISTE",IF(COUNTIF($D$2:D372,D372)&gt;1,"DUPLICADO",IF(C372="","OK SIN PEDIDO",IF(COUNTIFS(PEDIDO_ITEMS!$A$2:$A$501,C372,PEDIDO_ITEMS!$B$2:$B$501,E372)=0,"NO PEDIDO",IF(COUNTIFS($C$2:C372,C372,$E$2:E372,E372)&gt;SUMIFS(PEDIDO_ITEMS!$C$2:$C$501,PEDIDO_ITEMS!$A$2:$A$501,C372,PEDIDO_ITEMS!$B$2:$B$501,E372),"EXCEDE PEDIDO","OK"))))))</f>
        <v/>
      </c>
    </row>
    <row r="373">
      <c r="A373" s="9" t="inlineStr"/>
      <c r="B373" s="2" t="inlineStr"/>
      <c r="C373" s="2" t="inlineStr"/>
      <c r="D373" s="2" t="inlineStr"/>
      <c r="E373" s="2">
        <f>IF(D373="","",IFERROR(XLOOKUP(TRIM(D373),INVENTARIO!$A$2:$A$2000,INVENTARIO!$B$2:$B$2000),"NO ENCONTRADO"))</f>
        <v/>
      </c>
      <c r="F373" s="2">
        <f>IF(D373="","",IFERROR(XLOOKUP(TRIM(D373),INVENTARIO!$A$2:$A$2000,INVENTARIO!$C$2:$C$2000),""))</f>
        <v/>
      </c>
      <c r="G373" s="2">
        <f>IF(D373="","",IF(E373="NO ENCONTRADO","CODIGO NO EXISTE",IF(COUNTIF($D$2:D373,D373)&gt;1,"DUPLICADO",IF(C373="","OK SIN PEDIDO",IF(COUNTIFS(PEDIDO_ITEMS!$A$2:$A$501,C373,PEDIDO_ITEMS!$B$2:$B$501,E373)=0,"NO PEDIDO",IF(COUNTIFS($C$2:C373,C373,$E$2:E373,E373)&gt;SUMIFS(PEDIDO_ITEMS!$C$2:$C$501,PEDIDO_ITEMS!$A$2:$A$501,C373,PEDIDO_ITEMS!$B$2:$B$501,E373),"EXCEDE PEDIDO","OK"))))))</f>
        <v/>
      </c>
    </row>
    <row r="374">
      <c r="A374" s="9" t="inlineStr"/>
      <c r="B374" s="2" t="inlineStr"/>
      <c r="C374" s="2" t="inlineStr"/>
      <c r="D374" s="2" t="inlineStr"/>
      <c r="E374" s="2">
        <f>IF(D374="","",IFERROR(XLOOKUP(TRIM(D374),INVENTARIO!$A$2:$A$2000,INVENTARIO!$B$2:$B$2000),"NO ENCONTRADO"))</f>
        <v/>
      </c>
      <c r="F374" s="2">
        <f>IF(D374="","",IFERROR(XLOOKUP(TRIM(D374),INVENTARIO!$A$2:$A$2000,INVENTARIO!$C$2:$C$2000),""))</f>
        <v/>
      </c>
      <c r="G374" s="2">
        <f>IF(D374="","",IF(E374="NO ENCONTRADO","CODIGO NO EXISTE",IF(COUNTIF($D$2:D374,D374)&gt;1,"DUPLICADO",IF(C374="","OK SIN PEDIDO",IF(COUNTIFS(PEDIDO_ITEMS!$A$2:$A$501,C374,PEDIDO_ITEMS!$B$2:$B$501,E374)=0,"NO PEDIDO",IF(COUNTIFS($C$2:C374,C374,$E$2:E374,E374)&gt;SUMIFS(PEDIDO_ITEMS!$C$2:$C$501,PEDIDO_ITEMS!$A$2:$A$501,C374,PEDIDO_ITEMS!$B$2:$B$501,E374),"EXCEDE PEDIDO","OK"))))))</f>
        <v/>
      </c>
    </row>
    <row r="375">
      <c r="A375" s="9" t="inlineStr"/>
      <c r="B375" s="2" t="inlineStr"/>
      <c r="C375" s="2" t="inlineStr"/>
      <c r="D375" s="2" t="inlineStr"/>
      <c r="E375" s="2">
        <f>IF(D375="","",IFERROR(XLOOKUP(TRIM(D375),INVENTARIO!$A$2:$A$2000,INVENTARIO!$B$2:$B$2000),"NO ENCONTRADO"))</f>
        <v/>
      </c>
      <c r="F375" s="2">
        <f>IF(D375="","",IFERROR(XLOOKUP(TRIM(D375),INVENTARIO!$A$2:$A$2000,INVENTARIO!$C$2:$C$2000),""))</f>
        <v/>
      </c>
      <c r="G375" s="2">
        <f>IF(D375="","",IF(E375="NO ENCONTRADO","CODIGO NO EXISTE",IF(COUNTIF($D$2:D375,D375)&gt;1,"DUPLICADO",IF(C375="","OK SIN PEDIDO",IF(COUNTIFS(PEDIDO_ITEMS!$A$2:$A$501,C375,PEDIDO_ITEMS!$B$2:$B$501,E375)=0,"NO PEDIDO",IF(COUNTIFS($C$2:C375,C375,$E$2:E375,E375)&gt;SUMIFS(PEDIDO_ITEMS!$C$2:$C$501,PEDIDO_ITEMS!$A$2:$A$501,C375,PEDIDO_ITEMS!$B$2:$B$501,E375),"EXCEDE PEDIDO","OK"))))))</f>
        <v/>
      </c>
    </row>
    <row r="376">
      <c r="A376" s="9" t="inlineStr"/>
      <c r="B376" s="2" t="inlineStr"/>
      <c r="C376" s="2" t="inlineStr"/>
      <c r="D376" s="2" t="inlineStr"/>
      <c r="E376" s="2">
        <f>IF(D376="","",IFERROR(XLOOKUP(TRIM(D376),INVENTARIO!$A$2:$A$2000,INVENTARIO!$B$2:$B$2000),"NO ENCONTRADO"))</f>
        <v/>
      </c>
      <c r="F376" s="2">
        <f>IF(D376="","",IFERROR(XLOOKUP(TRIM(D376),INVENTARIO!$A$2:$A$2000,INVENTARIO!$C$2:$C$2000),""))</f>
        <v/>
      </c>
      <c r="G376" s="2">
        <f>IF(D376="","",IF(E376="NO ENCONTRADO","CODIGO NO EXISTE",IF(COUNTIF($D$2:D376,D376)&gt;1,"DUPLICADO",IF(C376="","OK SIN PEDIDO",IF(COUNTIFS(PEDIDO_ITEMS!$A$2:$A$501,C376,PEDIDO_ITEMS!$B$2:$B$501,E376)=0,"NO PEDIDO",IF(COUNTIFS($C$2:C376,C376,$E$2:E376,E376)&gt;SUMIFS(PEDIDO_ITEMS!$C$2:$C$501,PEDIDO_ITEMS!$A$2:$A$501,C376,PEDIDO_ITEMS!$B$2:$B$501,E376),"EXCEDE PEDIDO","OK"))))))</f>
        <v/>
      </c>
    </row>
    <row r="377">
      <c r="A377" s="9" t="inlineStr"/>
      <c r="B377" s="2" t="inlineStr"/>
      <c r="C377" s="2" t="inlineStr"/>
      <c r="D377" s="2" t="inlineStr"/>
      <c r="E377" s="2">
        <f>IF(D377="","",IFERROR(XLOOKUP(TRIM(D377),INVENTARIO!$A$2:$A$2000,INVENTARIO!$B$2:$B$2000),"NO ENCONTRADO"))</f>
        <v/>
      </c>
      <c r="F377" s="2">
        <f>IF(D377="","",IFERROR(XLOOKUP(TRIM(D377),INVENTARIO!$A$2:$A$2000,INVENTARIO!$C$2:$C$2000),""))</f>
        <v/>
      </c>
      <c r="G377" s="2">
        <f>IF(D377="","",IF(E377="NO ENCONTRADO","CODIGO NO EXISTE",IF(COUNTIF($D$2:D377,D377)&gt;1,"DUPLICADO",IF(C377="","OK SIN PEDIDO",IF(COUNTIFS(PEDIDO_ITEMS!$A$2:$A$501,C377,PEDIDO_ITEMS!$B$2:$B$501,E377)=0,"NO PEDIDO",IF(COUNTIFS($C$2:C377,C377,$E$2:E377,E377)&gt;SUMIFS(PEDIDO_ITEMS!$C$2:$C$501,PEDIDO_ITEMS!$A$2:$A$501,C377,PEDIDO_ITEMS!$B$2:$B$501,E377),"EXCEDE PEDIDO","OK"))))))</f>
        <v/>
      </c>
    </row>
    <row r="378">
      <c r="A378" s="9" t="inlineStr"/>
      <c r="B378" s="2" t="inlineStr"/>
      <c r="C378" s="2" t="inlineStr"/>
      <c r="D378" s="2" t="inlineStr"/>
      <c r="E378" s="2">
        <f>IF(D378="","",IFERROR(XLOOKUP(TRIM(D378),INVENTARIO!$A$2:$A$2000,INVENTARIO!$B$2:$B$2000),"NO ENCONTRADO"))</f>
        <v/>
      </c>
      <c r="F378" s="2">
        <f>IF(D378="","",IFERROR(XLOOKUP(TRIM(D378),INVENTARIO!$A$2:$A$2000,INVENTARIO!$C$2:$C$2000),""))</f>
        <v/>
      </c>
      <c r="G378" s="2">
        <f>IF(D378="","",IF(E378="NO ENCONTRADO","CODIGO NO EXISTE",IF(COUNTIF($D$2:D378,D378)&gt;1,"DUPLICADO",IF(C378="","OK SIN PEDIDO",IF(COUNTIFS(PEDIDO_ITEMS!$A$2:$A$501,C378,PEDIDO_ITEMS!$B$2:$B$501,E378)=0,"NO PEDIDO",IF(COUNTIFS($C$2:C378,C378,$E$2:E378,E378)&gt;SUMIFS(PEDIDO_ITEMS!$C$2:$C$501,PEDIDO_ITEMS!$A$2:$A$501,C378,PEDIDO_ITEMS!$B$2:$B$501,E378),"EXCEDE PEDIDO","OK"))))))</f>
        <v/>
      </c>
    </row>
    <row r="379">
      <c r="A379" s="9" t="inlineStr"/>
      <c r="B379" s="2" t="inlineStr"/>
      <c r="C379" s="2" t="inlineStr"/>
      <c r="D379" s="2" t="inlineStr"/>
      <c r="E379" s="2">
        <f>IF(D379="","",IFERROR(XLOOKUP(TRIM(D379),INVENTARIO!$A$2:$A$2000,INVENTARIO!$B$2:$B$2000),"NO ENCONTRADO"))</f>
        <v/>
      </c>
      <c r="F379" s="2">
        <f>IF(D379="","",IFERROR(XLOOKUP(TRIM(D379),INVENTARIO!$A$2:$A$2000,INVENTARIO!$C$2:$C$2000),""))</f>
        <v/>
      </c>
      <c r="G379" s="2">
        <f>IF(D379="","",IF(E379="NO ENCONTRADO","CODIGO NO EXISTE",IF(COUNTIF($D$2:D379,D379)&gt;1,"DUPLICADO",IF(C379="","OK SIN PEDIDO",IF(COUNTIFS(PEDIDO_ITEMS!$A$2:$A$501,C379,PEDIDO_ITEMS!$B$2:$B$501,E379)=0,"NO PEDIDO",IF(COUNTIFS($C$2:C379,C379,$E$2:E379,E379)&gt;SUMIFS(PEDIDO_ITEMS!$C$2:$C$501,PEDIDO_ITEMS!$A$2:$A$501,C379,PEDIDO_ITEMS!$B$2:$B$501,E379),"EXCEDE PEDIDO","OK"))))))</f>
        <v/>
      </c>
    </row>
    <row r="380">
      <c r="A380" s="9" t="inlineStr"/>
      <c r="B380" s="2" t="inlineStr"/>
      <c r="C380" s="2" t="inlineStr"/>
      <c r="D380" s="2" t="inlineStr"/>
      <c r="E380" s="2">
        <f>IF(D380="","",IFERROR(XLOOKUP(TRIM(D380),INVENTARIO!$A$2:$A$2000,INVENTARIO!$B$2:$B$2000),"NO ENCONTRADO"))</f>
        <v/>
      </c>
      <c r="F380" s="2">
        <f>IF(D380="","",IFERROR(XLOOKUP(TRIM(D380),INVENTARIO!$A$2:$A$2000,INVENTARIO!$C$2:$C$2000),""))</f>
        <v/>
      </c>
      <c r="G380" s="2">
        <f>IF(D380="","",IF(E380="NO ENCONTRADO","CODIGO NO EXISTE",IF(COUNTIF($D$2:D380,D380)&gt;1,"DUPLICADO",IF(C380="","OK SIN PEDIDO",IF(COUNTIFS(PEDIDO_ITEMS!$A$2:$A$501,C380,PEDIDO_ITEMS!$B$2:$B$501,E380)=0,"NO PEDIDO",IF(COUNTIFS($C$2:C380,C380,$E$2:E380,E380)&gt;SUMIFS(PEDIDO_ITEMS!$C$2:$C$501,PEDIDO_ITEMS!$A$2:$A$501,C380,PEDIDO_ITEMS!$B$2:$B$501,E380),"EXCEDE PEDIDO","OK"))))))</f>
        <v/>
      </c>
    </row>
    <row r="381">
      <c r="A381" s="9" t="inlineStr"/>
      <c r="B381" s="2" t="inlineStr"/>
      <c r="C381" s="2" t="inlineStr"/>
      <c r="D381" s="2" t="inlineStr"/>
      <c r="E381" s="2">
        <f>IF(D381="","",IFERROR(XLOOKUP(TRIM(D381),INVENTARIO!$A$2:$A$2000,INVENTARIO!$B$2:$B$2000),"NO ENCONTRADO"))</f>
        <v/>
      </c>
      <c r="F381" s="2">
        <f>IF(D381="","",IFERROR(XLOOKUP(TRIM(D381),INVENTARIO!$A$2:$A$2000,INVENTARIO!$C$2:$C$2000),""))</f>
        <v/>
      </c>
      <c r="G381" s="2">
        <f>IF(D381="","",IF(E381="NO ENCONTRADO","CODIGO NO EXISTE",IF(COUNTIF($D$2:D381,D381)&gt;1,"DUPLICADO",IF(C381="","OK SIN PEDIDO",IF(COUNTIFS(PEDIDO_ITEMS!$A$2:$A$501,C381,PEDIDO_ITEMS!$B$2:$B$501,E381)=0,"NO PEDIDO",IF(COUNTIFS($C$2:C381,C381,$E$2:E381,E381)&gt;SUMIFS(PEDIDO_ITEMS!$C$2:$C$501,PEDIDO_ITEMS!$A$2:$A$501,C381,PEDIDO_ITEMS!$B$2:$B$501,E381),"EXCEDE PEDIDO","OK"))))))</f>
        <v/>
      </c>
    </row>
    <row r="382">
      <c r="A382" s="9" t="inlineStr"/>
      <c r="B382" s="2" t="inlineStr"/>
      <c r="C382" s="2" t="inlineStr"/>
      <c r="D382" s="2" t="inlineStr"/>
      <c r="E382" s="2">
        <f>IF(D382="","",IFERROR(XLOOKUP(TRIM(D382),INVENTARIO!$A$2:$A$2000,INVENTARIO!$B$2:$B$2000),"NO ENCONTRADO"))</f>
        <v/>
      </c>
      <c r="F382" s="2">
        <f>IF(D382="","",IFERROR(XLOOKUP(TRIM(D382),INVENTARIO!$A$2:$A$2000,INVENTARIO!$C$2:$C$2000),""))</f>
        <v/>
      </c>
      <c r="G382" s="2">
        <f>IF(D382="","",IF(E382="NO ENCONTRADO","CODIGO NO EXISTE",IF(COUNTIF($D$2:D382,D382)&gt;1,"DUPLICADO",IF(C382="","OK SIN PEDIDO",IF(COUNTIFS(PEDIDO_ITEMS!$A$2:$A$501,C382,PEDIDO_ITEMS!$B$2:$B$501,E382)=0,"NO PEDIDO",IF(COUNTIFS($C$2:C382,C382,$E$2:E382,E382)&gt;SUMIFS(PEDIDO_ITEMS!$C$2:$C$501,PEDIDO_ITEMS!$A$2:$A$501,C382,PEDIDO_ITEMS!$B$2:$B$501,E382),"EXCEDE PEDIDO","OK"))))))</f>
        <v/>
      </c>
    </row>
    <row r="383">
      <c r="A383" s="9" t="inlineStr"/>
      <c r="B383" s="2" t="inlineStr"/>
      <c r="C383" s="2" t="inlineStr"/>
      <c r="D383" s="2" t="inlineStr"/>
      <c r="E383" s="2">
        <f>IF(D383="","",IFERROR(XLOOKUP(TRIM(D383),INVENTARIO!$A$2:$A$2000,INVENTARIO!$B$2:$B$2000),"NO ENCONTRADO"))</f>
        <v/>
      </c>
      <c r="F383" s="2">
        <f>IF(D383="","",IFERROR(XLOOKUP(TRIM(D383),INVENTARIO!$A$2:$A$2000,INVENTARIO!$C$2:$C$2000),""))</f>
        <v/>
      </c>
      <c r="G383" s="2">
        <f>IF(D383="","",IF(E383="NO ENCONTRADO","CODIGO NO EXISTE",IF(COUNTIF($D$2:D383,D383)&gt;1,"DUPLICADO",IF(C383="","OK SIN PEDIDO",IF(COUNTIFS(PEDIDO_ITEMS!$A$2:$A$501,C383,PEDIDO_ITEMS!$B$2:$B$501,E383)=0,"NO PEDIDO",IF(COUNTIFS($C$2:C383,C383,$E$2:E383,E383)&gt;SUMIFS(PEDIDO_ITEMS!$C$2:$C$501,PEDIDO_ITEMS!$A$2:$A$501,C383,PEDIDO_ITEMS!$B$2:$B$501,E383),"EXCEDE PEDIDO","OK"))))))</f>
        <v/>
      </c>
    </row>
    <row r="384">
      <c r="A384" s="9" t="inlineStr"/>
      <c r="B384" s="2" t="inlineStr"/>
      <c r="C384" s="2" t="inlineStr"/>
      <c r="D384" s="2" t="inlineStr"/>
      <c r="E384" s="2">
        <f>IF(D384="","",IFERROR(XLOOKUP(TRIM(D384),INVENTARIO!$A$2:$A$2000,INVENTARIO!$B$2:$B$2000),"NO ENCONTRADO"))</f>
        <v/>
      </c>
      <c r="F384" s="2">
        <f>IF(D384="","",IFERROR(XLOOKUP(TRIM(D384),INVENTARIO!$A$2:$A$2000,INVENTARIO!$C$2:$C$2000),""))</f>
        <v/>
      </c>
      <c r="G384" s="2">
        <f>IF(D384="","",IF(E384="NO ENCONTRADO","CODIGO NO EXISTE",IF(COUNTIF($D$2:D384,D384)&gt;1,"DUPLICADO",IF(C384="","OK SIN PEDIDO",IF(COUNTIFS(PEDIDO_ITEMS!$A$2:$A$501,C384,PEDIDO_ITEMS!$B$2:$B$501,E384)=0,"NO PEDIDO",IF(COUNTIFS($C$2:C384,C384,$E$2:E384,E384)&gt;SUMIFS(PEDIDO_ITEMS!$C$2:$C$501,PEDIDO_ITEMS!$A$2:$A$501,C384,PEDIDO_ITEMS!$B$2:$B$501,E384),"EXCEDE PEDIDO","OK"))))))</f>
        <v/>
      </c>
    </row>
    <row r="385">
      <c r="A385" s="9" t="inlineStr"/>
      <c r="B385" s="2" t="inlineStr"/>
      <c r="C385" s="2" t="inlineStr"/>
      <c r="D385" s="2" t="inlineStr"/>
      <c r="E385" s="2">
        <f>IF(D385="","",IFERROR(XLOOKUP(TRIM(D385),INVENTARIO!$A$2:$A$2000,INVENTARIO!$B$2:$B$2000),"NO ENCONTRADO"))</f>
        <v/>
      </c>
      <c r="F385" s="2">
        <f>IF(D385="","",IFERROR(XLOOKUP(TRIM(D385),INVENTARIO!$A$2:$A$2000,INVENTARIO!$C$2:$C$2000),""))</f>
        <v/>
      </c>
      <c r="G385" s="2">
        <f>IF(D385="","",IF(E385="NO ENCONTRADO","CODIGO NO EXISTE",IF(COUNTIF($D$2:D385,D385)&gt;1,"DUPLICADO",IF(C385="","OK SIN PEDIDO",IF(COUNTIFS(PEDIDO_ITEMS!$A$2:$A$501,C385,PEDIDO_ITEMS!$B$2:$B$501,E385)=0,"NO PEDIDO",IF(COUNTIFS($C$2:C385,C385,$E$2:E385,E385)&gt;SUMIFS(PEDIDO_ITEMS!$C$2:$C$501,PEDIDO_ITEMS!$A$2:$A$501,C385,PEDIDO_ITEMS!$B$2:$B$501,E385),"EXCEDE PEDIDO","OK"))))))</f>
        <v/>
      </c>
    </row>
    <row r="386">
      <c r="A386" s="9" t="inlineStr"/>
      <c r="B386" s="2" t="inlineStr"/>
      <c r="C386" s="2" t="inlineStr"/>
      <c r="D386" s="2" t="inlineStr"/>
      <c r="E386" s="2">
        <f>IF(D386="","",IFERROR(XLOOKUP(TRIM(D386),INVENTARIO!$A$2:$A$2000,INVENTARIO!$B$2:$B$2000),"NO ENCONTRADO"))</f>
        <v/>
      </c>
      <c r="F386" s="2">
        <f>IF(D386="","",IFERROR(XLOOKUP(TRIM(D386),INVENTARIO!$A$2:$A$2000,INVENTARIO!$C$2:$C$2000),""))</f>
        <v/>
      </c>
      <c r="G386" s="2">
        <f>IF(D386="","",IF(E386="NO ENCONTRADO","CODIGO NO EXISTE",IF(COUNTIF($D$2:D386,D386)&gt;1,"DUPLICADO",IF(C386="","OK SIN PEDIDO",IF(COUNTIFS(PEDIDO_ITEMS!$A$2:$A$501,C386,PEDIDO_ITEMS!$B$2:$B$501,E386)=0,"NO PEDIDO",IF(COUNTIFS($C$2:C386,C386,$E$2:E386,E386)&gt;SUMIFS(PEDIDO_ITEMS!$C$2:$C$501,PEDIDO_ITEMS!$A$2:$A$501,C386,PEDIDO_ITEMS!$B$2:$B$501,E386),"EXCEDE PEDIDO","OK"))))))</f>
        <v/>
      </c>
    </row>
    <row r="387">
      <c r="A387" s="9" t="inlineStr"/>
      <c r="B387" s="2" t="inlineStr"/>
      <c r="C387" s="2" t="inlineStr"/>
      <c r="D387" s="2" t="inlineStr"/>
      <c r="E387" s="2">
        <f>IF(D387="","",IFERROR(XLOOKUP(TRIM(D387),INVENTARIO!$A$2:$A$2000,INVENTARIO!$B$2:$B$2000),"NO ENCONTRADO"))</f>
        <v/>
      </c>
      <c r="F387" s="2">
        <f>IF(D387="","",IFERROR(XLOOKUP(TRIM(D387),INVENTARIO!$A$2:$A$2000,INVENTARIO!$C$2:$C$2000),""))</f>
        <v/>
      </c>
      <c r="G387" s="2">
        <f>IF(D387="","",IF(E387="NO ENCONTRADO","CODIGO NO EXISTE",IF(COUNTIF($D$2:D387,D387)&gt;1,"DUPLICADO",IF(C387="","OK SIN PEDIDO",IF(COUNTIFS(PEDIDO_ITEMS!$A$2:$A$501,C387,PEDIDO_ITEMS!$B$2:$B$501,E387)=0,"NO PEDIDO",IF(COUNTIFS($C$2:C387,C387,$E$2:E387,E387)&gt;SUMIFS(PEDIDO_ITEMS!$C$2:$C$501,PEDIDO_ITEMS!$A$2:$A$501,C387,PEDIDO_ITEMS!$B$2:$B$501,E387),"EXCEDE PEDIDO","OK"))))))</f>
        <v/>
      </c>
    </row>
    <row r="388">
      <c r="A388" s="9" t="inlineStr"/>
      <c r="B388" s="2" t="inlineStr"/>
      <c r="C388" s="2" t="inlineStr"/>
      <c r="D388" s="2" t="inlineStr"/>
      <c r="E388" s="2">
        <f>IF(D388="","",IFERROR(XLOOKUP(TRIM(D388),INVENTARIO!$A$2:$A$2000,INVENTARIO!$B$2:$B$2000),"NO ENCONTRADO"))</f>
        <v/>
      </c>
      <c r="F388" s="2">
        <f>IF(D388="","",IFERROR(XLOOKUP(TRIM(D388),INVENTARIO!$A$2:$A$2000,INVENTARIO!$C$2:$C$2000),""))</f>
        <v/>
      </c>
      <c r="G388" s="2">
        <f>IF(D388="","",IF(E388="NO ENCONTRADO","CODIGO NO EXISTE",IF(COUNTIF($D$2:D388,D388)&gt;1,"DUPLICADO",IF(C388="","OK SIN PEDIDO",IF(COUNTIFS(PEDIDO_ITEMS!$A$2:$A$501,C388,PEDIDO_ITEMS!$B$2:$B$501,E388)=0,"NO PEDIDO",IF(COUNTIFS($C$2:C388,C388,$E$2:E388,E388)&gt;SUMIFS(PEDIDO_ITEMS!$C$2:$C$501,PEDIDO_ITEMS!$A$2:$A$501,C388,PEDIDO_ITEMS!$B$2:$B$501,E388),"EXCEDE PEDIDO","OK"))))))</f>
        <v/>
      </c>
    </row>
    <row r="389">
      <c r="A389" s="9" t="inlineStr"/>
      <c r="B389" s="2" t="inlineStr"/>
      <c r="C389" s="2" t="inlineStr"/>
      <c r="D389" s="2" t="inlineStr"/>
      <c r="E389" s="2">
        <f>IF(D389="","",IFERROR(XLOOKUP(TRIM(D389),INVENTARIO!$A$2:$A$2000,INVENTARIO!$B$2:$B$2000),"NO ENCONTRADO"))</f>
        <v/>
      </c>
      <c r="F389" s="2">
        <f>IF(D389="","",IFERROR(XLOOKUP(TRIM(D389),INVENTARIO!$A$2:$A$2000,INVENTARIO!$C$2:$C$2000),""))</f>
        <v/>
      </c>
      <c r="G389" s="2">
        <f>IF(D389="","",IF(E389="NO ENCONTRADO","CODIGO NO EXISTE",IF(COUNTIF($D$2:D389,D389)&gt;1,"DUPLICADO",IF(C389="","OK SIN PEDIDO",IF(COUNTIFS(PEDIDO_ITEMS!$A$2:$A$501,C389,PEDIDO_ITEMS!$B$2:$B$501,E389)=0,"NO PEDIDO",IF(COUNTIFS($C$2:C389,C389,$E$2:E389,E389)&gt;SUMIFS(PEDIDO_ITEMS!$C$2:$C$501,PEDIDO_ITEMS!$A$2:$A$501,C389,PEDIDO_ITEMS!$B$2:$B$501,E389),"EXCEDE PEDIDO","OK"))))))</f>
        <v/>
      </c>
    </row>
    <row r="390">
      <c r="A390" s="9" t="inlineStr"/>
      <c r="B390" s="2" t="inlineStr"/>
      <c r="C390" s="2" t="inlineStr"/>
      <c r="D390" s="2" t="inlineStr"/>
      <c r="E390" s="2">
        <f>IF(D390="","",IFERROR(XLOOKUP(TRIM(D390),INVENTARIO!$A$2:$A$2000,INVENTARIO!$B$2:$B$2000),"NO ENCONTRADO"))</f>
        <v/>
      </c>
      <c r="F390" s="2">
        <f>IF(D390="","",IFERROR(XLOOKUP(TRIM(D390),INVENTARIO!$A$2:$A$2000,INVENTARIO!$C$2:$C$2000),""))</f>
        <v/>
      </c>
      <c r="G390" s="2">
        <f>IF(D390="","",IF(E390="NO ENCONTRADO","CODIGO NO EXISTE",IF(COUNTIF($D$2:D390,D390)&gt;1,"DUPLICADO",IF(C390="","OK SIN PEDIDO",IF(COUNTIFS(PEDIDO_ITEMS!$A$2:$A$501,C390,PEDIDO_ITEMS!$B$2:$B$501,E390)=0,"NO PEDIDO",IF(COUNTIFS($C$2:C390,C390,$E$2:E390,E390)&gt;SUMIFS(PEDIDO_ITEMS!$C$2:$C$501,PEDIDO_ITEMS!$A$2:$A$501,C390,PEDIDO_ITEMS!$B$2:$B$501,E390),"EXCEDE PEDIDO","OK"))))))</f>
        <v/>
      </c>
    </row>
    <row r="391">
      <c r="A391" s="9" t="inlineStr"/>
      <c r="B391" s="2" t="inlineStr"/>
      <c r="C391" s="2" t="inlineStr"/>
      <c r="D391" s="2" t="inlineStr"/>
      <c r="E391" s="2">
        <f>IF(D391="","",IFERROR(XLOOKUP(TRIM(D391),INVENTARIO!$A$2:$A$2000,INVENTARIO!$B$2:$B$2000),"NO ENCONTRADO"))</f>
        <v/>
      </c>
      <c r="F391" s="2">
        <f>IF(D391="","",IFERROR(XLOOKUP(TRIM(D391),INVENTARIO!$A$2:$A$2000,INVENTARIO!$C$2:$C$2000),""))</f>
        <v/>
      </c>
      <c r="G391" s="2">
        <f>IF(D391="","",IF(E391="NO ENCONTRADO","CODIGO NO EXISTE",IF(COUNTIF($D$2:D391,D391)&gt;1,"DUPLICADO",IF(C391="","OK SIN PEDIDO",IF(COUNTIFS(PEDIDO_ITEMS!$A$2:$A$501,C391,PEDIDO_ITEMS!$B$2:$B$501,E391)=0,"NO PEDIDO",IF(COUNTIFS($C$2:C391,C391,$E$2:E391,E391)&gt;SUMIFS(PEDIDO_ITEMS!$C$2:$C$501,PEDIDO_ITEMS!$A$2:$A$501,C391,PEDIDO_ITEMS!$B$2:$B$501,E391),"EXCEDE PEDIDO","OK"))))))</f>
        <v/>
      </c>
    </row>
    <row r="392">
      <c r="A392" s="9" t="inlineStr"/>
      <c r="B392" s="2" t="inlineStr"/>
      <c r="C392" s="2" t="inlineStr"/>
      <c r="D392" s="2" t="inlineStr"/>
      <c r="E392" s="2">
        <f>IF(D392="","",IFERROR(XLOOKUP(TRIM(D392),INVENTARIO!$A$2:$A$2000,INVENTARIO!$B$2:$B$2000),"NO ENCONTRADO"))</f>
        <v/>
      </c>
      <c r="F392" s="2">
        <f>IF(D392="","",IFERROR(XLOOKUP(TRIM(D392),INVENTARIO!$A$2:$A$2000,INVENTARIO!$C$2:$C$2000),""))</f>
        <v/>
      </c>
      <c r="G392" s="2">
        <f>IF(D392="","",IF(E392="NO ENCONTRADO","CODIGO NO EXISTE",IF(COUNTIF($D$2:D392,D392)&gt;1,"DUPLICADO",IF(C392="","OK SIN PEDIDO",IF(COUNTIFS(PEDIDO_ITEMS!$A$2:$A$501,C392,PEDIDO_ITEMS!$B$2:$B$501,E392)=0,"NO PEDIDO",IF(COUNTIFS($C$2:C392,C392,$E$2:E392,E392)&gt;SUMIFS(PEDIDO_ITEMS!$C$2:$C$501,PEDIDO_ITEMS!$A$2:$A$501,C392,PEDIDO_ITEMS!$B$2:$B$501,E392),"EXCEDE PEDIDO","OK"))))))</f>
        <v/>
      </c>
    </row>
    <row r="393">
      <c r="A393" s="9" t="inlineStr"/>
      <c r="B393" s="2" t="inlineStr"/>
      <c r="C393" s="2" t="inlineStr"/>
      <c r="D393" s="2" t="inlineStr"/>
      <c r="E393" s="2">
        <f>IF(D393="","",IFERROR(XLOOKUP(TRIM(D393),INVENTARIO!$A$2:$A$2000,INVENTARIO!$B$2:$B$2000),"NO ENCONTRADO"))</f>
        <v/>
      </c>
      <c r="F393" s="2">
        <f>IF(D393="","",IFERROR(XLOOKUP(TRIM(D393),INVENTARIO!$A$2:$A$2000,INVENTARIO!$C$2:$C$2000),""))</f>
        <v/>
      </c>
      <c r="G393" s="2">
        <f>IF(D393="","",IF(E393="NO ENCONTRADO","CODIGO NO EXISTE",IF(COUNTIF($D$2:D393,D393)&gt;1,"DUPLICADO",IF(C393="","OK SIN PEDIDO",IF(COUNTIFS(PEDIDO_ITEMS!$A$2:$A$501,C393,PEDIDO_ITEMS!$B$2:$B$501,E393)=0,"NO PEDIDO",IF(COUNTIFS($C$2:C393,C393,$E$2:E393,E393)&gt;SUMIFS(PEDIDO_ITEMS!$C$2:$C$501,PEDIDO_ITEMS!$A$2:$A$501,C393,PEDIDO_ITEMS!$B$2:$B$501,E393),"EXCEDE PEDIDO","OK"))))))</f>
        <v/>
      </c>
    </row>
    <row r="394">
      <c r="A394" s="9" t="inlineStr"/>
      <c r="B394" s="2" t="inlineStr"/>
      <c r="C394" s="2" t="inlineStr"/>
      <c r="D394" s="2" t="inlineStr"/>
      <c r="E394" s="2">
        <f>IF(D394="","",IFERROR(XLOOKUP(TRIM(D394),INVENTARIO!$A$2:$A$2000,INVENTARIO!$B$2:$B$2000),"NO ENCONTRADO"))</f>
        <v/>
      </c>
      <c r="F394" s="2">
        <f>IF(D394="","",IFERROR(XLOOKUP(TRIM(D394),INVENTARIO!$A$2:$A$2000,INVENTARIO!$C$2:$C$2000),""))</f>
        <v/>
      </c>
      <c r="G394" s="2">
        <f>IF(D394="","",IF(E394="NO ENCONTRADO","CODIGO NO EXISTE",IF(COUNTIF($D$2:D394,D394)&gt;1,"DUPLICADO",IF(C394="","OK SIN PEDIDO",IF(COUNTIFS(PEDIDO_ITEMS!$A$2:$A$501,C394,PEDIDO_ITEMS!$B$2:$B$501,E394)=0,"NO PEDIDO",IF(COUNTIFS($C$2:C394,C394,$E$2:E394,E394)&gt;SUMIFS(PEDIDO_ITEMS!$C$2:$C$501,PEDIDO_ITEMS!$A$2:$A$501,C394,PEDIDO_ITEMS!$B$2:$B$501,E394),"EXCEDE PEDIDO","OK"))))))</f>
        <v/>
      </c>
    </row>
    <row r="395">
      <c r="A395" s="9" t="inlineStr"/>
      <c r="B395" s="2" t="inlineStr"/>
      <c r="C395" s="2" t="inlineStr"/>
      <c r="D395" s="2" t="inlineStr"/>
      <c r="E395" s="2">
        <f>IF(D395="","",IFERROR(XLOOKUP(TRIM(D395),INVENTARIO!$A$2:$A$2000,INVENTARIO!$B$2:$B$2000),"NO ENCONTRADO"))</f>
        <v/>
      </c>
      <c r="F395" s="2">
        <f>IF(D395="","",IFERROR(XLOOKUP(TRIM(D395),INVENTARIO!$A$2:$A$2000,INVENTARIO!$C$2:$C$2000),""))</f>
        <v/>
      </c>
      <c r="G395" s="2">
        <f>IF(D395="","",IF(E395="NO ENCONTRADO","CODIGO NO EXISTE",IF(COUNTIF($D$2:D395,D395)&gt;1,"DUPLICADO",IF(C395="","OK SIN PEDIDO",IF(COUNTIFS(PEDIDO_ITEMS!$A$2:$A$501,C395,PEDIDO_ITEMS!$B$2:$B$501,E395)=0,"NO PEDIDO",IF(COUNTIFS($C$2:C395,C395,$E$2:E395,E395)&gt;SUMIFS(PEDIDO_ITEMS!$C$2:$C$501,PEDIDO_ITEMS!$A$2:$A$501,C395,PEDIDO_ITEMS!$B$2:$B$501,E395),"EXCEDE PEDIDO","OK"))))))</f>
        <v/>
      </c>
    </row>
    <row r="396">
      <c r="A396" s="9" t="inlineStr"/>
      <c r="B396" s="2" t="inlineStr"/>
      <c r="C396" s="2" t="inlineStr"/>
      <c r="D396" s="2" t="inlineStr"/>
      <c r="E396" s="2">
        <f>IF(D396="","",IFERROR(XLOOKUP(TRIM(D396),INVENTARIO!$A$2:$A$2000,INVENTARIO!$B$2:$B$2000),"NO ENCONTRADO"))</f>
        <v/>
      </c>
      <c r="F396" s="2">
        <f>IF(D396="","",IFERROR(XLOOKUP(TRIM(D396),INVENTARIO!$A$2:$A$2000,INVENTARIO!$C$2:$C$2000),""))</f>
        <v/>
      </c>
      <c r="G396" s="2">
        <f>IF(D396="","",IF(E396="NO ENCONTRADO","CODIGO NO EXISTE",IF(COUNTIF($D$2:D396,D396)&gt;1,"DUPLICADO",IF(C396="","OK SIN PEDIDO",IF(COUNTIFS(PEDIDO_ITEMS!$A$2:$A$501,C396,PEDIDO_ITEMS!$B$2:$B$501,E396)=0,"NO PEDIDO",IF(COUNTIFS($C$2:C396,C396,$E$2:E396,E396)&gt;SUMIFS(PEDIDO_ITEMS!$C$2:$C$501,PEDIDO_ITEMS!$A$2:$A$501,C396,PEDIDO_ITEMS!$B$2:$B$501,E396),"EXCEDE PEDIDO","OK"))))))</f>
        <v/>
      </c>
    </row>
    <row r="397">
      <c r="A397" s="9" t="inlineStr"/>
      <c r="B397" s="2" t="inlineStr"/>
      <c r="C397" s="2" t="inlineStr"/>
      <c r="D397" s="2" t="inlineStr"/>
      <c r="E397" s="2">
        <f>IF(D397="","",IFERROR(XLOOKUP(TRIM(D397),INVENTARIO!$A$2:$A$2000,INVENTARIO!$B$2:$B$2000),"NO ENCONTRADO"))</f>
        <v/>
      </c>
      <c r="F397" s="2">
        <f>IF(D397="","",IFERROR(XLOOKUP(TRIM(D397),INVENTARIO!$A$2:$A$2000,INVENTARIO!$C$2:$C$2000),""))</f>
        <v/>
      </c>
      <c r="G397" s="2">
        <f>IF(D397="","",IF(E397="NO ENCONTRADO","CODIGO NO EXISTE",IF(COUNTIF($D$2:D397,D397)&gt;1,"DUPLICADO",IF(C397="","OK SIN PEDIDO",IF(COUNTIFS(PEDIDO_ITEMS!$A$2:$A$501,C397,PEDIDO_ITEMS!$B$2:$B$501,E397)=0,"NO PEDIDO",IF(COUNTIFS($C$2:C397,C397,$E$2:E397,E397)&gt;SUMIFS(PEDIDO_ITEMS!$C$2:$C$501,PEDIDO_ITEMS!$A$2:$A$501,C397,PEDIDO_ITEMS!$B$2:$B$501,E397),"EXCEDE PEDIDO","OK"))))))</f>
        <v/>
      </c>
    </row>
    <row r="398">
      <c r="A398" s="9" t="inlineStr"/>
      <c r="B398" s="2" t="inlineStr"/>
      <c r="C398" s="2" t="inlineStr"/>
      <c r="D398" s="2" t="inlineStr"/>
      <c r="E398" s="2">
        <f>IF(D398="","",IFERROR(XLOOKUP(TRIM(D398),INVENTARIO!$A$2:$A$2000,INVENTARIO!$B$2:$B$2000),"NO ENCONTRADO"))</f>
        <v/>
      </c>
      <c r="F398" s="2">
        <f>IF(D398="","",IFERROR(XLOOKUP(TRIM(D398),INVENTARIO!$A$2:$A$2000,INVENTARIO!$C$2:$C$2000),""))</f>
        <v/>
      </c>
      <c r="G398" s="2">
        <f>IF(D398="","",IF(E398="NO ENCONTRADO","CODIGO NO EXISTE",IF(COUNTIF($D$2:D398,D398)&gt;1,"DUPLICADO",IF(C398="","OK SIN PEDIDO",IF(COUNTIFS(PEDIDO_ITEMS!$A$2:$A$501,C398,PEDIDO_ITEMS!$B$2:$B$501,E398)=0,"NO PEDIDO",IF(COUNTIFS($C$2:C398,C398,$E$2:E398,E398)&gt;SUMIFS(PEDIDO_ITEMS!$C$2:$C$501,PEDIDO_ITEMS!$A$2:$A$501,C398,PEDIDO_ITEMS!$B$2:$B$501,E398),"EXCEDE PEDIDO","OK"))))))</f>
        <v/>
      </c>
    </row>
    <row r="399">
      <c r="A399" s="9" t="inlineStr"/>
      <c r="B399" s="2" t="inlineStr"/>
      <c r="C399" s="2" t="inlineStr"/>
      <c r="D399" s="2" t="inlineStr"/>
      <c r="E399" s="2">
        <f>IF(D399="","",IFERROR(XLOOKUP(TRIM(D399),INVENTARIO!$A$2:$A$2000,INVENTARIO!$B$2:$B$2000),"NO ENCONTRADO"))</f>
        <v/>
      </c>
      <c r="F399" s="2">
        <f>IF(D399="","",IFERROR(XLOOKUP(TRIM(D399),INVENTARIO!$A$2:$A$2000,INVENTARIO!$C$2:$C$2000),""))</f>
        <v/>
      </c>
      <c r="G399" s="2">
        <f>IF(D399="","",IF(E399="NO ENCONTRADO","CODIGO NO EXISTE",IF(COUNTIF($D$2:D399,D399)&gt;1,"DUPLICADO",IF(C399="","OK SIN PEDIDO",IF(COUNTIFS(PEDIDO_ITEMS!$A$2:$A$501,C399,PEDIDO_ITEMS!$B$2:$B$501,E399)=0,"NO PEDIDO",IF(COUNTIFS($C$2:C399,C399,$E$2:E399,E399)&gt;SUMIFS(PEDIDO_ITEMS!$C$2:$C$501,PEDIDO_ITEMS!$A$2:$A$501,C399,PEDIDO_ITEMS!$B$2:$B$501,E399),"EXCEDE PEDIDO","OK"))))))</f>
        <v/>
      </c>
    </row>
    <row r="400">
      <c r="A400" s="9" t="inlineStr"/>
      <c r="B400" s="2" t="inlineStr"/>
      <c r="C400" s="2" t="inlineStr"/>
      <c r="D400" s="2" t="inlineStr"/>
      <c r="E400" s="2">
        <f>IF(D400="","",IFERROR(XLOOKUP(TRIM(D400),INVENTARIO!$A$2:$A$2000,INVENTARIO!$B$2:$B$2000),"NO ENCONTRADO"))</f>
        <v/>
      </c>
      <c r="F400" s="2">
        <f>IF(D400="","",IFERROR(XLOOKUP(TRIM(D400),INVENTARIO!$A$2:$A$2000,INVENTARIO!$C$2:$C$2000),""))</f>
        <v/>
      </c>
      <c r="G400" s="2">
        <f>IF(D400="","",IF(E400="NO ENCONTRADO","CODIGO NO EXISTE",IF(COUNTIF($D$2:D400,D400)&gt;1,"DUPLICADO",IF(C400="","OK SIN PEDIDO",IF(COUNTIFS(PEDIDO_ITEMS!$A$2:$A$501,C400,PEDIDO_ITEMS!$B$2:$B$501,E400)=0,"NO PEDIDO",IF(COUNTIFS($C$2:C400,C400,$E$2:E400,E400)&gt;SUMIFS(PEDIDO_ITEMS!$C$2:$C$501,PEDIDO_ITEMS!$A$2:$A$501,C400,PEDIDO_ITEMS!$B$2:$B$501,E400),"EXCEDE PEDIDO","OK"))))))</f>
        <v/>
      </c>
    </row>
    <row r="401">
      <c r="A401" s="9" t="inlineStr"/>
      <c r="B401" s="2" t="inlineStr"/>
      <c r="C401" s="2" t="inlineStr"/>
      <c r="D401" s="2" t="inlineStr"/>
      <c r="E401" s="2">
        <f>IF(D401="","",IFERROR(XLOOKUP(TRIM(D401),INVENTARIO!$A$2:$A$2000,INVENTARIO!$B$2:$B$2000),"NO ENCONTRADO"))</f>
        <v/>
      </c>
      <c r="F401" s="2">
        <f>IF(D401="","",IFERROR(XLOOKUP(TRIM(D401),INVENTARIO!$A$2:$A$2000,INVENTARIO!$C$2:$C$2000),""))</f>
        <v/>
      </c>
      <c r="G401" s="2">
        <f>IF(D401="","",IF(E401="NO ENCONTRADO","CODIGO NO EXISTE",IF(COUNTIF($D$2:D401,D401)&gt;1,"DUPLICADO",IF(C401="","OK SIN PEDIDO",IF(COUNTIFS(PEDIDO_ITEMS!$A$2:$A$501,C401,PEDIDO_ITEMS!$B$2:$B$501,E401)=0,"NO PEDIDO",IF(COUNTIFS($C$2:C401,C401,$E$2:E401,E401)&gt;SUMIFS(PEDIDO_ITEMS!$C$2:$C$501,PEDIDO_ITEMS!$A$2:$A$501,C401,PEDIDO_ITEMS!$B$2:$B$501,E401),"EXCEDE PEDIDO","OK"))))))</f>
        <v/>
      </c>
    </row>
    <row r="402">
      <c r="A402" s="9" t="inlineStr"/>
      <c r="B402" s="2" t="inlineStr"/>
      <c r="C402" s="2" t="inlineStr"/>
      <c r="D402" s="2" t="inlineStr"/>
      <c r="E402" s="2">
        <f>IF(D402="","",IFERROR(XLOOKUP(TRIM(D402),INVENTARIO!$A$2:$A$2000,INVENTARIO!$B$2:$B$2000),"NO ENCONTRADO"))</f>
        <v/>
      </c>
      <c r="F402" s="2">
        <f>IF(D402="","",IFERROR(XLOOKUP(TRIM(D402),INVENTARIO!$A$2:$A$2000,INVENTARIO!$C$2:$C$2000),""))</f>
        <v/>
      </c>
      <c r="G402" s="2">
        <f>IF(D402="","",IF(E402="NO ENCONTRADO","CODIGO NO EXISTE",IF(COUNTIF($D$2:D402,D402)&gt;1,"DUPLICADO",IF(C402="","OK SIN PEDIDO",IF(COUNTIFS(PEDIDO_ITEMS!$A$2:$A$501,C402,PEDIDO_ITEMS!$B$2:$B$501,E402)=0,"NO PEDIDO",IF(COUNTIFS($C$2:C402,C402,$E$2:E402,E402)&gt;SUMIFS(PEDIDO_ITEMS!$C$2:$C$501,PEDIDO_ITEMS!$A$2:$A$501,C402,PEDIDO_ITEMS!$B$2:$B$501,E402),"EXCEDE PEDIDO","OK"))))))</f>
        <v/>
      </c>
    </row>
    <row r="403">
      <c r="A403" s="9" t="inlineStr"/>
      <c r="B403" s="2" t="inlineStr"/>
      <c r="C403" s="2" t="inlineStr"/>
      <c r="D403" s="2" t="inlineStr"/>
      <c r="E403" s="2">
        <f>IF(D403="","",IFERROR(XLOOKUP(TRIM(D403),INVENTARIO!$A$2:$A$2000,INVENTARIO!$B$2:$B$2000),"NO ENCONTRADO"))</f>
        <v/>
      </c>
      <c r="F403" s="2">
        <f>IF(D403="","",IFERROR(XLOOKUP(TRIM(D403),INVENTARIO!$A$2:$A$2000,INVENTARIO!$C$2:$C$2000),""))</f>
        <v/>
      </c>
      <c r="G403" s="2">
        <f>IF(D403="","",IF(E403="NO ENCONTRADO","CODIGO NO EXISTE",IF(COUNTIF($D$2:D403,D403)&gt;1,"DUPLICADO",IF(C403="","OK SIN PEDIDO",IF(COUNTIFS(PEDIDO_ITEMS!$A$2:$A$501,C403,PEDIDO_ITEMS!$B$2:$B$501,E403)=0,"NO PEDIDO",IF(COUNTIFS($C$2:C403,C403,$E$2:E403,E403)&gt;SUMIFS(PEDIDO_ITEMS!$C$2:$C$501,PEDIDO_ITEMS!$A$2:$A$501,C403,PEDIDO_ITEMS!$B$2:$B$501,E403),"EXCEDE PEDIDO","OK"))))))</f>
        <v/>
      </c>
    </row>
    <row r="404">
      <c r="A404" s="9" t="inlineStr"/>
      <c r="B404" s="2" t="inlineStr"/>
      <c r="C404" s="2" t="inlineStr"/>
      <c r="D404" s="2" t="inlineStr"/>
      <c r="E404" s="2">
        <f>IF(D404="","",IFERROR(XLOOKUP(TRIM(D404),INVENTARIO!$A$2:$A$2000,INVENTARIO!$B$2:$B$2000),"NO ENCONTRADO"))</f>
        <v/>
      </c>
      <c r="F404" s="2">
        <f>IF(D404="","",IFERROR(XLOOKUP(TRIM(D404),INVENTARIO!$A$2:$A$2000,INVENTARIO!$C$2:$C$2000),""))</f>
        <v/>
      </c>
      <c r="G404" s="2">
        <f>IF(D404="","",IF(E404="NO ENCONTRADO","CODIGO NO EXISTE",IF(COUNTIF($D$2:D404,D404)&gt;1,"DUPLICADO",IF(C404="","OK SIN PEDIDO",IF(COUNTIFS(PEDIDO_ITEMS!$A$2:$A$501,C404,PEDIDO_ITEMS!$B$2:$B$501,E404)=0,"NO PEDIDO",IF(COUNTIFS($C$2:C404,C404,$E$2:E404,E404)&gt;SUMIFS(PEDIDO_ITEMS!$C$2:$C$501,PEDIDO_ITEMS!$A$2:$A$501,C404,PEDIDO_ITEMS!$B$2:$B$501,E404),"EXCEDE PEDIDO","OK"))))))</f>
        <v/>
      </c>
    </row>
    <row r="405">
      <c r="A405" s="9" t="inlineStr"/>
      <c r="B405" s="2" t="inlineStr"/>
      <c r="C405" s="2" t="inlineStr"/>
      <c r="D405" s="2" t="inlineStr"/>
      <c r="E405" s="2">
        <f>IF(D405="","",IFERROR(XLOOKUP(TRIM(D405),INVENTARIO!$A$2:$A$2000,INVENTARIO!$B$2:$B$2000),"NO ENCONTRADO"))</f>
        <v/>
      </c>
      <c r="F405" s="2">
        <f>IF(D405="","",IFERROR(XLOOKUP(TRIM(D405),INVENTARIO!$A$2:$A$2000,INVENTARIO!$C$2:$C$2000),""))</f>
        <v/>
      </c>
      <c r="G405" s="2">
        <f>IF(D405="","",IF(E405="NO ENCONTRADO","CODIGO NO EXISTE",IF(COUNTIF($D$2:D405,D405)&gt;1,"DUPLICADO",IF(C405="","OK SIN PEDIDO",IF(COUNTIFS(PEDIDO_ITEMS!$A$2:$A$501,C405,PEDIDO_ITEMS!$B$2:$B$501,E405)=0,"NO PEDIDO",IF(COUNTIFS($C$2:C405,C405,$E$2:E405,E405)&gt;SUMIFS(PEDIDO_ITEMS!$C$2:$C$501,PEDIDO_ITEMS!$A$2:$A$501,C405,PEDIDO_ITEMS!$B$2:$B$501,E405),"EXCEDE PEDIDO","OK"))))))</f>
        <v/>
      </c>
    </row>
    <row r="406">
      <c r="A406" s="9" t="inlineStr"/>
      <c r="B406" s="2" t="inlineStr"/>
      <c r="C406" s="2" t="inlineStr"/>
      <c r="D406" s="2" t="inlineStr"/>
      <c r="E406" s="2">
        <f>IF(D406="","",IFERROR(XLOOKUP(TRIM(D406),INVENTARIO!$A$2:$A$2000,INVENTARIO!$B$2:$B$2000),"NO ENCONTRADO"))</f>
        <v/>
      </c>
      <c r="F406" s="2">
        <f>IF(D406="","",IFERROR(XLOOKUP(TRIM(D406),INVENTARIO!$A$2:$A$2000,INVENTARIO!$C$2:$C$2000),""))</f>
        <v/>
      </c>
      <c r="G406" s="2">
        <f>IF(D406="","",IF(E406="NO ENCONTRADO","CODIGO NO EXISTE",IF(COUNTIF($D$2:D406,D406)&gt;1,"DUPLICADO",IF(C406="","OK SIN PEDIDO",IF(COUNTIFS(PEDIDO_ITEMS!$A$2:$A$501,C406,PEDIDO_ITEMS!$B$2:$B$501,E406)=0,"NO PEDIDO",IF(COUNTIFS($C$2:C406,C406,$E$2:E406,E406)&gt;SUMIFS(PEDIDO_ITEMS!$C$2:$C$501,PEDIDO_ITEMS!$A$2:$A$501,C406,PEDIDO_ITEMS!$B$2:$B$501,E406),"EXCEDE PEDIDO","OK"))))))</f>
        <v/>
      </c>
    </row>
    <row r="407">
      <c r="A407" s="9" t="inlineStr"/>
      <c r="B407" s="2" t="inlineStr"/>
      <c r="C407" s="2" t="inlineStr"/>
      <c r="D407" s="2" t="inlineStr"/>
      <c r="E407" s="2">
        <f>IF(D407="","",IFERROR(XLOOKUP(TRIM(D407),INVENTARIO!$A$2:$A$2000,INVENTARIO!$B$2:$B$2000),"NO ENCONTRADO"))</f>
        <v/>
      </c>
      <c r="F407" s="2">
        <f>IF(D407="","",IFERROR(XLOOKUP(TRIM(D407),INVENTARIO!$A$2:$A$2000,INVENTARIO!$C$2:$C$2000),""))</f>
        <v/>
      </c>
      <c r="G407" s="2">
        <f>IF(D407="","",IF(E407="NO ENCONTRADO","CODIGO NO EXISTE",IF(COUNTIF($D$2:D407,D407)&gt;1,"DUPLICADO",IF(C407="","OK SIN PEDIDO",IF(COUNTIFS(PEDIDO_ITEMS!$A$2:$A$501,C407,PEDIDO_ITEMS!$B$2:$B$501,E407)=0,"NO PEDIDO",IF(COUNTIFS($C$2:C407,C407,$E$2:E407,E407)&gt;SUMIFS(PEDIDO_ITEMS!$C$2:$C$501,PEDIDO_ITEMS!$A$2:$A$501,C407,PEDIDO_ITEMS!$B$2:$B$501,E407),"EXCEDE PEDIDO","OK"))))))</f>
        <v/>
      </c>
    </row>
    <row r="408">
      <c r="A408" s="9" t="inlineStr"/>
      <c r="B408" s="2" t="inlineStr"/>
      <c r="C408" s="2" t="inlineStr"/>
      <c r="D408" s="2" t="inlineStr"/>
      <c r="E408" s="2">
        <f>IF(D408="","",IFERROR(XLOOKUP(TRIM(D408),INVENTARIO!$A$2:$A$2000,INVENTARIO!$B$2:$B$2000),"NO ENCONTRADO"))</f>
        <v/>
      </c>
      <c r="F408" s="2">
        <f>IF(D408="","",IFERROR(XLOOKUP(TRIM(D408),INVENTARIO!$A$2:$A$2000,INVENTARIO!$C$2:$C$2000),""))</f>
        <v/>
      </c>
      <c r="G408" s="2">
        <f>IF(D408="","",IF(E408="NO ENCONTRADO","CODIGO NO EXISTE",IF(COUNTIF($D$2:D408,D408)&gt;1,"DUPLICADO",IF(C408="","OK SIN PEDIDO",IF(COUNTIFS(PEDIDO_ITEMS!$A$2:$A$501,C408,PEDIDO_ITEMS!$B$2:$B$501,E408)=0,"NO PEDIDO",IF(COUNTIFS($C$2:C408,C408,$E$2:E408,E408)&gt;SUMIFS(PEDIDO_ITEMS!$C$2:$C$501,PEDIDO_ITEMS!$A$2:$A$501,C408,PEDIDO_ITEMS!$B$2:$B$501,E408),"EXCEDE PEDIDO","OK"))))))</f>
        <v/>
      </c>
    </row>
    <row r="409">
      <c r="A409" s="9" t="inlineStr"/>
      <c r="B409" s="2" t="inlineStr"/>
      <c r="C409" s="2" t="inlineStr"/>
      <c r="D409" s="2" t="inlineStr"/>
      <c r="E409" s="2">
        <f>IF(D409="","",IFERROR(XLOOKUP(TRIM(D409),INVENTARIO!$A$2:$A$2000,INVENTARIO!$B$2:$B$2000),"NO ENCONTRADO"))</f>
        <v/>
      </c>
      <c r="F409" s="2">
        <f>IF(D409="","",IFERROR(XLOOKUP(TRIM(D409),INVENTARIO!$A$2:$A$2000,INVENTARIO!$C$2:$C$2000),""))</f>
        <v/>
      </c>
      <c r="G409" s="2">
        <f>IF(D409="","",IF(E409="NO ENCONTRADO","CODIGO NO EXISTE",IF(COUNTIF($D$2:D409,D409)&gt;1,"DUPLICADO",IF(C409="","OK SIN PEDIDO",IF(COUNTIFS(PEDIDO_ITEMS!$A$2:$A$501,C409,PEDIDO_ITEMS!$B$2:$B$501,E409)=0,"NO PEDIDO",IF(COUNTIFS($C$2:C409,C409,$E$2:E409,E409)&gt;SUMIFS(PEDIDO_ITEMS!$C$2:$C$501,PEDIDO_ITEMS!$A$2:$A$501,C409,PEDIDO_ITEMS!$B$2:$B$501,E409),"EXCEDE PEDIDO","OK"))))))</f>
        <v/>
      </c>
    </row>
    <row r="410">
      <c r="A410" s="9" t="inlineStr"/>
      <c r="B410" s="2" t="inlineStr"/>
      <c r="C410" s="2" t="inlineStr"/>
      <c r="D410" s="2" t="inlineStr"/>
      <c r="E410" s="2">
        <f>IF(D410="","",IFERROR(XLOOKUP(TRIM(D410),INVENTARIO!$A$2:$A$2000,INVENTARIO!$B$2:$B$2000),"NO ENCONTRADO"))</f>
        <v/>
      </c>
      <c r="F410" s="2">
        <f>IF(D410="","",IFERROR(XLOOKUP(TRIM(D410),INVENTARIO!$A$2:$A$2000,INVENTARIO!$C$2:$C$2000),""))</f>
        <v/>
      </c>
      <c r="G410" s="2">
        <f>IF(D410="","",IF(E410="NO ENCONTRADO","CODIGO NO EXISTE",IF(COUNTIF($D$2:D410,D410)&gt;1,"DUPLICADO",IF(C410="","OK SIN PEDIDO",IF(COUNTIFS(PEDIDO_ITEMS!$A$2:$A$501,C410,PEDIDO_ITEMS!$B$2:$B$501,E410)=0,"NO PEDIDO",IF(COUNTIFS($C$2:C410,C410,$E$2:E410,E410)&gt;SUMIFS(PEDIDO_ITEMS!$C$2:$C$501,PEDIDO_ITEMS!$A$2:$A$501,C410,PEDIDO_ITEMS!$B$2:$B$501,E410),"EXCEDE PEDIDO","OK"))))))</f>
        <v/>
      </c>
    </row>
    <row r="411">
      <c r="A411" s="9" t="inlineStr"/>
      <c r="B411" s="2" t="inlineStr"/>
      <c r="C411" s="2" t="inlineStr"/>
      <c r="D411" s="2" t="inlineStr"/>
      <c r="E411" s="2">
        <f>IF(D411="","",IFERROR(XLOOKUP(TRIM(D411),INVENTARIO!$A$2:$A$2000,INVENTARIO!$B$2:$B$2000),"NO ENCONTRADO"))</f>
        <v/>
      </c>
      <c r="F411" s="2">
        <f>IF(D411="","",IFERROR(XLOOKUP(TRIM(D411),INVENTARIO!$A$2:$A$2000,INVENTARIO!$C$2:$C$2000),""))</f>
        <v/>
      </c>
      <c r="G411" s="2">
        <f>IF(D411="","",IF(E411="NO ENCONTRADO","CODIGO NO EXISTE",IF(COUNTIF($D$2:D411,D411)&gt;1,"DUPLICADO",IF(C411="","OK SIN PEDIDO",IF(COUNTIFS(PEDIDO_ITEMS!$A$2:$A$501,C411,PEDIDO_ITEMS!$B$2:$B$501,E411)=0,"NO PEDIDO",IF(COUNTIFS($C$2:C411,C411,$E$2:E411,E411)&gt;SUMIFS(PEDIDO_ITEMS!$C$2:$C$501,PEDIDO_ITEMS!$A$2:$A$501,C411,PEDIDO_ITEMS!$B$2:$B$501,E411),"EXCEDE PEDIDO","OK"))))))</f>
        <v/>
      </c>
    </row>
    <row r="412">
      <c r="A412" s="9" t="inlineStr"/>
      <c r="B412" s="2" t="inlineStr"/>
      <c r="C412" s="2" t="inlineStr"/>
      <c r="D412" s="2" t="inlineStr"/>
      <c r="E412" s="2">
        <f>IF(D412="","",IFERROR(XLOOKUP(TRIM(D412),INVENTARIO!$A$2:$A$2000,INVENTARIO!$B$2:$B$2000),"NO ENCONTRADO"))</f>
        <v/>
      </c>
      <c r="F412" s="2">
        <f>IF(D412="","",IFERROR(XLOOKUP(TRIM(D412),INVENTARIO!$A$2:$A$2000,INVENTARIO!$C$2:$C$2000),""))</f>
        <v/>
      </c>
      <c r="G412" s="2">
        <f>IF(D412="","",IF(E412="NO ENCONTRADO","CODIGO NO EXISTE",IF(COUNTIF($D$2:D412,D412)&gt;1,"DUPLICADO",IF(C412="","OK SIN PEDIDO",IF(COUNTIFS(PEDIDO_ITEMS!$A$2:$A$501,C412,PEDIDO_ITEMS!$B$2:$B$501,E412)=0,"NO PEDIDO",IF(COUNTIFS($C$2:C412,C412,$E$2:E412,E412)&gt;SUMIFS(PEDIDO_ITEMS!$C$2:$C$501,PEDIDO_ITEMS!$A$2:$A$501,C412,PEDIDO_ITEMS!$B$2:$B$501,E412),"EXCEDE PEDIDO","OK"))))))</f>
        <v/>
      </c>
    </row>
    <row r="413">
      <c r="A413" s="9" t="inlineStr"/>
      <c r="B413" s="2" t="inlineStr"/>
      <c r="C413" s="2" t="inlineStr"/>
      <c r="D413" s="2" t="inlineStr"/>
      <c r="E413" s="2">
        <f>IF(D413="","",IFERROR(XLOOKUP(TRIM(D413),INVENTARIO!$A$2:$A$2000,INVENTARIO!$B$2:$B$2000),"NO ENCONTRADO"))</f>
        <v/>
      </c>
      <c r="F413" s="2">
        <f>IF(D413="","",IFERROR(XLOOKUP(TRIM(D413),INVENTARIO!$A$2:$A$2000,INVENTARIO!$C$2:$C$2000),""))</f>
        <v/>
      </c>
      <c r="G413" s="2">
        <f>IF(D413="","",IF(E413="NO ENCONTRADO","CODIGO NO EXISTE",IF(COUNTIF($D$2:D413,D413)&gt;1,"DUPLICADO",IF(C413="","OK SIN PEDIDO",IF(COUNTIFS(PEDIDO_ITEMS!$A$2:$A$501,C413,PEDIDO_ITEMS!$B$2:$B$501,E413)=0,"NO PEDIDO",IF(COUNTIFS($C$2:C413,C413,$E$2:E413,E413)&gt;SUMIFS(PEDIDO_ITEMS!$C$2:$C$501,PEDIDO_ITEMS!$A$2:$A$501,C413,PEDIDO_ITEMS!$B$2:$B$501,E413),"EXCEDE PEDIDO","OK"))))))</f>
        <v/>
      </c>
    </row>
    <row r="414">
      <c r="A414" s="9" t="inlineStr"/>
      <c r="B414" s="2" t="inlineStr"/>
      <c r="C414" s="2" t="inlineStr"/>
      <c r="D414" s="2" t="inlineStr"/>
      <c r="E414" s="2">
        <f>IF(D414="","",IFERROR(XLOOKUP(TRIM(D414),INVENTARIO!$A$2:$A$2000,INVENTARIO!$B$2:$B$2000),"NO ENCONTRADO"))</f>
        <v/>
      </c>
      <c r="F414" s="2">
        <f>IF(D414="","",IFERROR(XLOOKUP(TRIM(D414),INVENTARIO!$A$2:$A$2000,INVENTARIO!$C$2:$C$2000),""))</f>
        <v/>
      </c>
      <c r="G414" s="2">
        <f>IF(D414="","",IF(E414="NO ENCONTRADO","CODIGO NO EXISTE",IF(COUNTIF($D$2:D414,D414)&gt;1,"DUPLICADO",IF(C414="","OK SIN PEDIDO",IF(COUNTIFS(PEDIDO_ITEMS!$A$2:$A$501,C414,PEDIDO_ITEMS!$B$2:$B$501,E414)=0,"NO PEDIDO",IF(COUNTIFS($C$2:C414,C414,$E$2:E414,E414)&gt;SUMIFS(PEDIDO_ITEMS!$C$2:$C$501,PEDIDO_ITEMS!$A$2:$A$501,C414,PEDIDO_ITEMS!$B$2:$B$501,E414),"EXCEDE PEDIDO","OK"))))))</f>
        <v/>
      </c>
    </row>
    <row r="415">
      <c r="A415" s="9" t="inlineStr"/>
      <c r="B415" s="2" t="inlineStr"/>
      <c r="C415" s="2" t="inlineStr"/>
      <c r="D415" s="2" t="inlineStr"/>
      <c r="E415" s="2">
        <f>IF(D415="","",IFERROR(XLOOKUP(TRIM(D415),INVENTARIO!$A$2:$A$2000,INVENTARIO!$B$2:$B$2000),"NO ENCONTRADO"))</f>
        <v/>
      </c>
      <c r="F415" s="2">
        <f>IF(D415="","",IFERROR(XLOOKUP(TRIM(D415),INVENTARIO!$A$2:$A$2000,INVENTARIO!$C$2:$C$2000),""))</f>
        <v/>
      </c>
      <c r="G415" s="2">
        <f>IF(D415="","",IF(E415="NO ENCONTRADO","CODIGO NO EXISTE",IF(COUNTIF($D$2:D415,D415)&gt;1,"DUPLICADO",IF(C415="","OK SIN PEDIDO",IF(COUNTIFS(PEDIDO_ITEMS!$A$2:$A$501,C415,PEDIDO_ITEMS!$B$2:$B$501,E415)=0,"NO PEDIDO",IF(COUNTIFS($C$2:C415,C415,$E$2:E415,E415)&gt;SUMIFS(PEDIDO_ITEMS!$C$2:$C$501,PEDIDO_ITEMS!$A$2:$A$501,C415,PEDIDO_ITEMS!$B$2:$B$501,E415),"EXCEDE PEDIDO","OK"))))))</f>
        <v/>
      </c>
    </row>
    <row r="416">
      <c r="A416" s="9" t="inlineStr"/>
      <c r="B416" s="2" t="inlineStr"/>
      <c r="C416" s="2" t="inlineStr"/>
      <c r="D416" s="2" t="inlineStr"/>
      <c r="E416" s="2">
        <f>IF(D416="","",IFERROR(XLOOKUP(TRIM(D416),INVENTARIO!$A$2:$A$2000,INVENTARIO!$B$2:$B$2000),"NO ENCONTRADO"))</f>
        <v/>
      </c>
      <c r="F416" s="2">
        <f>IF(D416="","",IFERROR(XLOOKUP(TRIM(D416),INVENTARIO!$A$2:$A$2000,INVENTARIO!$C$2:$C$2000),""))</f>
        <v/>
      </c>
      <c r="G416" s="2">
        <f>IF(D416="","",IF(E416="NO ENCONTRADO","CODIGO NO EXISTE",IF(COUNTIF($D$2:D416,D416)&gt;1,"DUPLICADO",IF(C416="","OK SIN PEDIDO",IF(COUNTIFS(PEDIDO_ITEMS!$A$2:$A$501,C416,PEDIDO_ITEMS!$B$2:$B$501,E416)=0,"NO PEDIDO",IF(COUNTIFS($C$2:C416,C416,$E$2:E416,E416)&gt;SUMIFS(PEDIDO_ITEMS!$C$2:$C$501,PEDIDO_ITEMS!$A$2:$A$501,C416,PEDIDO_ITEMS!$B$2:$B$501,E416),"EXCEDE PEDIDO","OK"))))))</f>
        <v/>
      </c>
    </row>
    <row r="417">
      <c r="A417" s="9" t="inlineStr"/>
      <c r="B417" s="2" t="inlineStr"/>
      <c r="C417" s="2" t="inlineStr"/>
      <c r="D417" s="2" t="inlineStr"/>
      <c r="E417" s="2">
        <f>IF(D417="","",IFERROR(XLOOKUP(TRIM(D417),INVENTARIO!$A$2:$A$2000,INVENTARIO!$B$2:$B$2000),"NO ENCONTRADO"))</f>
        <v/>
      </c>
      <c r="F417" s="2">
        <f>IF(D417="","",IFERROR(XLOOKUP(TRIM(D417),INVENTARIO!$A$2:$A$2000,INVENTARIO!$C$2:$C$2000),""))</f>
        <v/>
      </c>
      <c r="G417" s="2">
        <f>IF(D417="","",IF(E417="NO ENCONTRADO","CODIGO NO EXISTE",IF(COUNTIF($D$2:D417,D417)&gt;1,"DUPLICADO",IF(C417="","OK SIN PEDIDO",IF(COUNTIFS(PEDIDO_ITEMS!$A$2:$A$501,C417,PEDIDO_ITEMS!$B$2:$B$501,E417)=0,"NO PEDIDO",IF(COUNTIFS($C$2:C417,C417,$E$2:E417,E417)&gt;SUMIFS(PEDIDO_ITEMS!$C$2:$C$501,PEDIDO_ITEMS!$A$2:$A$501,C417,PEDIDO_ITEMS!$B$2:$B$501,E417),"EXCEDE PEDIDO","OK"))))))</f>
        <v/>
      </c>
    </row>
    <row r="418">
      <c r="A418" s="9" t="inlineStr"/>
      <c r="B418" s="2" t="inlineStr"/>
      <c r="C418" s="2" t="inlineStr"/>
      <c r="D418" s="2" t="inlineStr"/>
      <c r="E418" s="2">
        <f>IF(D418="","",IFERROR(XLOOKUP(TRIM(D418),INVENTARIO!$A$2:$A$2000,INVENTARIO!$B$2:$B$2000),"NO ENCONTRADO"))</f>
        <v/>
      </c>
      <c r="F418" s="2">
        <f>IF(D418="","",IFERROR(XLOOKUP(TRIM(D418),INVENTARIO!$A$2:$A$2000,INVENTARIO!$C$2:$C$2000),""))</f>
        <v/>
      </c>
      <c r="G418" s="2">
        <f>IF(D418="","",IF(E418="NO ENCONTRADO","CODIGO NO EXISTE",IF(COUNTIF($D$2:D418,D418)&gt;1,"DUPLICADO",IF(C418="","OK SIN PEDIDO",IF(COUNTIFS(PEDIDO_ITEMS!$A$2:$A$501,C418,PEDIDO_ITEMS!$B$2:$B$501,E418)=0,"NO PEDIDO",IF(COUNTIFS($C$2:C418,C418,$E$2:E418,E418)&gt;SUMIFS(PEDIDO_ITEMS!$C$2:$C$501,PEDIDO_ITEMS!$A$2:$A$501,C418,PEDIDO_ITEMS!$B$2:$B$501,E418),"EXCEDE PEDIDO","OK"))))))</f>
        <v/>
      </c>
    </row>
    <row r="419">
      <c r="A419" s="9" t="inlineStr"/>
      <c r="B419" s="2" t="inlineStr"/>
      <c r="C419" s="2" t="inlineStr"/>
      <c r="D419" s="2" t="inlineStr"/>
      <c r="E419" s="2">
        <f>IF(D419="","",IFERROR(XLOOKUP(TRIM(D419),INVENTARIO!$A$2:$A$2000,INVENTARIO!$B$2:$B$2000),"NO ENCONTRADO"))</f>
        <v/>
      </c>
      <c r="F419" s="2">
        <f>IF(D419="","",IFERROR(XLOOKUP(TRIM(D419),INVENTARIO!$A$2:$A$2000,INVENTARIO!$C$2:$C$2000),""))</f>
        <v/>
      </c>
      <c r="G419" s="2">
        <f>IF(D419="","",IF(E419="NO ENCONTRADO","CODIGO NO EXISTE",IF(COUNTIF($D$2:D419,D419)&gt;1,"DUPLICADO",IF(C419="","OK SIN PEDIDO",IF(COUNTIFS(PEDIDO_ITEMS!$A$2:$A$501,C419,PEDIDO_ITEMS!$B$2:$B$501,E419)=0,"NO PEDIDO",IF(COUNTIFS($C$2:C419,C419,$E$2:E419,E419)&gt;SUMIFS(PEDIDO_ITEMS!$C$2:$C$501,PEDIDO_ITEMS!$A$2:$A$501,C419,PEDIDO_ITEMS!$B$2:$B$501,E419),"EXCEDE PEDIDO","OK"))))))</f>
        <v/>
      </c>
    </row>
    <row r="420">
      <c r="A420" s="9" t="inlineStr"/>
      <c r="B420" s="2" t="inlineStr"/>
      <c r="C420" s="2" t="inlineStr"/>
      <c r="D420" s="2" t="inlineStr"/>
      <c r="E420" s="2">
        <f>IF(D420="","",IFERROR(XLOOKUP(TRIM(D420),INVENTARIO!$A$2:$A$2000,INVENTARIO!$B$2:$B$2000),"NO ENCONTRADO"))</f>
        <v/>
      </c>
      <c r="F420" s="2">
        <f>IF(D420="","",IFERROR(XLOOKUP(TRIM(D420),INVENTARIO!$A$2:$A$2000,INVENTARIO!$C$2:$C$2000),""))</f>
        <v/>
      </c>
      <c r="G420" s="2">
        <f>IF(D420="","",IF(E420="NO ENCONTRADO","CODIGO NO EXISTE",IF(COUNTIF($D$2:D420,D420)&gt;1,"DUPLICADO",IF(C420="","OK SIN PEDIDO",IF(COUNTIFS(PEDIDO_ITEMS!$A$2:$A$501,C420,PEDIDO_ITEMS!$B$2:$B$501,E420)=0,"NO PEDIDO",IF(COUNTIFS($C$2:C420,C420,$E$2:E420,E420)&gt;SUMIFS(PEDIDO_ITEMS!$C$2:$C$501,PEDIDO_ITEMS!$A$2:$A$501,C420,PEDIDO_ITEMS!$B$2:$B$501,E420),"EXCEDE PEDIDO","OK"))))))</f>
        <v/>
      </c>
    </row>
    <row r="421">
      <c r="A421" s="9" t="inlineStr"/>
      <c r="B421" s="2" t="inlineStr"/>
      <c r="C421" s="2" t="inlineStr"/>
      <c r="D421" s="2" t="inlineStr"/>
      <c r="E421" s="2">
        <f>IF(D421="","",IFERROR(XLOOKUP(TRIM(D421),INVENTARIO!$A$2:$A$2000,INVENTARIO!$B$2:$B$2000),"NO ENCONTRADO"))</f>
        <v/>
      </c>
      <c r="F421" s="2">
        <f>IF(D421="","",IFERROR(XLOOKUP(TRIM(D421),INVENTARIO!$A$2:$A$2000,INVENTARIO!$C$2:$C$2000),""))</f>
        <v/>
      </c>
      <c r="G421" s="2">
        <f>IF(D421="","",IF(E421="NO ENCONTRADO","CODIGO NO EXISTE",IF(COUNTIF($D$2:D421,D421)&gt;1,"DUPLICADO",IF(C421="","OK SIN PEDIDO",IF(COUNTIFS(PEDIDO_ITEMS!$A$2:$A$501,C421,PEDIDO_ITEMS!$B$2:$B$501,E421)=0,"NO PEDIDO",IF(COUNTIFS($C$2:C421,C421,$E$2:E421,E421)&gt;SUMIFS(PEDIDO_ITEMS!$C$2:$C$501,PEDIDO_ITEMS!$A$2:$A$501,C421,PEDIDO_ITEMS!$B$2:$B$501,E421),"EXCEDE PEDIDO","OK"))))))</f>
        <v/>
      </c>
    </row>
    <row r="422">
      <c r="A422" s="9" t="inlineStr"/>
      <c r="B422" s="2" t="inlineStr"/>
      <c r="C422" s="2" t="inlineStr"/>
      <c r="D422" s="2" t="inlineStr"/>
      <c r="E422" s="2">
        <f>IF(D422="","",IFERROR(XLOOKUP(TRIM(D422),INVENTARIO!$A$2:$A$2000,INVENTARIO!$B$2:$B$2000),"NO ENCONTRADO"))</f>
        <v/>
      </c>
      <c r="F422" s="2">
        <f>IF(D422="","",IFERROR(XLOOKUP(TRIM(D422),INVENTARIO!$A$2:$A$2000,INVENTARIO!$C$2:$C$2000),""))</f>
        <v/>
      </c>
      <c r="G422" s="2">
        <f>IF(D422="","",IF(E422="NO ENCONTRADO","CODIGO NO EXISTE",IF(COUNTIF($D$2:D422,D422)&gt;1,"DUPLICADO",IF(C422="","OK SIN PEDIDO",IF(COUNTIFS(PEDIDO_ITEMS!$A$2:$A$501,C422,PEDIDO_ITEMS!$B$2:$B$501,E422)=0,"NO PEDIDO",IF(COUNTIFS($C$2:C422,C422,$E$2:E422,E422)&gt;SUMIFS(PEDIDO_ITEMS!$C$2:$C$501,PEDIDO_ITEMS!$A$2:$A$501,C422,PEDIDO_ITEMS!$B$2:$B$501,E422),"EXCEDE PEDIDO","OK"))))))</f>
        <v/>
      </c>
    </row>
    <row r="423">
      <c r="A423" s="9" t="inlineStr"/>
      <c r="B423" s="2" t="inlineStr"/>
      <c r="C423" s="2" t="inlineStr"/>
      <c r="D423" s="2" t="inlineStr"/>
      <c r="E423" s="2">
        <f>IF(D423="","",IFERROR(XLOOKUP(TRIM(D423),INVENTARIO!$A$2:$A$2000,INVENTARIO!$B$2:$B$2000),"NO ENCONTRADO"))</f>
        <v/>
      </c>
      <c r="F423" s="2">
        <f>IF(D423="","",IFERROR(XLOOKUP(TRIM(D423),INVENTARIO!$A$2:$A$2000,INVENTARIO!$C$2:$C$2000),""))</f>
        <v/>
      </c>
      <c r="G423" s="2">
        <f>IF(D423="","",IF(E423="NO ENCONTRADO","CODIGO NO EXISTE",IF(COUNTIF($D$2:D423,D423)&gt;1,"DUPLICADO",IF(C423="","OK SIN PEDIDO",IF(COUNTIFS(PEDIDO_ITEMS!$A$2:$A$501,C423,PEDIDO_ITEMS!$B$2:$B$501,E423)=0,"NO PEDIDO",IF(COUNTIFS($C$2:C423,C423,$E$2:E423,E423)&gt;SUMIFS(PEDIDO_ITEMS!$C$2:$C$501,PEDIDO_ITEMS!$A$2:$A$501,C423,PEDIDO_ITEMS!$B$2:$B$501,E423),"EXCEDE PEDIDO","OK"))))))</f>
        <v/>
      </c>
    </row>
    <row r="424">
      <c r="A424" s="9" t="inlineStr"/>
      <c r="B424" s="2" t="inlineStr"/>
      <c r="C424" s="2" t="inlineStr"/>
      <c r="D424" s="2" t="inlineStr"/>
      <c r="E424" s="2">
        <f>IF(D424="","",IFERROR(XLOOKUP(TRIM(D424),INVENTARIO!$A$2:$A$2000,INVENTARIO!$B$2:$B$2000),"NO ENCONTRADO"))</f>
        <v/>
      </c>
      <c r="F424" s="2">
        <f>IF(D424="","",IFERROR(XLOOKUP(TRIM(D424),INVENTARIO!$A$2:$A$2000,INVENTARIO!$C$2:$C$2000),""))</f>
        <v/>
      </c>
      <c r="G424" s="2">
        <f>IF(D424="","",IF(E424="NO ENCONTRADO","CODIGO NO EXISTE",IF(COUNTIF($D$2:D424,D424)&gt;1,"DUPLICADO",IF(C424="","OK SIN PEDIDO",IF(COUNTIFS(PEDIDO_ITEMS!$A$2:$A$501,C424,PEDIDO_ITEMS!$B$2:$B$501,E424)=0,"NO PEDIDO",IF(COUNTIFS($C$2:C424,C424,$E$2:E424,E424)&gt;SUMIFS(PEDIDO_ITEMS!$C$2:$C$501,PEDIDO_ITEMS!$A$2:$A$501,C424,PEDIDO_ITEMS!$B$2:$B$501,E424),"EXCEDE PEDIDO","OK"))))))</f>
        <v/>
      </c>
    </row>
    <row r="425">
      <c r="A425" s="9" t="inlineStr"/>
      <c r="B425" s="2" t="inlineStr"/>
      <c r="C425" s="2" t="inlineStr"/>
      <c r="D425" s="2" t="inlineStr"/>
      <c r="E425" s="2">
        <f>IF(D425="","",IFERROR(XLOOKUP(TRIM(D425),INVENTARIO!$A$2:$A$2000,INVENTARIO!$B$2:$B$2000),"NO ENCONTRADO"))</f>
        <v/>
      </c>
      <c r="F425" s="2">
        <f>IF(D425="","",IFERROR(XLOOKUP(TRIM(D425),INVENTARIO!$A$2:$A$2000,INVENTARIO!$C$2:$C$2000),""))</f>
        <v/>
      </c>
      <c r="G425" s="2">
        <f>IF(D425="","",IF(E425="NO ENCONTRADO","CODIGO NO EXISTE",IF(COUNTIF($D$2:D425,D425)&gt;1,"DUPLICADO",IF(C425="","OK SIN PEDIDO",IF(COUNTIFS(PEDIDO_ITEMS!$A$2:$A$501,C425,PEDIDO_ITEMS!$B$2:$B$501,E425)=0,"NO PEDIDO",IF(COUNTIFS($C$2:C425,C425,$E$2:E425,E425)&gt;SUMIFS(PEDIDO_ITEMS!$C$2:$C$501,PEDIDO_ITEMS!$A$2:$A$501,C425,PEDIDO_ITEMS!$B$2:$B$501,E425),"EXCEDE PEDIDO","OK"))))))</f>
        <v/>
      </c>
    </row>
    <row r="426">
      <c r="A426" s="9" t="inlineStr"/>
      <c r="B426" s="2" t="inlineStr"/>
      <c r="C426" s="2" t="inlineStr"/>
      <c r="D426" s="2" t="inlineStr"/>
      <c r="E426" s="2">
        <f>IF(D426="","",IFERROR(XLOOKUP(TRIM(D426),INVENTARIO!$A$2:$A$2000,INVENTARIO!$B$2:$B$2000),"NO ENCONTRADO"))</f>
        <v/>
      </c>
      <c r="F426" s="2">
        <f>IF(D426="","",IFERROR(XLOOKUP(TRIM(D426),INVENTARIO!$A$2:$A$2000,INVENTARIO!$C$2:$C$2000),""))</f>
        <v/>
      </c>
      <c r="G426" s="2">
        <f>IF(D426="","",IF(E426="NO ENCONTRADO","CODIGO NO EXISTE",IF(COUNTIF($D$2:D426,D426)&gt;1,"DUPLICADO",IF(C426="","OK SIN PEDIDO",IF(COUNTIFS(PEDIDO_ITEMS!$A$2:$A$501,C426,PEDIDO_ITEMS!$B$2:$B$501,E426)=0,"NO PEDIDO",IF(COUNTIFS($C$2:C426,C426,$E$2:E426,E426)&gt;SUMIFS(PEDIDO_ITEMS!$C$2:$C$501,PEDIDO_ITEMS!$A$2:$A$501,C426,PEDIDO_ITEMS!$B$2:$B$501,E426),"EXCEDE PEDIDO","OK"))))))</f>
        <v/>
      </c>
    </row>
    <row r="427">
      <c r="A427" s="9" t="inlineStr"/>
      <c r="B427" s="2" t="inlineStr"/>
      <c r="C427" s="2" t="inlineStr"/>
      <c r="D427" s="2" t="inlineStr"/>
      <c r="E427" s="2">
        <f>IF(D427="","",IFERROR(XLOOKUP(TRIM(D427),INVENTARIO!$A$2:$A$2000,INVENTARIO!$B$2:$B$2000),"NO ENCONTRADO"))</f>
        <v/>
      </c>
      <c r="F427" s="2">
        <f>IF(D427="","",IFERROR(XLOOKUP(TRIM(D427),INVENTARIO!$A$2:$A$2000,INVENTARIO!$C$2:$C$2000),""))</f>
        <v/>
      </c>
      <c r="G427" s="2">
        <f>IF(D427="","",IF(E427="NO ENCONTRADO","CODIGO NO EXISTE",IF(COUNTIF($D$2:D427,D427)&gt;1,"DUPLICADO",IF(C427="","OK SIN PEDIDO",IF(COUNTIFS(PEDIDO_ITEMS!$A$2:$A$501,C427,PEDIDO_ITEMS!$B$2:$B$501,E427)=0,"NO PEDIDO",IF(COUNTIFS($C$2:C427,C427,$E$2:E427,E427)&gt;SUMIFS(PEDIDO_ITEMS!$C$2:$C$501,PEDIDO_ITEMS!$A$2:$A$501,C427,PEDIDO_ITEMS!$B$2:$B$501,E427),"EXCEDE PEDIDO","OK"))))))</f>
        <v/>
      </c>
    </row>
    <row r="428">
      <c r="A428" s="9" t="inlineStr"/>
      <c r="B428" s="2" t="inlineStr"/>
      <c r="C428" s="2" t="inlineStr"/>
      <c r="D428" s="2" t="inlineStr"/>
      <c r="E428" s="2">
        <f>IF(D428="","",IFERROR(XLOOKUP(TRIM(D428),INVENTARIO!$A$2:$A$2000,INVENTARIO!$B$2:$B$2000),"NO ENCONTRADO"))</f>
        <v/>
      </c>
      <c r="F428" s="2">
        <f>IF(D428="","",IFERROR(XLOOKUP(TRIM(D428),INVENTARIO!$A$2:$A$2000,INVENTARIO!$C$2:$C$2000),""))</f>
        <v/>
      </c>
      <c r="G428" s="2">
        <f>IF(D428="","",IF(E428="NO ENCONTRADO","CODIGO NO EXISTE",IF(COUNTIF($D$2:D428,D428)&gt;1,"DUPLICADO",IF(C428="","OK SIN PEDIDO",IF(COUNTIFS(PEDIDO_ITEMS!$A$2:$A$501,C428,PEDIDO_ITEMS!$B$2:$B$501,E428)=0,"NO PEDIDO",IF(COUNTIFS($C$2:C428,C428,$E$2:E428,E428)&gt;SUMIFS(PEDIDO_ITEMS!$C$2:$C$501,PEDIDO_ITEMS!$A$2:$A$501,C428,PEDIDO_ITEMS!$B$2:$B$501,E428),"EXCEDE PEDIDO","OK"))))))</f>
        <v/>
      </c>
    </row>
    <row r="429">
      <c r="A429" s="9" t="inlineStr"/>
      <c r="B429" s="2" t="inlineStr"/>
      <c r="C429" s="2" t="inlineStr"/>
      <c r="D429" s="2" t="inlineStr"/>
      <c r="E429" s="2">
        <f>IF(D429="","",IFERROR(XLOOKUP(TRIM(D429),INVENTARIO!$A$2:$A$2000,INVENTARIO!$B$2:$B$2000),"NO ENCONTRADO"))</f>
        <v/>
      </c>
      <c r="F429" s="2">
        <f>IF(D429="","",IFERROR(XLOOKUP(TRIM(D429),INVENTARIO!$A$2:$A$2000,INVENTARIO!$C$2:$C$2000),""))</f>
        <v/>
      </c>
      <c r="G429" s="2">
        <f>IF(D429="","",IF(E429="NO ENCONTRADO","CODIGO NO EXISTE",IF(COUNTIF($D$2:D429,D429)&gt;1,"DUPLICADO",IF(C429="","OK SIN PEDIDO",IF(COUNTIFS(PEDIDO_ITEMS!$A$2:$A$501,C429,PEDIDO_ITEMS!$B$2:$B$501,E429)=0,"NO PEDIDO",IF(COUNTIFS($C$2:C429,C429,$E$2:E429,E429)&gt;SUMIFS(PEDIDO_ITEMS!$C$2:$C$501,PEDIDO_ITEMS!$A$2:$A$501,C429,PEDIDO_ITEMS!$B$2:$B$501,E429),"EXCEDE PEDIDO","OK"))))))</f>
        <v/>
      </c>
    </row>
    <row r="430">
      <c r="A430" s="9" t="inlineStr"/>
      <c r="B430" s="2" t="inlineStr"/>
      <c r="C430" s="2" t="inlineStr"/>
      <c r="D430" s="2" t="inlineStr"/>
      <c r="E430" s="2">
        <f>IF(D430="","",IFERROR(XLOOKUP(TRIM(D430),INVENTARIO!$A$2:$A$2000,INVENTARIO!$B$2:$B$2000),"NO ENCONTRADO"))</f>
        <v/>
      </c>
      <c r="F430" s="2">
        <f>IF(D430="","",IFERROR(XLOOKUP(TRIM(D430),INVENTARIO!$A$2:$A$2000,INVENTARIO!$C$2:$C$2000),""))</f>
        <v/>
      </c>
      <c r="G430" s="2">
        <f>IF(D430="","",IF(E430="NO ENCONTRADO","CODIGO NO EXISTE",IF(COUNTIF($D$2:D430,D430)&gt;1,"DUPLICADO",IF(C430="","OK SIN PEDIDO",IF(COUNTIFS(PEDIDO_ITEMS!$A$2:$A$501,C430,PEDIDO_ITEMS!$B$2:$B$501,E430)=0,"NO PEDIDO",IF(COUNTIFS($C$2:C430,C430,$E$2:E430,E430)&gt;SUMIFS(PEDIDO_ITEMS!$C$2:$C$501,PEDIDO_ITEMS!$A$2:$A$501,C430,PEDIDO_ITEMS!$B$2:$B$501,E430),"EXCEDE PEDIDO","OK"))))))</f>
        <v/>
      </c>
    </row>
    <row r="431">
      <c r="A431" s="9" t="inlineStr"/>
      <c r="B431" s="2" t="inlineStr"/>
      <c r="C431" s="2" t="inlineStr"/>
      <c r="D431" s="2" t="inlineStr"/>
      <c r="E431" s="2">
        <f>IF(D431="","",IFERROR(XLOOKUP(TRIM(D431),INVENTARIO!$A$2:$A$2000,INVENTARIO!$B$2:$B$2000),"NO ENCONTRADO"))</f>
        <v/>
      </c>
      <c r="F431" s="2">
        <f>IF(D431="","",IFERROR(XLOOKUP(TRIM(D431),INVENTARIO!$A$2:$A$2000,INVENTARIO!$C$2:$C$2000),""))</f>
        <v/>
      </c>
      <c r="G431" s="2">
        <f>IF(D431="","",IF(E431="NO ENCONTRADO","CODIGO NO EXISTE",IF(COUNTIF($D$2:D431,D431)&gt;1,"DUPLICADO",IF(C431="","OK SIN PEDIDO",IF(COUNTIFS(PEDIDO_ITEMS!$A$2:$A$501,C431,PEDIDO_ITEMS!$B$2:$B$501,E431)=0,"NO PEDIDO",IF(COUNTIFS($C$2:C431,C431,$E$2:E431,E431)&gt;SUMIFS(PEDIDO_ITEMS!$C$2:$C$501,PEDIDO_ITEMS!$A$2:$A$501,C431,PEDIDO_ITEMS!$B$2:$B$501,E431),"EXCEDE PEDIDO","OK"))))))</f>
        <v/>
      </c>
    </row>
    <row r="432">
      <c r="A432" s="9" t="inlineStr"/>
      <c r="B432" s="2" t="inlineStr"/>
      <c r="C432" s="2" t="inlineStr"/>
      <c r="D432" s="2" t="inlineStr"/>
      <c r="E432" s="2">
        <f>IF(D432="","",IFERROR(XLOOKUP(TRIM(D432),INVENTARIO!$A$2:$A$2000,INVENTARIO!$B$2:$B$2000),"NO ENCONTRADO"))</f>
        <v/>
      </c>
      <c r="F432" s="2">
        <f>IF(D432="","",IFERROR(XLOOKUP(TRIM(D432),INVENTARIO!$A$2:$A$2000,INVENTARIO!$C$2:$C$2000),""))</f>
        <v/>
      </c>
      <c r="G432" s="2">
        <f>IF(D432="","",IF(E432="NO ENCONTRADO","CODIGO NO EXISTE",IF(COUNTIF($D$2:D432,D432)&gt;1,"DUPLICADO",IF(C432="","OK SIN PEDIDO",IF(COUNTIFS(PEDIDO_ITEMS!$A$2:$A$501,C432,PEDIDO_ITEMS!$B$2:$B$501,E432)=0,"NO PEDIDO",IF(COUNTIFS($C$2:C432,C432,$E$2:E432,E432)&gt;SUMIFS(PEDIDO_ITEMS!$C$2:$C$501,PEDIDO_ITEMS!$A$2:$A$501,C432,PEDIDO_ITEMS!$B$2:$B$501,E432),"EXCEDE PEDIDO","OK"))))))</f>
        <v/>
      </c>
    </row>
    <row r="433">
      <c r="A433" s="9" t="inlineStr"/>
      <c r="B433" s="2" t="inlineStr"/>
      <c r="C433" s="2" t="inlineStr"/>
      <c r="D433" s="2" t="inlineStr"/>
      <c r="E433" s="2">
        <f>IF(D433="","",IFERROR(XLOOKUP(TRIM(D433),INVENTARIO!$A$2:$A$2000,INVENTARIO!$B$2:$B$2000),"NO ENCONTRADO"))</f>
        <v/>
      </c>
      <c r="F433" s="2">
        <f>IF(D433="","",IFERROR(XLOOKUP(TRIM(D433),INVENTARIO!$A$2:$A$2000,INVENTARIO!$C$2:$C$2000),""))</f>
        <v/>
      </c>
      <c r="G433" s="2">
        <f>IF(D433="","",IF(E433="NO ENCONTRADO","CODIGO NO EXISTE",IF(COUNTIF($D$2:D433,D433)&gt;1,"DUPLICADO",IF(C433="","OK SIN PEDIDO",IF(COUNTIFS(PEDIDO_ITEMS!$A$2:$A$501,C433,PEDIDO_ITEMS!$B$2:$B$501,E433)=0,"NO PEDIDO",IF(COUNTIFS($C$2:C433,C433,$E$2:E433,E433)&gt;SUMIFS(PEDIDO_ITEMS!$C$2:$C$501,PEDIDO_ITEMS!$A$2:$A$501,C433,PEDIDO_ITEMS!$B$2:$B$501,E433),"EXCEDE PEDIDO","OK"))))))</f>
        <v/>
      </c>
    </row>
    <row r="434">
      <c r="A434" s="9" t="inlineStr"/>
      <c r="B434" s="2" t="inlineStr"/>
      <c r="C434" s="2" t="inlineStr"/>
      <c r="D434" s="2" t="inlineStr"/>
      <c r="E434" s="2">
        <f>IF(D434="","",IFERROR(XLOOKUP(TRIM(D434),INVENTARIO!$A$2:$A$2000,INVENTARIO!$B$2:$B$2000),"NO ENCONTRADO"))</f>
        <v/>
      </c>
      <c r="F434" s="2">
        <f>IF(D434="","",IFERROR(XLOOKUP(TRIM(D434),INVENTARIO!$A$2:$A$2000,INVENTARIO!$C$2:$C$2000),""))</f>
        <v/>
      </c>
      <c r="G434" s="2">
        <f>IF(D434="","",IF(E434="NO ENCONTRADO","CODIGO NO EXISTE",IF(COUNTIF($D$2:D434,D434)&gt;1,"DUPLICADO",IF(C434="","OK SIN PEDIDO",IF(COUNTIFS(PEDIDO_ITEMS!$A$2:$A$501,C434,PEDIDO_ITEMS!$B$2:$B$501,E434)=0,"NO PEDIDO",IF(COUNTIFS($C$2:C434,C434,$E$2:E434,E434)&gt;SUMIFS(PEDIDO_ITEMS!$C$2:$C$501,PEDIDO_ITEMS!$A$2:$A$501,C434,PEDIDO_ITEMS!$B$2:$B$501,E434),"EXCEDE PEDIDO","OK"))))))</f>
        <v/>
      </c>
    </row>
    <row r="435">
      <c r="A435" s="9" t="inlineStr"/>
      <c r="B435" s="2" t="inlineStr"/>
      <c r="C435" s="2" t="inlineStr"/>
      <c r="D435" s="2" t="inlineStr"/>
      <c r="E435" s="2">
        <f>IF(D435="","",IFERROR(XLOOKUP(TRIM(D435),INVENTARIO!$A$2:$A$2000,INVENTARIO!$B$2:$B$2000),"NO ENCONTRADO"))</f>
        <v/>
      </c>
      <c r="F435" s="2">
        <f>IF(D435="","",IFERROR(XLOOKUP(TRIM(D435),INVENTARIO!$A$2:$A$2000,INVENTARIO!$C$2:$C$2000),""))</f>
        <v/>
      </c>
      <c r="G435" s="2">
        <f>IF(D435="","",IF(E435="NO ENCONTRADO","CODIGO NO EXISTE",IF(COUNTIF($D$2:D435,D435)&gt;1,"DUPLICADO",IF(C435="","OK SIN PEDIDO",IF(COUNTIFS(PEDIDO_ITEMS!$A$2:$A$501,C435,PEDIDO_ITEMS!$B$2:$B$501,E435)=0,"NO PEDIDO",IF(COUNTIFS($C$2:C435,C435,$E$2:E435,E435)&gt;SUMIFS(PEDIDO_ITEMS!$C$2:$C$501,PEDIDO_ITEMS!$A$2:$A$501,C435,PEDIDO_ITEMS!$B$2:$B$501,E435),"EXCEDE PEDIDO","OK"))))))</f>
        <v/>
      </c>
    </row>
    <row r="436">
      <c r="A436" s="9" t="inlineStr"/>
      <c r="B436" s="2" t="inlineStr"/>
      <c r="C436" s="2" t="inlineStr"/>
      <c r="D436" s="2" t="inlineStr"/>
      <c r="E436" s="2">
        <f>IF(D436="","",IFERROR(XLOOKUP(TRIM(D436),INVENTARIO!$A$2:$A$2000,INVENTARIO!$B$2:$B$2000),"NO ENCONTRADO"))</f>
        <v/>
      </c>
      <c r="F436" s="2">
        <f>IF(D436="","",IFERROR(XLOOKUP(TRIM(D436),INVENTARIO!$A$2:$A$2000,INVENTARIO!$C$2:$C$2000),""))</f>
        <v/>
      </c>
      <c r="G436" s="2">
        <f>IF(D436="","",IF(E436="NO ENCONTRADO","CODIGO NO EXISTE",IF(COUNTIF($D$2:D436,D436)&gt;1,"DUPLICADO",IF(C436="","OK SIN PEDIDO",IF(COUNTIFS(PEDIDO_ITEMS!$A$2:$A$501,C436,PEDIDO_ITEMS!$B$2:$B$501,E436)=0,"NO PEDIDO",IF(COUNTIFS($C$2:C436,C436,$E$2:E436,E436)&gt;SUMIFS(PEDIDO_ITEMS!$C$2:$C$501,PEDIDO_ITEMS!$A$2:$A$501,C436,PEDIDO_ITEMS!$B$2:$B$501,E436),"EXCEDE PEDIDO","OK"))))))</f>
        <v/>
      </c>
    </row>
    <row r="437">
      <c r="A437" s="9" t="inlineStr"/>
      <c r="B437" s="2" t="inlineStr"/>
      <c r="C437" s="2" t="inlineStr"/>
      <c r="D437" s="2" t="inlineStr"/>
      <c r="E437" s="2">
        <f>IF(D437="","",IFERROR(XLOOKUP(TRIM(D437),INVENTARIO!$A$2:$A$2000,INVENTARIO!$B$2:$B$2000),"NO ENCONTRADO"))</f>
        <v/>
      </c>
      <c r="F437" s="2">
        <f>IF(D437="","",IFERROR(XLOOKUP(TRIM(D437),INVENTARIO!$A$2:$A$2000,INVENTARIO!$C$2:$C$2000),""))</f>
        <v/>
      </c>
      <c r="G437" s="2">
        <f>IF(D437="","",IF(E437="NO ENCONTRADO","CODIGO NO EXISTE",IF(COUNTIF($D$2:D437,D437)&gt;1,"DUPLICADO",IF(C437="","OK SIN PEDIDO",IF(COUNTIFS(PEDIDO_ITEMS!$A$2:$A$501,C437,PEDIDO_ITEMS!$B$2:$B$501,E437)=0,"NO PEDIDO",IF(COUNTIFS($C$2:C437,C437,$E$2:E437,E437)&gt;SUMIFS(PEDIDO_ITEMS!$C$2:$C$501,PEDIDO_ITEMS!$A$2:$A$501,C437,PEDIDO_ITEMS!$B$2:$B$501,E437),"EXCEDE PEDIDO","OK"))))))</f>
        <v/>
      </c>
    </row>
    <row r="438">
      <c r="A438" s="9" t="inlineStr"/>
      <c r="B438" s="2" t="inlineStr"/>
      <c r="C438" s="2" t="inlineStr"/>
      <c r="D438" s="2" t="inlineStr"/>
      <c r="E438" s="2">
        <f>IF(D438="","",IFERROR(XLOOKUP(TRIM(D438),INVENTARIO!$A$2:$A$2000,INVENTARIO!$B$2:$B$2000),"NO ENCONTRADO"))</f>
        <v/>
      </c>
      <c r="F438" s="2">
        <f>IF(D438="","",IFERROR(XLOOKUP(TRIM(D438),INVENTARIO!$A$2:$A$2000,INVENTARIO!$C$2:$C$2000),""))</f>
        <v/>
      </c>
      <c r="G438" s="2">
        <f>IF(D438="","",IF(E438="NO ENCONTRADO","CODIGO NO EXISTE",IF(COUNTIF($D$2:D438,D438)&gt;1,"DUPLICADO",IF(C438="","OK SIN PEDIDO",IF(COUNTIFS(PEDIDO_ITEMS!$A$2:$A$501,C438,PEDIDO_ITEMS!$B$2:$B$501,E438)=0,"NO PEDIDO",IF(COUNTIFS($C$2:C438,C438,$E$2:E438,E438)&gt;SUMIFS(PEDIDO_ITEMS!$C$2:$C$501,PEDIDO_ITEMS!$A$2:$A$501,C438,PEDIDO_ITEMS!$B$2:$B$501,E438),"EXCEDE PEDIDO","OK"))))))</f>
        <v/>
      </c>
    </row>
    <row r="439">
      <c r="A439" s="9" t="inlineStr"/>
      <c r="B439" s="2" t="inlineStr"/>
      <c r="C439" s="2" t="inlineStr"/>
      <c r="D439" s="2" t="inlineStr"/>
      <c r="E439" s="2">
        <f>IF(D439="","",IFERROR(XLOOKUP(TRIM(D439),INVENTARIO!$A$2:$A$2000,INVENTARIO!$B$2:$B$2000),"NO ENCONTRADO"))</f>
        <v/>
      </c>
      <c r="F439" s="2">
        <f>IF(D439="","",IFERROR(XLOOKUP(TRIM(D439),INVENTARIO!$A$2:$A$2000,INVENTARIO!$C$2:$C$2000),""))</f>
        <v/>
      </c>
      <c r="G439" s="2">
        <f>IF(D439="","",IF(E439="NO ENCONTRADO","CODIGO NO EXISTE",IF(COUNTIF($D$2:D439,D439)&gt;1,"DUPLICADO",IF(C439="","OK SIN PEDIDO",IF(COUNTIFS(PEDIDO_ITEMS!$A$2:$A$501,C439,PEDIDO_ITEMS!$B$2:$B$501,E439)=0,"NO PEDIDO",IF(COUNTIFS($C$2:C439,C439,$E$2:E439,E439)&gt;SUMIFS(PEDIDO_ITEMS!$C$2:$C$501,PEDIDO_ITEMS!$A$2:$A$501,C439,PEDIDO_ITEMS!$B$2:$B$501,E439),"EXCEDE PEDIDO","OK"))))))</f>
        <v/>
      </c>
    </row>
    <row r="440">
      <c r="A440" s="9" t="inlineStr"/>
      <c r="B440" s="2" t="inlineStr"/>
      <c r="C440" s="2" t="inlineStr"/>
      <c r="D440" s="2" t="inlineStr"/>
      <c r="E440" s="2">
        <f>IF(D440="","",IFERROR(XLOOKUP(TRIM(D440),INVENTARIO!$A$2:$A$2000,INVENTARIO!$B$2:$B$2000),"NO ENCONTRADO"))</f>
        <v/>
      </c>
      <c r="F440" s="2">
        <f>IF(D440="","",IFERROR(XLOOKUP(TRIM(D440),INVENTARIO!$A$2:$A$2000,INVENTARIO!$C$2:$C$2000),""))</f>
        <v/>
      </c>
      <c r="G440" s="2">
        <f>IF(D440="","",IF(E440="NO ENCONTRADO","CODIGO NO EXISTE",IF(COUNTIF($D$2:D440,D440)&gt;1,"DUPLICADO",IF(C440="","OK SIN PEDIDO",IF(COUNTIFS(PEDIDO_ITEMS!$A$2:$A$501,C440,PEDIDO_ITEMS!$B$2:$B$501,E440)=0,"NO PEDIDO",IF(COUNTIFS($C$2:C440,C440,$E$2:E440,E440)&gt;SUMIFS(PEDIDO_ITEMS!$C$2:$C$501,PEDIDO_ITEMS!$A$2:$A$501,C440,PEDIDO_ITEMS!$B$2:$B$501,E440),"EXCEDE PEDIDO","OK"))))))</f>
        <v/>
      </c>
    </row>
    <row r="441">
      <c r="A441" s="9" t="inlineStr"/>
      <c r="B441" s="2" t="inlineStr"/>
      <c r="C441" s="2" t="inlineStr"/>
      <c r="D441" s="2" t="inlineStr"/>
      <c r="E441" s="2">
        <f>IF(D441="","",IFERROR(XLOOKUP(TRIM(D441),INVENTARIO!$A$2:$A$2000,INVENTARIO!$B$2:$B$2000),"NO ENCONTRADO"))</f>
        <v/>
      </c>
      <c r="F441" s="2">
        <f>IF(D441="","",IFERROR(XLOOKUP(TRIM(D441),INVENTARIO!$A$2:$A$2000,INVENTARIO!$C$2:$C$2000),""))</f>
        <v/>
      </c>
      <c r="G441" s="2">
        <f>IF(D441="","",IF(E441="NO ENCONTRADO","CODIGO NO EXISTE",IF(COUNTIF($D$2:D441,D441)&gt;1,"DUPLICADO",IF(C441="","OK SIN PEDIDO",IF(COUNTIFS(PEDIDO_ITEMS!$A$2:$A$501,C441,PEDIDO_ITEMS!$B$2:$B$501,E441)=0,"NO PEDIDO",IF(COUNTIFS($C$2:C441,C441,$E$2:E441,E441)&gt;SUMIFS(PEDIDO_ITEMS!$C$2:$C$501,PEDIDO_ITEMS!$A$2:$A$501,C441,PEDIDO_ITEMS!$B$2:$B$501,E441),"EXCEDE PEDIDO","OK"))))))</f>
        <v/>
      </c>
    </row>
    <row r="442">
      <c r="A442" s="9" t="inlineStr"/>
      <c r="B442" s="2" t="inlineStr"/>
      <c r="C442" s="2" t="inlineStr"/>
      <c r="D442" s="2" t="inlineStr"/>
      <c r="E442" s="2">
        <f>IF(D442="","",IFERROR(XLOOKUP(TRIM(D442),INVENTARIO!$A$2:$A$2000,INVENTARIO!$B$2:$B$2000),"NO ENCONTRADO"))</f>
        <v/>
      </c>
      <c r="F442" s="2">
        <f>IF(D442="","",IFERROR(XLOOKUP(TRIM(D442),INVENTARIO!$A$2:$A$2000,INVENTARIO!$C$2:$C$2000),""))</f>
        <v/>
      </c>
      <c r="G442" s="2">
        <f>IF(D442="","",IF(E442="NO ENCONTRADO","CODIGO NO EXISTE",IF(COUNTIF($D$2:D442,D442)&gt;1,"DUPLICADO",IF(C442="","OK SIN PEDIDO",IF(COUNTIFS(PEDIDO_ITEMS!$A$2:$A$501,C442,PEDIDO_ITEMS!$B$2:$B$501,E442)=0,"NO PEDIDO",IF(COUNTIFS($C$2:C442,C442,$E$2:E442,E442)&gt;SUMIFS(PEDIDO_ITEMS!$C$2:$C$501,PEDIDO_ITEMS!$A$2:$A$501,C442,PEDIDO_ITEMS!$B$2:$B$501,E442),"EXCEDE PEDIDO","OK"))))))</f>
        <v/>
      </c>
    </row>
    <row r="443">
      <c r="A443" s="9" t="inlineStr"/>
      <c r="B443" s="2" t="inlineStr"/>
      <c r="C443" s="2" t="inlineStr"/>
      <c r="D443" s="2" t="inlineStr"/>
      <c r="E443" s="2">
        <f>IF(D443="","",IFERROR(XLOOKUP(TRIM(D443),INVENTARIO!$A$2:$A$2000,INVENTARIO!$B$2:$B$2000),"NO ENCONTRADO"))</f>
        <v/>
      </c>
      <c r="F443" s="2">
        <f>IF(D443="","",IFERROR(XLOOKUP(TRIM(D443),INVENTARIO!$A$2:$A$2000,INVENTARIO!$C$2:$C$2000),""))</f>
        <v/>
      </c>
      <c r="G443" s="2">
        <f>IF(D443="","",IF(E443="NO ENCONTRADO","CODIGO NO EXISTE",IF(COUNTIF($D$2:D443,D443)&gt;1,"DUPLICADO",IF(C443="","OK SIN PEDIDO",IF(COUNTIFS(PEDIDO_ITEMS!$A$2:$A$501,C443,PEDIDO_ITEMS!$B$2:$B$501,E443)=0,"NO PEDIDO",IF(COUNTIFS($C$2:C443,C443,$E$2:E443,E443)&gt;SUMIFS(PEDIDO_ITEMS!$C$2:$C$501,PEDIDO_ITEMS!$A$2:$A$501,C443,PEDIDO_ITEMS!$B$2:$B$501,E443),"EXCEDE PEDIDO","OK"))))))</f>
        <v/>
      </c>
    </row>
    <row r="444">
      <c r="A444" s="9" t="inlineStr"/>
      <c r="B444" s="2" t="inlineStr"/>
      <c r="C444" s="2" t="inlineStr"/>
      <c r="D444" s="2" t="inlineStr"/>
      <c r="E444" s="2">
        <f>IF(D444="","",IFERROR(XLOOKUP(TRIM(D444),INVENTARIO!$A$2:$A$2000,INVENTARIO!$B$2:$B$2000),"NO ENCONTRADO"))</f>
        <v/>
      </c>
      <c r="F444" s="2">
        <f>IF(D444="","",IFERROR(XLOOKUP(TRIM(D444),INVENTARIO!$A$2:$A$2000,INVENTARIO!$C$2:$C$2000),""))</f>
        <v/>
      </c>
      <c r="G444" s="2">
        <f>IF(D444="","",IF(E444="NO ENCONTRADO","CODIGO NO EXISTE",IF(COUNTIF($D$2:D444,D444)&gt;1,"DUPLICADO",IF(C444="","OK SIN PEDIDO",IF(COUNTIFS(PEDIDO_ITEMS!$A$2:$A$501,C444,PEDIDO_ITEMS!$B$2:$B$501,E444)=0,"NO PEDIDO",IF(COUNTIFS($C$2:C444,C444,$E$2:E444,E444)&gt;SUMIFS(PEDIDO_ITEMS!$C$2:$C$501,PEDIDO_ITEMS!$A$2:$A$501,C444,PEDIDO_ITEMS!$B$2:$B$501,E444),"EXCEDE PEDIDO","OK"))))))</f>
        <v/>
      </c>
    </row>
    <row r="445">
      <c r="A445" s="9" t="inlineStr"/>
      <c r="B445" s="2" t="inlineStr"/>
      <c r="C445" s="2" t="inlineStr"/>
      <c r="D445" s="2" t="inlineStr"/>
      <c r="E445" s="2">
        <f>IF(D445="","",IFERROR(XLOOKUP(TRIM(D445),INVENTARIO!$A$2:$A$2000,INVENTARIO!$B$2:$B$2000),"NO ENCONTRADO"))</f>
        <v/>
      </c>
      <c r="F445" s="2">
        <f>IF(D445="","",IFERROR(XLOOKUP(TRIM(D445),INVENTARIO!$A$2:$A$2000,INVENTARIO!$C$2:$C$2000),""))</f>
        <v/>
      </c>
      <c r="G445" s="2">
        <f>IF(D445="","",IF(E445="NO ENCONTRADO","CODIGO NO EXISTE",IF(COUNTIF($D$2:D445,D445)&gt;1,"DUPLICADO",IF(C445="","OK SIN PEDIDO",IF(COUNTIFS(PEDIDO_ITEMS!$A$2:$A$501,C445,PEDIDO_ITEMS!$B$2:$B$501,E445)=0,"NO PEDIDO",IF(COUNTIFS($C$2:C445,C445,$E$2:E445,E445)&gt;SUMIFS(PEDIDO_ITEMS!$C$2:$C$501,PEDIDO_ITEMS!$A$2:$A$501,C445,PEDIDO_ITEMS!$B$2:$B$501,E445),"EXCEDE PEDIDO","OK"))))))</f>
        <v/>
      </c>
    </row>
    <row r="446">
      <c r="A446" s="9" t="inlineStr"/>
      <c r="B446" s="2" t="inlineStr"/>
      <c r="C446" s="2" t="inlineStr"/>
      <c r="D446" s="2" t="inlineStr"/>
      <c r="E446" s="2">
        <f>IF(D446="","",IFERROR(XLOOKUP(TRIM(D446),INVENTARIO!$A$2:$A$2000,INVENTARIO!$B$2:$B$2000),"NO ENCONTRADO"))</f>
        <v/>
      </c>
      <c r="F446" s="2">
        <f>IF(D446="","",IFERROR(XLOOKUP(TRIM(D446),INVENTARIO!$A$2:$A$2000,INVENTARIO!$C$2:$C$2000),""))</f>
        <v/>
      </c>
      <c r="G446" s="2">
        <f>IF(D446="","",IF(E446="NO ENCONTRADO","CODIGO NO EXISTE",IF(COUNTIF($D$2:D446,D446)&gt;1,"DUPLICADO",IF(C446="","OK SIN PEDIDO",IF(COUNTIFS(PEDIDO_ITEMS!$A$2:$A$501,C446,PEDIDO_ITEMS!$B$2:$B$501,E446)=0,"NO PEDIDO",IF(COUNTIFS($C$2:C446,C446,$E$2:E446,E446)&gt;SUMIFS(PEDIDO_ITEMS!$C$2:$C$501,PEDIDO_ITEMS!$A$2:$A$501,C446,PEDIDO_ITEMS!$B$2:$B$501,E446),"EXCEDE PEDIDO","OK"))))))</f>
        <v/>
      </c>
    </row>
    <row r="447">
      <c r="A447" s="9" t="inlineStr"/>
      <c r="B447" s="2" t="inlineStr"/>
      <c r="C447" s="2" t="inlineStr"/>
      <c r="D447" s="2" t="inlineStr"/>
      <c r="E447" s="2">
        <f>IF(D447="","",IFERROR(XLOOKUP(TRIM(D447),INVENTARIO!$A$2:$A$2000,INVENTARIO!$B$2:$B$2000),"NO ENCONTRADO"))</f>
        <v/>
      </c>
      <c r="F447" s="2">
        <f>IF(D447="","",IFERROR(XLOOKUP(TRIM(D447),INVENTARIO!$A$2:$A$2000,INVENTARIO!$C$2:$C$2000),""))</f>
        <v/>
      </c>
      <c r="G447" s="2">
        <f>IF(D447="","",IF(E447="NO ENCONTRADO","CODIGO NO EXISTE",IF(COUNTIF($D$2:D447,D447)&gt;1,"DUPLICADO",IF(C447="","OK SIN PEDIDO",IF(COUNTIFS(PEDIDO_ITEMS!$A$2:$A$501,C447,PEDIDO_ITEMS!$B$2:$B$501,E447)=0,"NO PEDIDO",IF(COUNTIFS($C$2:C447,C447,$E$2:E447,E447)&gt;SUMIFS(PEDIDO_ITEMS!$C$2:$C$501,PEDIDO_ITEMS!$A$2:$A$501,C447,PEDIDO_ITEMS!$B$2:$B$501,E447),"EXCEDE PEDIDO","OK"))))))</f>
        <v/>
      </c>
    </row>
    <row r="448">
      <c r="A448" s="9" t="inlineStr"/>
      <c r="B448" s="2" t="inlineStr"/>
      <c r="C448" s="2" t="inlineStr"/>
      <c r="D448" s="2" t="inlineStr"/>
      <c r="E448" s="2">
        <f>IF(D448="","",IFERROR(XLOOKUP(TRIM(D448),INVENTARIO!$A$2:$A$2000,INVENTARIO!$B$2:$B$2000),"NO ENCONTRADO"))</f>
        <v/>
      </c>
      <c r="F448" s="2">
        <f>IF(D448="","",IFERROR(XLOOKUP(TRIM(D448),INVENTARIO!$A$2:$A$2000,INVENTARIO!$C$2:$C$2000),""))</f>
        <v/>
      </c>
      <c r="G448" s="2">
        <f>IF(D448="","",IF(E448="NO ENCONTRADO","CODIGO NO EXISTE",IF(COUNTIF($D$2:D448,D448)&gt;1,"DUPLICADO",IF(C448="","OK SIN PEDIDO",IF(COUNTIFS(PEDIDO_ITEMS!$A$2:$A$501,C448,PEDIDO_ITEMS!$B$2:$B$501,E448)=0,"NO PEDIDO",IF(COUNTIFS($C$2:C448,C448,$E$2:E448,E448)&gt;SUMIFS(PEDIDO_ITEMS!$C$2:$C$501,PEDIDO_ITEMS!$A$2:$A$501,C448,PEDIDO_ITEMS!$B$2:$B$501,E448),"EXCEDE PEDIDO","OK"))))))</f>
        <v/>
      </c>
    </row>
    <row r="449">
      <c r="A449" s="9" t="inlineStr"/>
      <c r="B449" s="2" t="inlineStr"/>
      <c r="C449" s="2" t="inlineStr"/>
      <c r="D449" s="2" t="inlineStr"/>
      <c r="E449" s="2">
        <f>IF(D449="","",IFERROR(XLOOKUP(TRIM(D449),INVENTARIO!$A$2:$A$2000,INVENTARIO!$B$2:$B$2000),"NO ENCONTRADO"))</f>
        <v/>
      </c>
      <c r="F449" s="2">
        <f>IF(D449="","",IFERROR(XLOOKUP(TRIM(D449),INVENTARIO!$A$2:$A$2000,INVENTARIO!$C$2:$C$2000),""))</f>
        <v/>
      </c>
      <c r="G449" s="2">
        <f>IF(D449="","",IF(E449="NO ENCONTRADO","CODIGO NO EXISTE",IF(COUNTIF($D$2:D449,D449)&gt;1,"DUPLICADO",IF(C449="","OK SIN PEDIDO",IF(COUNTIFS(PEDIDO_ITEMS!$A$2:$A$501,C449,PEDIDO_ITEMS!$B$2:$B$501,E449)=0,"NO PEDIDO",IF(COUNTIFS($C$2:C449,C449,$E$2:E449,E449)&gt;SUMIFS(PEDIDO_ITEMS!$C$2:$C$501,PEDIDO_ITEMS!$A$2:$A$501,C449,PEDIDO_ITEMS!$B$2:$B$501,E449),"EXCEDE PEDIDO","OK"))))))</f>
        <v/>
      </c>
    </row>
    <row r="450">
      <c r="A450" s="9" t="inlineStr"/>
      <c r="B450" s="2" t="inlineStr"/>
      <c r="C450" s="2" t="inlineStr"/>
      <c r="D450" s="2" t="inlineStr"/>
      <c r="E450" s="2">
        <f>IF(D450="","",IFERROR(XLOOKUP(TRIM(D450),INVENTARIO!$A$2:$A$2000,INVENTARIO!$B$2:$B$2000),"NO ENCONTRADO"))</f>
        <v/>
      </c>
      <c r="F450" s="2">
        <f>IF(D450="","",IFERROR(XLOOKUP(TRIM(D450),INVENTARIO!$A$2:$A$2000,INVENTARIO!$C$2:$C$2000),""))</f>
        <v/>
      </c>
      <c r="G450" s="2">
        <f>IF(D450="","",IF(E450="NO ENCONTRADO","CODIGO NO EXISTE",IF(COUNTIF($D$2:D450,D450)&gt;1,"DUPLICADO",IF(C450="","OK SIN PEDIDO",IF(COUNTIFS(PEDIDO_ITEMS!$A$2:$A$501,C450,PEDIDO_ITEMS!$B$2:$B$501,E450)=0,"NO PEDIDO",IF(COUNTIFS($C$2:C450,C450,$E$2:E450,E450)&gt;SUMIFS(PEDIDO_ITEMS!$C$2:$C$501,PEDIDO_ITEMS!$A$2:$A$501,C450,PEDIDO_ITEMS!$B$2:$B$501,E450),"EXCEDE PEDIDO","OK"))))))</f>
        <v/>
      </c>
    </row>
    <row r="451">
      <c r="A451" s="9" t="inlineStr"/>
      <c r="B451" s="2" t="inlineStr"/>
      <c r="C451" s="2" t="inlineStr"/>
      <c r="D451" s="2" t="inlineStr"/>
      <c r="E451" s="2">
        <f>IF(D451="","",IFERROR(XLOOKUP(TRIM(D451),INVENTARIO!$A$2:$A$2000,INVENTARIO!$B$2:$B$2000),"NO ENCONTRADO"))</f>
        <v/>
      </c>
      <c r="F451" s="2">
        <f>IF(D451="","",IFERROR(XLOOKUP(TRIM(D451),INVENTARIO!$A$2:$A$2000,INVENTARIO!$C$2:$C$2000),""))</f>
        <v/>
      </c>
      <c r="G451" s="2">
        <f>IF(D451="","",IF(E451="NO ENCONTRADO","CODIGO NO EXISTE",IF(COUNTIF($D$2:D451,D451)&gt;1,"DUPLICADO",IF(C451="","OK SIN PEDIDO",IF(COUNTIFS(PEDIDO_ITEMS!$A$2:$A$501,C451,PEDIDO_ITEMS!$B$2:$B$501,E451)=0,"NO PEDIDO",IF(COUNTIFS($C$2:C451,C451,$E$2:E451,E451)&gt;SUMIFS(PEDIDO_ITEMS!$C$2:$C$501,PEDIDO_ITEMS!$A$2:$A$501,C451,PEDIDO_ITEMS!$B$2:$B$501,E451),"EXCEDE PEDIDO","OK"))))))</f>
        <v/>
      </c>
    </row>
    <row r="452">
      <c r="A452" s="9" t="inlineStr"/>
      <c r="B452" s="2" t="inlineStr"/>
      <c r="C452" s="2" t="inlineStr"/>
      <c r="D452" s="2" t="inlineStr"/>
      <c r="E452" s="2">
        <f>IF(D452="","",IFERROR(XLOOKUP(TRIM(D452),INVENTARIO!$A$2:$A$2000,INVENTARIO!$B$2:$B$2000),"NO ENCONTRADO"))</f>
        <v/>
      </c>
      <c r="F452" s="2">
        <f>IF(D452="","",IFERROR(XLOOKUP(TRIM(D452),INVENTARIO!$A$2:$A$2000,INVENTARIO!$C$2:$C$2000),""))</f>
        <v/>
      </c>
      <c r="G452" s="2">
        <f>IF(D452="","",IF(E452="NO ENCONTRADO","CODIGO NO EXISTE",IF(COUNTIF($D$2:D452,D452)&gt;1,"DUPLICADO",IF(C452="","OK SIN PEDIDO",IF(COUNTIFS(PEDIDO_ITEMS!$A$2:$A$501,C452,PEDIDO_ITEMS!$B$2:$B$501,E452)=0,"NO PEDIDO",IF(COUNTIFS($C$2:C452,C452,$E$2:E452,E452)&gt;SUMIFS(PEDIDO_ITEMS!$C$2:$C$501,PEDIDO_ITEMS!$A$2:$A$501,C452,PEDIDO_ITEMS!$B$2:$B$501,E452),"EXCEDE PEDIDO","OK"))))))</f>
        <v/>
      </c>
    </row>
    <row r="453">
      <c r="A453" s="9" t="inlineStr"/>
      <c r="B453" s="2" t="inlineStr"/>
      <c r="C453" s="2" t="inlineStr"/>
      <c r="D453" s="2" t="inlineStr"/>
      <c r="E453" s="2">
        <f>IF(D453="","",IFERROR(XLOOKUP(TRIM(D453),INVENTARIO!$A$2:$A$2000,INVENTARIO!$B$2:$B$2000),"NO ENCONTRADO"))</f>
        <v/>
      </c>
      <c r="F453" s="2">
        <f>IF(D453="","",IFERROR(XLOOKUP(TRIM(D453),INVENTARIO!$A$2:$A$2000,INVENTARIO!$C$2:$C$2000),""))</f>
        <v/>
      </c>
      <c r="G453" s="2">
        <f>IF(D453="","",IF(E453="NO ENCONTRADO","CODIGO NO EXISTE",IF(COUNTIF($D$2:D453,D453)&gt;1,"DUPLICADO",IF(C453="","OK SIN PEDIDO",IF(COUNTIFS(PEDIDO_ITEMS!$A$2:$A$501,C453,PEDIDO_ITEMS!$B$2:$B$501,E453)=0,"NO PEDIDO",IF(COUNTIFS($C$2:C453,C453,$E$2:E453,E453)&gt;SUMIFS(PEDIDO_ITEMS!$C$2:$C$501,PEDIDO_ITEMS!$A$2:$A$501,C453,PEDIDO_ITEMS!$B$2:$B$501,E453),"EXCEDE PEDIDO","OK"))))))</f>
        <v/>
      </c>
    </row>
    <row r="454">
      <c r="A454" s="9" t="inlineStr"/>
      <c r="B454" s="2" t="inlineStr"/>
      <c r="C454" s="2" t="inlineStr"/>
      <c r="D454" s="2" t="inlineStr"/>
      <c r="E454" s="2">
        <f>IF(D454="","",IFERROR(XLOOKUP(TRIM(D454),INVENTARIO!$A$2:$A$2000,INVENTARIO!$B$2:$B$2000),"NO ENCONTRADO"))</f>
        <v/>
      </c>
      <c r="F454" s="2">
        <f>IF(D454="","",IFERROR(XLOOKUP(TRIM(D454),INVENTARIO!$A$2:$A$2000,INVENTARIO!$C$2:$C$2000),""))</f>
        <v/>
      </c>
      <c r="G454" s="2">
        <f>IF(D454="","",IF(E454="NO ENCONTRADO","CODIGO NO EXISTE",IF(COUNTIF($D$2:D454,D454)&gt;1,"DUPLICADO",IF(C454="","OK SIN PEDIDO",IF(COUNTIFS(PEDIDO_ITEMS!$A$2:$A$501,C454,PEDIDO_ITEMS!$B$2:$B$501,E454)=0,"NO PEDIDO",IF(COUNTIFS($C$2:C454,C454,$E$2:E454,E454)&gt;SUMIFS(PEDIDO_ITEMS!$C$2:$C$501,PEDIDO_ITEMS!$A$2:$A$501,C454,PEDIDO_ITEMS!$B$2:$B$501,E454),"EXCEDE PEDIDO","OK"))))))</f>
        <v/>
      </c>
    </row>
    <row r="455">
      <c r="A455" s="9" t="inlineStr"/>
      <c r="B455" s="2" t="inlineStr"/>
      <c r="C455" s="2" t="inlineStr"/>
      <c r="D455" s="2" t="inlineStr"/>
      <c r="E455" s="2">
        <f>IF(D455="","",IFERROR(XLOOKUP(TRIM(D455),INVENTARIO!$A$2:$A$2000,INVENTARIO!$B$2:$B$2000),"NO ENCONTRADO"))</f>
        <v/>
      </c>
      <c r="F455" s="2">
        <f>IF(D455="","",IFERROR(XLOOKUP(TRIM(D455),INVENTARIO!$A$2:$A$2000,INVENTARIO!$C$2:$C$2000),""))</f>
        <v/>
      </c>
      <c r="G455" s="2">
        <f>IF(D455="","",IF(E455="NO ENCONTRADO","CODIGO NO EXISTE",IF(COUNTIF($D$2:D455,D455)&gt;1,"DUPLICADO",IF(C455="","OK SIN PEDIDO",IF(COUNTIFS(PEDIDO_ITEMS!$A$2:$A$501,C455,PEDIDO_ITEMS!$B$2:$B$501,E455)=0,"NO PEDIDO",IF(COUNTIFS($C$2:C455,C455,$E$2:E455,E455)&gt;SUMIFS(PEDIDO_ITEMS!$C$2:$C$501,PEDIDO_ITEMS!$A$2:$A$501,C455,PEDIDO_ITEMS!$B$2:$B$501,E455),"EXCEDE PEDIDO","OK"))))))</f>
        <v/>
      </c>
    </row>
    <row r="456">
      <c r="A456" s="9" t="inlineStr"/>
      <c r="B456" s="2" t="inlineStr"/>
      <c r="C456" s="2" t="inlineStr"/>
      <c r="D456" s="2" t="inlineStr"/>
      <c r="E456" s="2">
        <f>IF(D456="","",IFERROR(XLOOKUP(TRIM(D456),INVENTARIO!$A$2:$A$2000,INVENTARIO!$B$2:$B$2000),"NO ENCONTRADO"))</f>
        <v/>
      </c>
      <c r="F456" s="2">
        <f>IF(D456="","",IFERROR(XLOOKUP(TRIM(D456),INVENTARIO!$A$2:$A$2000,INVENTARIO!$C$2:$C$2000),""))</f>
        <v/>
      </c>
      <c r="G456" s="2">
        <f>IF(D456="","",IF(E456="NO ENCONTRADO","CODIGO NO EXISTE",IF(COUNTIF($D$2:D456,D456)&gt;1,"DUPLICADO",IF(C456="","OK SIN PEDIDO",IF(COUNTIFS(PEDIDO_ITEMS!$A$2:$A$501,C456,PEDIDO_ITEMS!$B$2:$B$501,E456)=0,"NO PEDIDO",IF(COUNTIFS($C$2:C456,C456,$E$2:E456,E456)&gt;SUMIFS(PEDIDO_ITEMS!$C$2:$C$501,PEDIDO_ITEMS!$A$2:$A$501,C456,PEDIDO_ITEMS!$B$2:$B$501,E456),"EXCEDE PEDIDO","OK"))))))</f>
        <v/>
      </c>
    </row>
    <row r="457">
      <c r="A457" s="9" t="inlineStr"/>
      <c r="B457" s="2" t="inlineStr"/>
      <c r="C457" s="2" t="inlineStr"/>
      <c r="D457" s="2" t="inlineStr"/>
      <c r="E457" s="2">
        <f>IF(D457="","",IFERROR(XLOOKUP(TRIM(D457),INVENTARIO!$A$2:$A$2000,INVENTARIO!$B$2:$B$2000),"NO ENCONTRADO"))</f>
        <v/>
      </c>
      <c r="F457" s="2">
        <f>IF(D457="","",IFERROR(XLOOKUP(TRIM(D457),INVENTARIO!$A$2:$A$2000,INVENTARIO!$C$2:$C$2000),""))</f>
        <v/>
      </c>
      <c r="G457" s="2">
        <f>IF(D457="","",IF(E457="NO ENCONTRADO","CODIGO NO EXISTE",IF(COUNTIF($D$2:D457,D457)&gt;1,"DUPLICADO",IF(C457="","OK SIN PEDIDO",IF(COUNTIFS(PEDIDO_ITEMS!$A$2:$A$501,C457,PEDIDO_ITEMS!$B$2:$B$501,E457)=0,"NO PEDIDO",IF(COUNTIFS($C$2:C457,C457,$E$2:E457,E457)&gt;SUMIFS(PEDIDO_ITEMS!$C$2:$C$501,PEDIDO_ITEMS!$A$2:$A$501,C457,PEDIDO_ITEMS!$B$2:$B$501,E457),"EXCEDE PEDIDO","OK"))))))</f>
        <v/>
      </c>
    </row>
    <row r="458">
      <c r="A458" s="9" t="inlineStr"/>
      <c r="B458" s="2" t="inlineStr"/>
      <c r="C458" s="2" t="inlineStr"/>
      <c r="D458" s="2" t="inlineStr"/>
      <c r="E458" s="2">
        <f>IF(D458="","",IFERROR(XLOOKUP(TRIM(D458),INVENTARIO!$A$2:$A$2000,INVENTARIO!$B$2:$B$2000),"NO ENCONTRADO"))</f>
        <v/>
      </c>
      <c r="F458" s="2">
        <f>IF(D458="","",IFERROR(XLOOKUP(TRIM(D458),INVENTARIO!$A$2:$A$2000,INVENTARIO!$C$2:$C$2000),""))</f>
        <v/>
      </c>
      <c r="G458" s="2">
        <f>IF(D458="","",IF(E458="NO ENCONTRADO","CODIGO NO EXISTE",IF(COUNTIF($D$2:D458,D458)&gt;1,"DUPLICADO",IF(C458="","OK SIN PEDIDO",IF(COUNTIFS(PEDIDO_ITEMS!$A$2:$A$501,C458,PEDIDO_ITEMS!$B$2:$B$501,E458)=0,"NO PEDIDO",IF(COUNTIFS($C$2:C458,C458,$E$2:E458,E458)&gt;SUMIFS(PEDIDO_ITEMS!$C$2:$C$501,PEDIDO_ITEMS!$A$2:$A$501,C458,PEDIDO_ITEMS!$B$2:$B$501,E458),"EXCEDE PEDIDO","OK"))))))</f>
        <v/>
      </c>
    </row>
    <row r="459">
      <c r="A459" s="9" t="inlineStr"/>
      <c r="B459" s="2" t="inlineStr"/>
      <c r="C459" s="2" t="inlineStr"/>
      <c r="D459" s="2" t="inlineStr"/>
      <c r="E459" s="2">
        <f>IF(D459="","",IFERROR(XLOOKUP(TRIM(D459),INVENTARIO!$A$2:$A$2000,INVENTARIO!$B$2:$B$2000),"NO ENCONTRADO"))</f>
        <v/>
      </c>
      <c r="F459" s="2">
        <f>IF(D459="","",IFERROR(XLOOKUP(TRIM(D459),INVENTARIO!$A$2:$A$2000,INVENTARIO!$C$2:$C$2000),""))</f>
        <v/>
      </c>
      <c r="G459" s="2">
        <f>IF(D459="","",IF(E459="NO ENCONTRADO","CODIGO NO EXISTE",IF(COUNTIF($D$2:D459,D459)&gt;1,"DUPLICADO",IF(C459="","OK SIN PEDIDO",IF(COUNTIFS(PEDIDO_ITEMS!$A$2:$A$501,C459,PEDIDO_ITEMS!$B$2:$B$501,E459)=0,"NO PEDIDO",IF(COUNTIFS($C$2:C459,C459,$E$2:E459,E459)&gt;SUMIFS(PEDIDO_ITEMS!$C$2:$C$501,PEDIDO_ITEMS!$A$2:$A$501,C459,PEDIDO_ITEMS!$B$2:$B$501,E459),"EXCEDE PEDIDO","OK"))))))</f>
        <v/>
      </c>
    </row>
    <row r="460">
      <c r="A460" s="9" t="inlineStr"/>
      <c r="B460" s="2" t="inlineStr"/>
      <c r="C460" s="2" t="inlineStr"/>
      <c r="D460" s="2" t="inlineStr"/>
      <c r="E460" s="2">
        <f>IF(D460="","",IFERROR(XLOOKUP(TRIM(D460),INVENTARIO!$A$2:$A$2000,INVENTARIO!$B$2:$B$2000),"NO ENCONTRADO"))</f>
        <v/>
      </c>
      <c r="F460" s="2">
        <f>IF(D460="","",IFERROR(XLOOKUP(TRIM(D460),INVENTARIO!$A$2:$A$2000,INVENTARIO!$C$2:$C$2000),""))</f>
        <v/>
      </c>
      <c r="G460" s="2">
        <f>IF(D460="","",IF(E460="NO ENCONTRADO","CODIGO NO EXISTE",IF(COUNTIF($D$2:D460,D460)&gt;1,"DUPLICADO",IF(C460="","OK SIN PEDIDO",IF(COUNTIFS(PEDIDO_ITEMS!$A$2:$A$501,C460,PEDIDO_ITEMS!$B$2:$B$501,E460)=0,"NO PEDIDO",IF(COUNTIFS($C$2:C460,C460,$E$2:E460,E460)&gt;SUMIFS(PEDIDO_ITEMS!$C$2:$C$501,PEDIDO_ITEMS!$A$2:$A$501,C460,PEDIDO_ITEMS!$B$2:$B$501,E460),"EXCEDE PEDIDO","OK"))))))</f>
        <v/>
      </c>
    </row>
    <row r="461">
      <c r="A461" s="9" t="inlineStr"/>
      <c r="B461" s="2" t="inlineStr"/>
      <c r="C461" s="2" t="inlineStr"/>
      <c r="D461" s="2" t="inlineStr"/>
      <c r="E461" s="2">
        <f>IF(D461="","",IFERROR(XLOOKUP(TRIM(D461),INVENTARIO!$A$2:$A$2000,INVENTARIO!$B$2:$B$2000),"NO ENCONTRADO"))</f>
        <v/>
      </c>
      <c r="F461" s="2">
        <f>IF(D461="","",IFERROR(XLOOKUP(TRIM(D461),INVENTARIO!$A$2:$A$2000,INVENTARIO!$C$2:$C$2000),""))</f>
        <v/>
      </c>
      <c r="G461" s="2">
        <f>IF(D461="","",IF(E461="NO ENCONTRADO","CODIGO NO EXISTE",IF(COUNTIF($D$2:D461,D461)&gt;1,"DUPLICADO",IF(C461="","OK SIN PEDIDO",IF(COUNTIFS(PEDIDO_ITEMS!$A$2:$A$501,C461,PEDIDO_ITEMS!$B$2:$B$501,E461)=0,"NO PEDIDO",IF(COUNTIFS($C$2:C461,C461,$E$2:E461,E461)&gt;SUMIFS(PEDIDO_ITEMS!$C$2:$C$501,PEDIDO_ITEMS!$A$2:$A$501,C461,PEDIDO_ITEMS!$B$2:$B$501,E461),"EXCEDE PEDIDO","OK"))))))</f>
        <v/>
      </c>
    </row>
    <row r="462">
      <c r="A462" s="9" t="inlineStr"/>
      <c r="B462" s="2" t="inlineStr"/>
      <c r="C462" s="2" t="inlineStr"/>
      <c r="D462" s="2" t="inlineStr"/>
      <c r="E462" s="2">
        <f>IF(D462="","",IFERROR(XLOOKUP(TRIM(D462),INVENTARIO!$A$2:$A$2000,INVENTARIO!$B$2:$B$2000),"NO ENCONTRADO"))</f>
        <v/>
      </c>
      <c r="F462" s="2">
        <f>IF(D462="","",IFERROR(XLOOKUP(TRIM(D462),INVENTARIO!$A$2:$A$2000,INVENTARIO!$C$2:$C$2000),""))</f>
        <v/>
      </c>
      <c r="G462" s="2">
        <f>IF(D462="","",IF(E462="NO ENCONTRADO","CODIGO NO EXISTE",IF(COUNTIF($D$2:D462,D462)&gt;1,"DUPLICADO",IF(C462="","OK SIN PEDIDO",IF(COUNTIFS(PEDIDO_ITEMS!$A$2:$A$501,C462,PEDIDO_ITEMS!$B$2:$B$501,E462)=0,"NO PEDIDO",IF(COUNTIFS($C$2:C462,C462,$E$2:E462,E462)&gt;SUMIFS(PEDIDO_ITEMS!$C$2:$C$501,PEDIDO_ITEMS!$A$2:$A$501,C462,PEDIDO_ITEMS!$B$2:$B$501,E462),"EXCEDE PEDIDO","OK"))))))</f>
        <v/>
      </c>
    </row>
    <row r="463">
      <c r="A463" s="9" t="inlineStr"/>
      <c r="B463" s="2" t="inlineStr"/>
      <c r="C463" s="2" t="inlineStr"/>
      <c r="D463" s="2" t="inlineStr"/>
      <c r="E463" s="2">
        <f>IF(D463="","",IFERROR(XLOOKUP(TRIM(D463),INVENTARIO!$A$2:$A$2000,INVENTARIO!$B$2:$B$2000),"NO ENCONTRADO"))</f>
        <v/>
      </c>
      <c r="F463" s="2">
        <f>IF(D463="","",IFERROR(XLOOKUP(TRIM(D463),INVENTARIO!$A$2:$A$2000,INVENTARIO!$C$2:$C$2000),""))</f>
        <v/>
      </c>
      <c r="G463" s="2">
        <f>IF(D463="","",IF(E463="NO ENCONTRADO","CODIGO NO EXISTE",IF(COUNTIF($D$2:D463,D463)&gt;1,"DUPLICADO",IF(C463="","OK SIN PEDIDO",IF(COUNTIFS(PEDIDO_ITEMS!$A$2:$A$501,C463,PEDIDO_ITEMS!$B$2:$B$501,E463)=0,"NO PEDIDO",IF(COUNTIFS($C$2:C463,C463,$E$2:E463,E463)&gt;SUMIFS(PEDIDO_ITEMS!$C$2:$C$501,PEDIDO_ITEMS!$A$2:$A$501,C463,PEDIDO_ITEMS!$B$2:$B$501,E463),"EXCEDE PEDIDO","OK"))))))</f>
        <v/>
      </c>
    </row>
    <row r="464">
      <c r="A464" s="9" t="inlineStr"/>
      <c r="B464" s="2" t="inlineStr"/>
      <c r="C464" s="2" t="inlineStr"/>
      <c r="D464" s="2" t="inlineStr"/>
      <c r="E464" s="2">
        <f>IF(D464="","",IFERROR(XLOOKUP(TRIM(D464),INVENTARIO!$A$2:$A$2000,INVENTARIO!$B$2:$B$2000),"NO ENCONTRADO"))</f>
        <v/>
      </c>
      <c r="F464" s="2">
        <f>IF(D464="","",IFERROR(XLOOKUP(TRIM(D464),INVENTARIO!$A$2:$A$2000,INVENTARIO!$C$2:$C$2000),""))</f>
        <v/>
      </c>
      <c r="G464" s="2">
        <f>IF(D464="","",IF(E464="NO ENCONTRADO","CODIGO NO EXISTE",IF(COUNTIF($D$2:D464,D464)&gt;1,"DUPLICADO",IF(C464="","OK SIN PEDIDO",IF(COUNTIFS(PEDIDO_ITEMS!$A$2:$A$501,C464,PEDIDO_ITEMS!$B$2:$B$501,E464)=0,"NO PEDIDO",IF(COUNTIFS($C$2:C464,C464,$E$2:E464,E464)&gt;SUMIFS(PEDIDO_ITEMS!$C$2:$C$501,PEDIDO_ITEMS!$A$2:$A$501,C464,PEDIDO_ITEMS!$B$2:$B$501,E464),"EXCEDE PEDIDO","OK"))))))</f>
        <v/>
      </c>
    </row>
    <row r="465">
      <c r="A465" s="9" t="inlineStr"/>
      <c r="B465" s="2" t="inlineStr"/>
      <c r="C465" s="2" t="inlineStr"/>
      <c r="D465" s="2" t="inlineStr"/>
      <c r="E465" s="2">
        <f>IF(D465="","",IFERROR(XLOOKUP(TRIM(D465),INVENTARIO!$A$2:$A$2000,INVENTARIO!$B$2:$B$2000),"NO ENCONTRADO"))</f>
        <v/>
      </c>
      <c r="F465" s="2">
        <f>IF(D465="","",IFERROR(XLOOKUP(TRIM(D465),INVENTARIO!$A$2:$A$2000,INVENTARIO!$C$2:$C$2000),""))</f>
        <v/>
      </c>
      <c r="G465" s="2">
        <f>IF(D465="","",IF(E465="NO ENCONTRADO","CODIGO NO EXISTE",IF(COUNTIF($D$2:D465,D465)&gt;1,"DUPLICADO",IF(C465="","OK SIN PEDIDO",IF(COUNTIFS(PEDIDO_ITEMS!$A$2:$A$501,C465,PEDIDO_ITEMS!$B$2:$B$501,E465)=0,"NO PEDIDO",IF(COUNTIFS($C$2:C465,C465,$E$2:E465,E465)&gt;SUMIFS(PEDIDO_ITEMS!$C$2:$C$501,PEDIDO_ITEMS!$A$2:$A$501,C465,PEDIDO_ITEMS!$B$2:$B$501,E465),"EXCEDE PEDIDO","OK"))))))</f>
        <v/>
      </c>
    </row>
    <row r="466">
      <c r="A466" s="9" t="inlineStr"/>
      <c r="B466" s="2" t="inlineStr"/>
      <c r="C466" s="2" t="inlineStr"/>
      <c r="D466" s="2" t="inlineStr"/>
      <c r="E466" s="2">
        <f>IF(D466="","",IFERROR(XLOOKUP(TRIM(D466),INVENTARIO!$A$2:$A$2000,INVENTARIO!$B$2:$B$2000),"NO ENCONTRADO"))</f>
        <v/>
      </c>
      <c r="F466" s="2">
        <f>IF(D466="","",IFERROR(XLOOKUP(TRIM(D466),INVENTARIO!$A$2:$A$2000,INVENTARIO!$C$2:$C$2000),""))</f>
        <v/>
      </c>
      <c r="G466" s="2">
        <f>IF(D466="","",IF(E466="NO ENCONTRADO","CODIGO NO EXISTE",IF(COUNTIF($D$2:D466,D466)&gt;1,"DUPLICADO",IF(C466="","OK SIN PEDIDO",IF(COUNTIFS(PEDIDO_ITEMS!$A$2:$A$501,C466,PEDIDO_ITEMS!$B$2:$B$501,E466)=0,"NO PEDIDO",IF(COUNTIFS($C$2:C466,C466,$E$2:E466,E466)&gt;SUMIFS(PEDIDO_ITEMS!$C$2:$C$501,PEDIDO_ITEMS!$A$2:$A$501,C466,PEDIDO_ITEMS!$B$2:$B$501,E466),"EXCEDE PEDIDO","OK"))))))</f>
        <v/>
      </c>
    </row>
    <row r="467">
      <c r="A467" s="9" t="inlineStr"/>
      <c r="B467" s="2" t="inlineStr"/>
      <c r="C467" s="2" t="inlineStr"/>
      <c r="D467" s="2" t="inlineStr"/>
      <c r="E467" s="2">
        <f>IF(D467="","",IFERROR(XLOOKUP(TRIM(D467),INVENTARIO!$A$2:$A$2000,INVENTARIO!$B$2:$B$2000),"NO ENCONTRADO"))</f>
        <v/>
      </c>
      <c r="F467" s="2">
        <f>IF(D467="","",IFERROR(XLOOKUP(TRIM(D467),INVENTARIO!$A$2:$A$2000,INVENTARIO!$C$2:$C$2000),""))</f>
        <v/>
      </c>
      <c r="G467" s="2">
        <f>IF(D467="","",IF(E467="NO ENCONTRADO","CODIGO NO EXISTE",IF(COUNTIF($D$2:D467,D467)&gt;1,"DUPLICADO",IF(C467="","OK SIN PEDIDO",IF(COUNTIFS(PEDIDO_ITEMS!$A$2:$A$501,C467,PEDIDO_ITEMS!$B$2:$B$501,E467)=0,"NO PEDIDO",IF(COUNTIFS($C$2:C467,C467,$E$2:E467,E467)&gt;SUMIFS(PEDIDO_ITEMS!$C$2:$C$501,PEDIDO_ITEMS!$A$2:$A$501,C467,PEDIDO_ITEMS!$B$2:$B$501,E467),"EXCEDE PEDIDO","OK"))))))</f>
        <v/>
      </c>
    </row>
    <row r="468">
      <c r="A468" s="9" t="inlineStr"/>
      <c r="B468" s="2" t="inlineStr"/>
      <c r="C468" s="2" t="inlineStr"/>
      <c r="D468" s="2" t="inlineStr"/>
      <c r="E468" s="2">
        <f>IF(D468="","",IFERROR(XLOOKUP(TRIM(D468),INVENTARIO!$A$2:$A$2000,INVENTARIO!$B$2:$B$2000),"NO ENCONTRADO"))</f>
        <v/>
      </c>
      <c r="F468" s="2">
        <f>IF(D468="","",IFERROR(XLOOKUP(TRIM(D468),INVENTARIO!$A$2:$A$2000,INVENTARIO!$C$2:$C$2000),""))</f>
        <v/>
      </c>
      <c r="G468" s="2">
        <f>IF(D468="","",IF(E468="NO ENCONTRADO","CODIGO NO EXISTE",IF(COUNTIF($D$2:D468,D468)&gt;1,"DUPLICADO",IF(C468="","OK SIN PEDIDO",IF(COUNTIFS(PEDIDO_ITEMS!$A$2:$A$501,C468,PEDIDO_ITEMS!$B$2:$B$501,E468)=0,"NO PEDIDO",IF(COUNTIFS($C$2:C468,C468,$E$2:E468,E468)&gt;SUMIFS(PEDIDO_ITEMS!$C$2:$C$501,PEDIDO_ITEMS!$A$2:$A$501,C468,PEDIDO_ITEMS!$B$2:$B$501,E468),"EXCEDE PEDIDO","OK"))))))</f>
        <v/>
      </c>
    </row>
    <row r="469">
      <c r="A469" s="9" t="inlineStr"/>
      <c r="B469" s="2" t="inlineStr"/>
      <c r="C469" s="2" t="inlineStr"/>
      <c r="D469" s="2" t="inlineStr"/>
      <c r="E469" s="2">
        <f>IF(D469="","",IFERROR(XLOOKUP(TRIM(D469),INVENTARIO!$A$2:$A$2000,INVENTARIO!$B$2:$B$2000),"NO ENCONTRADO"))</f>
        <v/>
      </c>
      <c r="F469" s="2">
        <f>IF(D469="","",IFERROR(XLOOKUP(TRIM(D469),INVENTARIO!$A$2:$A$2000,INVENTARIO!$C$2:$C$2000),""))</f>
        <v/>
      </c>
      <c r="G469" s="2">
        <f>IF(D469="","",IF(E469="NO ENCONTRADO","CODIGO NO EXISTE",IF(COUNTIF($D$2:D469,D469)&gt;1,"DUPLICADO",IF(C469="","OK SIN PEDIDO",IF(COUNTIFS(PEDIDO_ITEMS!$A$2:$A$501,C469,PEDIDO_ITEMS!$B$2:$B$501,E469)=0,"NO PEDIDO",IF(COUNTIFS($C$2:C469,C469,$E$2:E469,E469)&gt;SUMIFS(PEDIDO_ITEMS!$C$2:$C$501,PEDIDO_ITEMS!$A$2:$A$501,C469,PEDIDO_ITEMS!$B$2:$B$501,E469),"EXCEDE PEDIDO","OK"))))))</f>
        <v/>
      </c>
    </row>
    <row r="470">
      <c r="A470" s="9" t="inlineStr"/>
      <c r="B470" s="2" t="inlineStr"/>
      <c r="C470" s="2" t="inlineStr"/>
      <c r="D470" s="2" t="inlineStr"/>
      <c r="E470" s="2">
        <f>IF(D470="","",IFERROR(XLOOKUP(TRIM(D470),INVENTARIO!$A$2:$A$2000,INVENTARIO!$B$2:$B$2000),"NO ENCONTRADO"))</f>
        <v/>
      </c>
      <c r="F470" s="2">
        <f>IF(D470="","",IFERROR(XLOOKUP(TRIM(D470),INVENTARIO!$A$2:$A$2000,INVENTARIO!$C$2:$C$2000),""))</f>
        <v/>
      </c>
      <c r="G470" s="2">
        <f>IF(D470="","",IF(E470="NO ENCONTRADO","CODIGO NO EXISTE",IF(COUNTIF($D$2:D470,D470)&gt;1,"DUPLICADO",IF(C470="","OK SIN PEDIDO",IF(COUNTIFS(PEDIDO_ITEMS!$A$2:$A$501,C470,PEDIDO_ITEMS!$B$2:$B$501,E470)=0,"NO PEDIDO",IF(COUNTIFS($C$2:C470,C470,$E$2:E470,E470)&gt;SUMIFS(PEDIDO_ITEMS!$C$2:$C$501,PEDIDO_ITEMS!$A$2:$A$501,C470,PEDIDO_ITEMS!$B$2:$B$501,E470),"EXCEDE PEDIDO","OK"))))))</f>
        <v/>
      </c>
    </row>
    <row r="471">
      <c r="A471" s="9" t="inlineStr"/>
      <c r="B471" s="2" t="inlineStr"/>
      <c r="C471" s="2" t="inlineStr"/>
      <c r="D471" s="2" t="inlineStr"/>
      <c r="E471" s="2">
        <f>IF(D471="","",IFERROR(XLOOKUP(TRIM(D471),INVENTARIO!$A$2:$A$2000,INVENTARIO!$B$2:$B$2000),"NO ENCONTRADO"))</f>
        <v/>
      </c>
      <c r="F471" s="2">
        <f>IF(D471="","",IFERROR(XLOOKUP(TRIM(D471),INVENTARIO!$A$2:$A$2000,INVENTARIO!$C$2:$C$2000),""))</f>
        <v/>
      </c>
      <c r="G471" s="2">
        <f>IF(D471="","",IF(E471="NO ENCONTRADO","CODIGO NO EXISTE",IF(COUNTIF($D$2:D471,D471)&gt;1,"DUPLICADO",IF(C471="","OK SIN PEDIDO",IF(COUNTIFS(PEDIDO_ITEMS!$A$2:$A$501,C471,PEDIDO_ITEMS!$B$2:$B$501,E471)=0,"NO PEDIDO",IF(COUNTIFS($C$2:C471,C471,$E$2:E471,E471)&gt;SUMIFS(PEDIDO_ITEMS!$C$2:$C$501,PEDIDO_ITEMS!$A$2:$A$501,C471,PEDIDO_ITEMS!$B$2:$B$501,E471),"EXCEDE PEDIDO","OK"))))))</f>
        <v/>
      </c>
    </row>
    <row r="472">
      <c r="A472" s="9" t="inlineStr"/>
      <c r="B472" s="2" t="inlineStr"/>
      <c r="C472" s="2" t="inlineStr"/>
      <c r="D472" s="2" t="inlineStr"/>
      <c r="E472" s="2">
        <f>IF(D472="","",IFERROR(XLOOKUP(TRIM(D472),INVENTARIO!$A$2:$A$2000,INVENTARIO!$B$2:$B$2000),"NO ENCONTRADO"))</f>
        <v/>
      </c>
      <c r="F472" s="2">
        <f>IF(D472="","",IFERROR(XLOOKUP(TRIM(D472),INVENTARIO!$A$2:$A$2000,INVENTARIO!$C$2:$C$2000),""))</f>
        <v/>
      </c>
      <c r="G472" s="2">
        <f>IF(D472="","",IF(E472="NO ENCONTRADO","CODIGO NO EXISTE",IF(COUNTIF($D$2:D472,D472)&gt;1,"DUPLICADO",IF(C472="","OK SIN PEDIDO",IF(COUNTIFS(PEDIDO_ITEMS!$A$2:$A$501,C472,PEDIDO_ITEMS!$B$2:$B$501,E472)=0,"NO PEDIDO",IF(COUNTIFS($C$2:C472,C472,$E$2:E472,E472)&gt;SUMIFS(PEDIDO_ITEMS!$C$2:$C$501,PEDIDO_ITEMS!$A$2:$A$501,C472,PEDIDO_ITEMS!$B$2:$B$501,E472),"EXCEDE PEDIDO","OK"))))))</f>
        <v/>
      </c>
    </row>
    <row r="473">
      <c r="A473" s="9" t="inlineStr"/>
      <c r="B473" s="2" t="inlineStr"/>
      <c r="C473" s="2" t="inlineStr"/>
      <c r="D473" s="2" t="inlineStr"/>
      <c r="E473" s="2">
        <f>IF(D473="","",IFERROR(XLOOKUP(TRIM(D473),INVENTARIO!$A$2:$A$2000,INVENTARIO!$B$2:$B$2000),"NO ENCONTRADO"))</f>
        <v/>
      </c>
      <c r="F473" s="2">
        <f>IF(D473="","",IFERROR(XLOOKUP(TRIM(D473),INVENTARIO!$A$2:$A$2000,INVENTARIO!$C$2:$C$2000),""))</f>
        <v/>
      </c>
      <c r="G473" s="2">
        <f>IF(D473="","",IF(E473="NO ENCONTRADO","CODIGO NO EXISTE",IF(COUNTIF($D$2:D473,D473)&gt;1,"DUPLICADO",IF(C473="","OK SIN PEDIDO",IF(COUNTIFS(PEDIDO_ITEMS!$A$2:$A$501,C473,PEDIDO_ITEMS!$B$2:$B$501,E473)=0,"NO PEDIDO",IF(COUNTIFS($C$2:C473,C473,$E$2:E473,E473)&gt;SUMIFS(PEDIDO_ITEMS!$C$2:$C$501,PEDIDO_ITEMS!$A$2:$A$501,C473,PEDIDO_ITEMS!$B$2:$B$501,E473),"EXCEDE PEDIDO","OK"))))))</f>
        <v/>
      </c>
    </row>
    <row r="474">
      <c r="A474" s="9" t="inlineStr"/>
      <c r="B474" s="2" t="inlineStr"/>
      <c r="C474" s="2" t="inlineStr"/>
      <c r="D474" s="2" t="inlineStr"/>
      <c r="E474" s="2">
        <f>IF(D474="","",IFERROR(XLOOKUP(TRIM(D474),INVENTARIO!$A$2:$A$2000,INVENTARIO!$B$2:$B$2000),"NO ENCONTRADO"))</f>
        <v/>
      </c>
      <c r="F474" s="2">
        <f>IF(D474="","",IFERROR(XLOOKUP(TRIM(D474),INVENTARIO!$A$2:$A$2000,INVENTARIO!$C$2:$C$2000),""))</f>
        <v/>
      </c>
      <c r="G474" s="2">
        <f>IF(D474="","",IF(E474="NO ENCONTRADO","CODIGO NO EXISTE",IF(COUNTIF($D$2:D474,D474)&gt;1,"DUPLICADO",IF(C474="","OK SIN PEDIDO",IF(COUNTIFS(PEDIDO_ITEMS!$A$2:$A$501,C474,PEDIDO_ITEMS!$B$2:$B$501,E474)=0,"NO PEDIDO",IF(COUNTIFS($C$2:C474,C474,$E$2:E474,E474)&gt;SUMIFS(PEDIDO_ITEMS!$C$2:$C$501,PEDIDO_ITEMS!$A$2:$A$501,C474,PEDIDO_ITEMS!$B$2:$B$501,E474),"EXCEDE PEDIDO","OK"))))))</f>
        <v/>
      </c>
    </row>
    <row r="475">
      <c r="A475" s="9" t="inlineStr"/>
      <c r="B475" s="2" t="inlineStr"/>
      <c r="C475" s="2" t="inlineStr"/>
      <c r="D475" s="2" t="inlineStr"/>
      <c r="E475" s="2">
        <f>IF(D475="","",IFERROR(XLOOKUP(TRIM(D475),INVENTARIO!$A$2:$A$2000,INVENTARIO!$B$2:$B$2000),"NO ENCONTRADO"))</f>
        <v/>
      </c>
      <c r="F475" s="2">
        <f>IF(D475="","",IFERROR(XLOOKUP(TRIM(D475),INVENTARIO!$A$2:$A$2000,INVENTARIO!$C$2:$C$2000),""))</f>
        <v/>
      </c>
      <c r="G475" s="2">
        <f>IF(D475="","",IF(E475="NO ENCONTRADO","CODIGO NO EXISTE",IF(COUNTIF($D$2:D475,D475)&gt;1,"DUPLICADO",IF(C475="","OK SIN PEDIDO",IF(COUNTIFS(PEDIDO_ITEMS!$A$2:$A$501,C475,PEDIDO_ITEMS!$B$2:$B$501,E475)=0,"NO PEDIDO",IF(COUNTIFS($C$2:C475,C475,$E$2:E475,E475)&gt;SUMIFS(PEDIDO_ITEMS!$C$2:$C$501,PEDIDO_ITEMS!$A$2:$A$501,C475,PEDIDO_ITEMS!$B$2:$B$501,E475),"EXCEDE PEDIDO","OK"))))))</f>
        <v/>
      </c>
    </row>
    <row r="476">
      <c r="A476" s="9" t="inlineStr"/>
      <c r="B476" s="2" t="inlineStr"/>
      <c r="C476" s="2" t="inlineStr"/>
      <c r="D476" s="2" t="inlineStr"/>
      <c r="E476" s="2">
        <f>IF(D476="","",IFERROR(XLOOKUP(TRIM(D476),INVENTARIO!$A$2:$A$2000,INVENTARIO!$B$2:$B$2000),"NO ENCONTRADO"))</f>
        <v/>
      </c>
      <c r="F476" s="2">
        <f>IF(D476="","",IFERROR(XLOOKUP(TRIM(D476),INVENTARIO!$A$2:$A$2000,INVENTARIO!$C$2:$C$2000),""))</f>
        <v/>
      </c>
      <c r="G476" s="2">
        <f>IF(D476="","",IF(E476="NO ENCONTRADO","CODIGO NO EXISTE",IF(COUNTIF($D$2:D476,D476)&gt;1,"DUPLICADO",IF(C476="","OK SIN PEDIDO",IF(COUNTIFS(PEDIDO_ITEMS!$A$2:$A$501,C476,PEDIDO_ITEMS!$B$2:$B$501,E476)=0,"NO PEDIDO",IF(COUNTIFS($C$2:C476,C476,$E$2:E476,E476)&gt;SUMIFS(PEDIDO_ITEMS!$C$2:$C$501,PEDIDO_ITEMS!$A$2:$A$501,C476,PEDIDO_ITEMS!$B$2:$B$501,E476),"EXCEDE PEDIDO","OK"))))))</f>
        <v/>
      </c>
    </row>
    <row r="477">
      <c r="A477" s="9" t="inlineStr"/>
      <c r="B477" s="2" t="inlineStr"/>
      <c r="C477" s="2" t="inlineStr"/>
      <c r="D477" s="2" t="inlineStr"/>
      <c r="E477" s="2">
        <f>IF(D477="","",IFERROR(XLOOKUP(TRIM(D477),INVENTARIO!$A$2:$A$2000,INVENTARIO!$B$2:$B$2000),"NO ENCONTRADO"))</f>
        <v/>
      </c>
      <c r="F477" s="2">
        <f>IF(D477="","",IFERROR(XLOOKUP(TRIM(D477),INVENTARIO!$A$2:$A$2000,INVENTARIO!$C$2:$C$2000),""))</f>
        <v/>
      </c>
      <c r="G477" s="2">
        <f>IF(D477="","",IF(E477="NO ENCONTRADO","CODIGO NO EXISTE",IF(COUNTIF($D$2:D477,D477)&gt;1,"DUPLICADO",IF(C477="","OK SIN PEDIDO",IF(COUNTIFS(PEDIDO_ITEMS!$A$2:$A$501,C477,PEDIDO_ITEMS!$B$2:$B$501,E477)=0,"NO PEDIDO",IF(COUNTIFS($C$2:C477,C477,$E$2:E477,E477)&gt;SUMIFS(PEDIDO_ITEMS!$C$2:$C$501,PEDIDO_ITEMS!$A$2:$A$501,C477,PEDIDO_ITEMS!$B$2:$B$501,E477),"EXCEDE PEDIDO","OK"))))))</f>
        <v/>
      </c>
    </row>
    <row r="478">
      <c r="A478" s="9" t="inlineStr"/>
      <c r="B478" s="2" t="inlineStr"/>
      <c r="C478" s="2" t="inlineStr"/>
      <c r="D478" s="2" t="inlineStr"/>
      <c r="E478" s="2">
        <f>IF(D478="","",IFERROR(XLOOKUP(TRIM(D478),INVENTARIO!$A$2:$A$2000,INVENTARIO!$B$2:$B$2000),"NO ENCONTRADO"))</f>
        <v/>
      </c>
      <c r="F478" s="2">
        <f>IF(D478="","",IFERROR(XLOOKUP(TRIM(D478),INVENTARIO!$A$2:$A$2000,INVENTARIO!$C$2:$C$2000),""))</f>
        <v/>
      </c>
      <c r="G478" s="2">
        <f>IF(D478="","",IF(E478="NO ENCONTRADO","CODIGO NO EXISTE",IF(COUNTIF($D$2:D478,D478)&gt;1,"DUPLICADO",IF(C478="","OK SIN PEDIDO",IF(COUNTIFS(PEDIDO_ITEMS!$A$2:$A$501,C478,PEDIDO_ITEMS!$B$2:$B$501,E478)=0,"NO PEDIDO",IF(COUNTIFS($C$2:C478,C478,$E$2:E478,E478)&gt;SUMIFS(PEDIDO_ITEMS!$C$2:$C$501,PEDIDO_ITEMS!$A$2:$A$501,C478,PEDIDO_ITEMS!$B$2:$B$501,E478),"EXCEDE PEDIDO","OK"))))))</f>
        <v/>
      </c>
    </row>
    <row r="479">
      <c r="A479" s="9" t="inlineStr"/>
      <c r="B479" s="2" t="inlineStr"/>
      <c r="C479" s="2" t="inlineStr"/>
      <c r="D479" s="2" t="inlineStr"/>
      <c r="E479" s="2">
        <f>IF(D479="","",IFERROR(XLOOKUP(TRIM(D479),INVENTARIO!$A$2:$A$2000,INVENTARIO!$B$2:$B$2000),"NO ENCONTRADO"))</f>
        <v/>
      </c>
      <c r="F479" s="2">
        <f>IF(D479="","",IFERROR(XLOOKUP(TRIM(D479),INVENTARIO!$A$2:$A$2000,INVENTARIO!$C$2:$C$2000),""))</f>
        <v/>
      </c>
      <c r="G479" s="2">
        <f>IF(D479="","",IF(E479="NO ENCONTRADO","CODIGO NO EXISTE",IF(COUNTIF($D$2:D479,D479)&gt;1,"DUPLICADO",IF(C479="","OK SIN PEDIDO",IF(COUNTIFS(PEDIDO_ITEMS!$A$2:$A$501,C479,PEDIDO_ITEMS!$B$2:$B$501,E479)=0,"NO PEDIDO",IF(COUNTIFS($C$2:C479,C479,$E$2:E479,E479)&gt;SUMIFS(PEDIDO_ITEMS!$C$2:$C$501,PEDIDO_ITEMS!$A$2:$A$501,C479,PEDIDO_ITEMS!$B$2:$B$501,E479),"EXCEDE PEDIDO","OK"))))))</f>
        <v/>
      </c>
    </row>
    <row r="480">
      <c r="A480" s="9" t="inlineStr"/>
      <c r="B480" s="2" t="inlineStr"/>
      <c r="C480" s="2" t="inlineStr"/>
      <c r="D480" s="2" t="inlineStr"/>
      <c r="E480" s="2">
        <f>IF(D480="","",IFERROR(XLOOKUP(TRIM(D480),INVENTARIO!$A$2:$A$2000,INVENTARIO!$B$2:$B$2000),"NO ENCONTRADO"))</f>
        <v/>
      </c>
      <c r="F480" s="2">
        <f>IF(D480="","",IFERROR(XLOOKUP(TRIM(D480),INVENTARIO!$A$2:$A$2000,INVENTARIO!$C$2:$C$2000),""))</f>
        <v/>
      </c>
      <c r="G480" s="2">
        <f>IF(D480="","",IF(E480="NO ENCONTRADO","CODIGO NO EXISTE",IF(COUNTIF($D$2:D480,D480)&gt;1,"DUPLICADO",IF(C480="","OK SIN PEDIDO",IF(COUNTIFS(PEDIDO_ITEMS!$A$2:$A$501,C480,PEDIDO_ITEMS!$B$2:$B$501,E480)=0,"NO PEDIDO",IF(COUNTIFS($C$2:C480,C480,$E$2:E480,E480)&gt;SUMIFS(PEDIDO_ITEMS!$C$2:$C$501,PEDIDO_ITEMS!$A$2:$A$501,C480,PEDIDO_ITEMS!$B$2:$B$501,E480),"EXCEDE PEDIDO","OK"))))))</f>
        <v/>
      </c>
    </row>
    <row r="481">
      <c r="A481" s="9" t="inlineStr"/>
      <c r="B481" s="2" t="inlineStr"/>
      <c r="C481" s="2" t="inlineStr"/>
      <c r="D481" s="2" t="inlineStr"/>
      <c r="E481" s="2">
        <f>IF(D481="","",IFERROR(XLOOKUP(TRIM(D481),INVENTARIO!$A$2:$A$2000,INVENTARIO!$B$2:$B$2000),"NO ENCONTRADO"))</f>
        <v/>
      </c>
      <c r="F481" s="2">
        <f>IF(D481="","",IFERROR(XLOOKUP(TRIM(D481),INVENTARIO!$A$2:$A$2000,INVENTARIO!$C$2:$C$2000),""))</f>
        <v/>
      </c>
      <c r="G481" s="2">
        <f>IF(D481="","",IF(E481="NO ENCONTRADO","CODIGO NO EXISTE",IF(COUNTIF($D$2:D481,D481)&gt;1,"DUPLICADO",IF(C481="","OK SIN PEDIDO",IF(COUNTIFS(PEDIDO_ITEMS!$A$2:$A$501,C481,PEDIDO_ITEMS!$B$2:$B$501,E481)=0,"NO PEDIDO",IF(COUNTIFS($C$2:C481,C481,$E$2:E481,E481)&gt;SUMIFS(PEDIDO_ITEMS!$C$2:$C$501,PEDIDO_ITEMS!$A$2:$A$501,C481,PEDIDO_ITEMS!$B$2:$B$501,E481),"EXCEDE PEDIDO","OK"))))))</f>
        <v/>
      </c>
    </row>
    <row r="482">
      <c r="A482" s="9" t="inlineStr"/>
      <c r="B482" s="2" t="inlineStr"/>
      <c r="C482" s="2" t="inlineStr"/>
      <c r="D482" s="2" t="inlineStr"/>
      <c r="E482" s="2">
        <f>IF(D482="","",IFERROR(XLOOKUP(TRIM(D482),INVENTARIO!$A$2:$A$2000,INVENTARIO!$B$2:$B$2000),"NO ENCONTRADO"))</f>
        <v/>
      </c>
      <c r="F482" s="2">
        <f>IF(D482="","",IFERROR(XLOOKUP(TRIM(D482),INVENTARIO!$A$2:$A$2000,INVENTARIO!$C$2:$C$2000),""))</f>
        <v/>
      </c>
      <c r="G482" s="2">
        <f>IF(D482="","",IF(E482="NO ENCONTRADO","CODIGO NO EXISTE",IF(COUNTIF($D$2:D482,D482)&gt;1,"DUPLICADO",IF(C482="","OK SIN PEDIDO",IF(COUNTIFS(PEDIDO_ITEMS!$A$2:$A$501,C482,PEDIDO_ITEMS!$B$2:$B$501,E482)=0,"NO PEDIDO",IF(COUNTIFS($C$2:C482,C482,$E$2:E482,E482)&gt;SUMIFS(PEDIDO_ITEMS!$C$2:$C$501,PEDIDO_ITEMS!$A$2:$A$501,C482,PEDIDO_ITEMS!$B$2:$B$501,E482),"EXCEDE PEDIDO","OK"))))))</f>
        <v/>
      </c>
    </row>
    <row r="483">
      <c r="A483" s="9" t="inlineStr"/>
      <c r="B483" s="2" t="inlineStr"/>
      <c r="C483" s="2" t="inlineStr"/>
      <c r="D483" s="2" t="inlineStr"/>
      <c r="E483" s="2">
        <f>IF(D483="","",IFERROR(XLOOKUP(TRIM(D483),INVENTARIO!$A$2:$A$2000,INVENTARIO!$B$2:$B$2000),"NO ENCONTRADO"))</f>
        <v/>
      </c>
      <c r="F483" s="2">
        <f>IF(D483="","",IFERROR(XLOOKUP(TRIM(D483),INVENTARIO!$A$2:$A$2000,INVENTARIO!$C$2:$C$2000),""))</f>
        <v/>
      </c>
      <c r="G483" s="2">
        <f>IF(D483="","",IF(E483="NO ENCONTRADO","CODIGO NO EXISTE",IF(COUNTIF($D$2:D483,D483)&gt;1,"DUPLICADO",IF(C483="","OK SIN PEDIDO",IF(COUNTIFS(PEDIDO_ITEMS!$A$2:$A$501,C483,PEDIDO_ITEMS!$B$2:$B$501,E483)=0,"NO PEDIDO",IF(COUNTIFS($C$2:C483,C483,$E$2:E483,E483)&gt;SUMIFS(PEDIDO_ITEMS!$C$2:$C$501,PEDIDO_ITEMS!$A$2:$A$501,C483,PEDIDO_ITEMS!$B$2:$B$501,E483),"EXCEDE PEDIDO","OK"))))))</f>
        <v/>
      </c>
    </row>
    <row r="484">
      <c r="A484" s="9" t="inlineStr"/>
      <c r="B484" s="2" t="inlineStr"/>
      <c r="C484" s="2" t="inlineStr"/>
      <c r="D484" s="2" t="inlineStr"/>
      <c r="E484" s="2">
        <f>IF(D484="","",IFERROR(XLOOKUP(TRIM(D484),INVENTARIO!$A$2:$A$2000,INVENTARIO!$B$2:$B$2000),"NO ENCONTRADO"))</f>
        <v/>
      </c>
      <c r="F484" s="2">
        <f>IF(D484="","",IFERROR(XLOOKUP(TRIM(D484),INVENTARIO!$A$2:$A$2000,INVENTARIO!$C$2:$C$2000),""))</f>
        <v/>
      </c>
      <c r="G484" s="2">
        <f>IF(D484="","",IF(E484="NO ENCONTRADO","CODIGO NO EXISTE",IF(COUNTIF($D$2:D484,D484)&gt;1,"DUPLICADO",IF(C484="","OK SIN PEDIDO",IF(COUNTIFS(PEDIDO_ITEMS!$A$2:$A$501,C484,PEDIDO_ITEMS!$B$2:$B$501,E484)=0,"NO PEDIDO",IF(COUNTIFS($C$2:C484,C484,$E$2:E484,E484)&gt;SUMIFS(PEDIDO_ITEMS!$C$2:$C$501,PEDIDO_ITEMS!$A$2:$A$501,C484,PEDIDO_ITEMS!$B$2:$B$501,E484),"EXCEDE PEDIDO","OK"))))))</f>
        <v/>
      </c>
    </row>
    <row r="485">
      <c r="A485" s="9" t="inlineStr"/>
      <c r="B485" s="2" t="inlineStr"/>
      <c r="C485" s="2" t="inlineStr"/>
      <c r="D485" s="2" t="inlineStr"/>
      <c r="E485" s="2">
        <f>IF(D485="","",IFERROR(XLOOKUP(TRIM(D485),INVENTARIO!$A$2:$A$2000,INVENTARIO!$B$2:$B$2000),"NO ENCONTRADO"))</f>
        <v/>
      </c>
      <c r="F485" s="2">
        <f>IF(D485="","",IFERROR(XLOOKUP(TRIM(D485),INVENTARIO!$A$2:$A$2000,INVENTARIO!$C$2:$C$2000),""))</f>
        <v/>
      </c>
      <c r="G485" s="2">
        <f>IF(D485="","",IF(E485="NO ENCONTRADO","CODIGO NO EXISTE",IF(COUNTIF($D$2:D485,D485)&gt;1,"DUPLICADO",IF(C485="","OK SIN PEDIDO",IF(COUNTIFS(PEDIDO_ITEMS!$A$2:$A$501,C485,PEDIDO_ITEMS!$B$2:$B$501,E485)=0,"NO PEDIDO",IF(COUNTIFS($C$2:C485,C485,$E$2:E485,E485)&gt;SUMIFS(PEDIDO_ITEMS!$C$2:$C$501,PEDIDO_ITEMS!$A$2:$A$501,C485,PEDIDO_ITEMS!$B$2:$B$501,E485),"EXCEDE PEDIDO","OK"))))))</f>
        <v/>
      </c>
    </row>
    <row r="486">
      <c r="A486" s="9" t="inlineStr"/>
      <c r="B486" s="2" t="inlineStr"/>
      <c r="C486" s="2" t="inlineStr"/>
      <c r="D486" s="2" t="inlineStr"/>
      <c r="E486" s="2">
        <f>IF(D486="","",IFERROR(XLOOKUP(TRIM(D486),INVENTARIO!$A$2:$A$2000,INVENTARIO!$B$2:$B$2000),"NO ENCONTRADO"))</f>
        <v/>
      </c>
      <c r="F486" s="2">
        <f>IF(D486="","",IFERROR(XLOOKUP(TRIM(D486),INVENTARIO!$A$2:$A$2000,INVENTARIO!$C$2:$C$2000),""))</f>
        <v/>
      </c>
      <c r="G486" s="2">
        <f>IF(D486="","",IF(E486="NO ENCONTRADO","CODIGO NO EXISTE",IF(COUNTIF($D$2:D486,D486)&gt;1,"DUPLICADO",IF(C486="","OK SIN PEDIDO",IF(COUNTIFS(PEDIDO_ITEMS!$A$2:$A$501,C486,PEDIDO_ITEMS!$B$2:$B$501,E486)=0,"NO PEDIDO",IF(COUNTIFS($C$2:C486,C486,$E$2:E486,E486)&gt;SUMIFS(PEDIDO_ITEMS!$C$2:$C$501,PEDIDO_ITEMS!$A$2:$A$501,C486,PEDIDO_ITEMS!$B$2:$B$501,E486),"EXCEDE PEDIDO","OK"))))))</f>
        <v/>
      </c>
    </row>
    <row r="487">
      <c r="A487" s="9" t="inlineStr"/>
      <c r="B487" s="2" t="inlineStr"/>
      <c r="C487" s="2" t="inlineStr"/>
      <c r="D487" s="2" t="inlineStr"/>
      <c r="E487" s="2">
        <f>IF(D487="","",IFERROR(XLOOKUP(TRIM(D487),INVENTARIO!$A$2:$A$2000,INVENTARIO!$B$2:$B$2000),"NO ENCONTRADO"))</f>
        <v/>
      </c>
      <c r="F487" s="2">
        <f>IF(D487="","",IFERROR(XLOOKUP(TRIM(D487),INVENTARIO!$A$2:$A$2000,INVENTARIO!$C$2:$C$2000),""))</f>
        <v/>
      </c>
      <c r="G487" s="2">
        <f>IF(D487="","",IF(E487="NO ENCONTRADO","CODIGO NO EXISTE",IF(COUNTIF($D$2:D487,D487)&gt;1,"DUPLICADO",IF(C487="","OK SIN PEDIDO",IF(COUNTIFS(PEDIDO_ITEMS!$A$2:$A$501,C487,PEDIDO_ITEMS!$B$2:$B$501,E487)=0,"NO PEDIDO",IF(COUNTIFS($C$2:C487,C487,$E$2:E487,E487)&gt;SUMIFS(PEDIDO_ITEMS!$C$2:$C$501,PEDIDO_ITEMS!$A$2:$A$501,C487,PEDIDO_ITEMS!$B$2:$B$501,E487),"EXCEDE PEDIDO","OK"))))))</f>
        <v/>
      </c>
    </row>
    <row r="488">
      <c r="A488" s="9" t="inlineStr"/>
      <c r="B488" s="2" t="inlineStr"/>
      <c r="C488" s="2" t="inlineStr"/>
      <c r="D488" s="2" t="inlineStr"/>
      <c r="E488" s="2">
        <f>IF(D488="","",IFERROR(XLOOKUP(TRIM(D488),INVENTARIO!$A$2:$A$2000,INVENTARIO!$B$2:$B$2000),"NO ENCONTRADO"))</f>
        <v/>
      </c>
      <c r="F488" s="2">
        <f>IF(D488="","",IFERROR(XLOOKUP(TRIM(D488),INVENTARIO!$A$2:$A$2000,INVENTARIO!$C$2:$C$2000),""))</f>
        <v/>
      </c>
      <c r="G488" s="2">
        <f>IF(D488="","",IF(E488="NO ENCONTRADO","CODIGO NO EXISTE",IF(COUNTIF($D$2:D488,D488)&gt;1,"DUPLICADO",IF(C488="","OK SIN PEDIDO",IF(COUNTIFS(PEDIDO_ITEMS!$A$2:$A$501,C488,PEDIDO_ITEMS!$B$2:$B$501,E488)=0,"NO PEDIDO",IF(COUNTIFS($C$2:C488,C488,$E$2:E488,E488)&gt;SUMIFS(PEDIDO_ITEMS!$C$2:$C$501,PEDIDO_ITEMS!$A$2:$A$501,C488,PEDIDO_ITEMS!$B$2:$B$501,E488),"EXCEDE PEDIDO","OK"))))))</f>
        <v/>
      </c>
    </row>
    <row r="489">
      <c r="A489" s="9" t="inlineStr"/>
      <c r="B489" s="2" t="inlineStr"/>
      <c r="C489" s="2" t="inlineStr"/>
      <c r="D489" s="2" t="inlineStr"/>
      <c r="E489" s="2">
        <f>IF(D489="","",IFERROR(XLOOKUP(TRIM(D489),INVENTARIO!$A$2:$A$2000,INVENTARIO!$B$2:$B$2000),"NO ENCONTRADO"))</f>
        <v/>
      </c>
      <c r="F489" s="2">
        <f>IF(D489="","",IFERROR(XLOOKUP(TRIM(D489),INVENTARIO!$A$2:$A$2000,INVENTARIO!$C$2:$C$2000),""))</f>
        <v/>
      </c>
      <c r="G489" s="2">
        <f>IF(D489="","",IF(E489="NO ENCONTRADO","CODIGO NO EXISTE",IF(COUNTIF($D$2:D489,D489)&gt;1,"DUPLICADO",IF(C489="","OK SIN PEDIDO",IF(COUNTIFS(PEDIDO_ITEMS!$A$2:$A$501,C489,PEDIDO_ITEMS!$B$2:$B$501,E489)=0,"NO PEDIDO",IF(COUNTIFS($C$2:C489,C489,$E$2:E489,E489)&gt;SUMIFS(PEDIDO_ITEMS!$C$2:$C$501,PEDIDO_ITEMS!$A$2:$A$501,C489,PEDIDO_ITEMS!$B$2:$B$501,E489),"EXCEDE PEDIDO","OK"))))))</f>
        <v/>
      </c>
    </row>
    <row r="490">
      <c r="A490" s="9" t="inlineStr"/>
      <c r="B490" s="2" t="inlineStr"/>
      <c r="C490" s="2" t="inlineStr"/>
      <c r="D490" s="2" t="inlineStr"/>
      <c r="E490" s="2">
        <f>IF(D490="","",IFERROR(XLOOKUP(TRIM(D490),INVENTARIO!$A$2:$A$2000,INVENTARIO!$B$2:$B$2000),"NO ENCONTRADO"))</f>
        <v/>
      </c>
      <c r="F490" s="2">
        <f>IF(D490="","",IFERROR(XLOOKUP(TRIM(D490),INVENTARIO!$A$2:$A$2000,INVENTARIO!$C$2:$C$2000),""))</f>
        <v/>
      </c>
      <c r="G490" s="2">
        <f>IF(D490="","",IF(E490="NO ENCONTRADO","CODIGO NO EXISTE",IF(COUNTIF($D$2:D490,D490)&gt;1,"DUPLICADO",IF(C490="","OK SIN PEDIDO",IF(COUNTIFS(PEDIDO_ITEMS!$A$2:$A$501,C490,PEDIDO_ITEMS!$B$2:$B$501,E490)=0,"NO PEDIDO",IF(COUNTIFS($C$2:C490,C490,$E$2:E490,E490)&gt;SUMIFS(PEDIDO_ITEMS!$C$2:$C$501,PEDIDO_ITEMS!$A$2:$A$501,C490,PEDIDO_ITEMS!$B$2:$B$501,E490),"EXCEDE PEDIDO","OK"))))))</f>
        <v/>
      </c>
    </row>
    <row r="491">
      <c r="A491" s="9" t="inlineStr"/>
      <c r="B491" s="2" t="inlineStr"/>
      <c r="C491" s="2" t="inlineStr"/>
      <c r="D491" s="2" t="inlineStr"/>
      <c r="E491" s="2">
        <f>IF(D491="","",IFERROR(XLOOKUP(TRIM(D491),INVENTARIO!$A$2:$A$2000,INVENTARIO!$B$2:$B$2000),"NO ENCONTRADO"))</f>
        <v/>
      </c>
      <c r="F491" s="2">
        <f>IF(D491="","",IFERROR(XLOOKUP(TRIM(D491),INVENTARIO!$A$2:$A$2000,INVENTARIO!$C$2:$C$2000),""))</f>
        <v/>
      </c>
      <c r="G491" s="2">
        <f>IF(D491="","",IF(E491="NO ENCONTRADO","CODIGO NO EXISTE",IF(COUNTIF($D$2:D491,D491)&gt;1,"DUPLICADO",IF(C491="","OK SIN PEDIDO",IF(COUNTIFS(PEDIDO_ITEMS!$A$2:$A$501,C491,PEDIDO_ITEMS!$B$2:$B$501,E491)=0,"NO PEDIDO",IF(COUNTIFS($C$2:C491,C491,$E$2:E491,E491)&gt;SUMIFS(PEDIDO_ITEMS!$C$2:$C$501,PEDIDO_ITEMS!$A$2:$A$501,C491,PEDIDO_ITEMS!$B$2:$B$501,E491),"EXCEDE PEDIDO","OK"))))))</f>
        <v/>
      </c>
    </row>
    <row r="492">
      <c r="A492" s="9" t="inlineStr"/>
      <c r="B492" s="2" t="inlineStr"/>
      <c r="C492" s="2" t="inlineStr"/>
      <c r="D492" s="2" t="inlineStr"/>
      <c r="E492" s="2">
        <f>IF(D492="","",IFERROR(XLOOKUP(TRIM(D492),INVENTARIO!$A$2:$A$2000,INVENTARIO!$B$2:$B$2000),"NO ENCONTRADO"))</f>
        <v/>
      </c>
      <c r="F492" s="2">
        <f>IF(D492="","",IFERROR(XLOOKUP(TRIM(D492),INVENTARIO!$A$2:$A$2000,INVENTARIO!$C$2:$C$2000),""))</f>
        <v/>
      </c>
      <c r="G492" s="2">
        <f>IF(D492="","",IF(E492="NO ENCONTRADO","CODIGO NO EXISTE",IF(COUNTIF($D$2:D492,D492)&gt;1,"DUPLICADO",IF(C492="","OK SIN PEDIDO",IF(COUNTIFS(PEDIDO_ITEMS!$A$2:$A$501,C492,PEDIDO_ITEMS!$B$2:$B$501,E492)=0,"NO PEDIDO",IF(COUNTIFS($C$2:C492,C492,$E$2:E492,E492)&gt;SUMIFS(PEDIDO_ITEMS!$C$2:$C$501,PEDIDO_ITEMS!$A$2:$A$501,C492,PEDIDO_ITEMS!$B$2:$B$501,E492),"EXCEDE PEDIDO","OK"))))))</f>
        <v/>
      </c>
    </row>
    <row r="493">
      <c r="A493" s="9" t="inlineStr"/>
      <c r="B493" s="2" t="inlineStr"/>
      <c r="C493" s="2" t="inlineStr"/>
      <c r="D493" s="2" t="inlineStr"/>
      <c r="E493" s="2">
        <f>IF(D493="","",IFERROR(XLOOKUP(TRIM(D493),INVENTARIO!$A$2:$A$2000,INVENTARIO!$B$2:$B$2000),"NO ENCONTRADO"))</f>
        <v/>
      </c>
      <c r="F493" s="2">
        <f>IF(D493="","",IFERROR(XLOOKUP(TRIM(D493),INVENTARIO!$A$2:$A$2000,INVENTARIO!$C$2:$C$2000),""))</f>
        <v/>
      </c>
      <c r="G493" s="2">
        <f>IF(D493="","",IF(E493="NO ENCONTRADO","CODIGO NO EXISTE",IF(COUNTIF($D$2:D493,D493)&gt;1,"DUPLICADO",IF(C493="","OK SIN PEDIDO",IF(COUNTIFS(PEDIDO_ITEMS!$A$2:$A$501,C493,PEDIDO_ITEMS!$B$2:$B$501,E493)=0,"NO PEDIDO",IF(COUNTIFS($C$2:C493,C493,$E$2:E493,E493)&gt;SUMIFS(PEDIDO_ITEMS!$C$2:$C$501,PEDIDO_ITEMS!$A$2:$A$501,C493,PEDIDO_ITEMS!$B$2:$B$501,E493),"EXCEDE PEDIDO","OK"))))))</f>
        <v/>
      </c>
    </row>
    <row r="494">
      <c r="A494" s="9" t="inlineStr"/>
      <c r="B494" s="2" t="inlineStr"/>
      <c r="C494" s="2" t="inlineStr"/>
      <c r="D494" s="2" t="inlineStr"/>
      <c r="E494" s="2">
        <f>IF(D494="","",IFERROR(XLOOKUP(TRIM(D494),INVENTARIO!$A$2:$A$2000,INVENTARIO!$B$2:$B$2000),"NO ENCONTRADO"))</f>
        <v/>
      </c>
      <c r="F494" s="2">
        <f>IF(D494="","",IFERROR(XLOOKUP(TRIM(D494),INVENTARIO!$A$2:$A$2000,INVENTARIO!$C$2:$C$2000),""))</f>
        <v/>
      </c>
      <c r="G494" s="2">
        <f>IF(D494="","",IF(E494="NO ENCONTRADO","CODIGO NO EXISTE",IF(COUNTIF($D$2:D494,D494)&gt;1,"DUPLICADO",IF(C494="","OK SIN PEDIDO",IF(COUNTIFS(PEDIDO_ITEMS!$A$2:$A$501,C494,PEDIDO_ITEMS!$B$2:$B$501,E494)=0,"NO PEDIDO",IF(COUNTIFS($C$2:C494,C494,$E$2:E494,E494)&gt;SUMIFS(PEDIDO_ITEMS!$C$2:$C$501,PEDIDO_ITEMS!$A$2:$A$501,C494,PEDIDO_ITEMS!$B$2:$B$501,E494),"EXCEDE PEDIDO","OK"))))))</f>
        <v/>
      </c>
    </row>
    <row r="495">
      <c r="A495" s="9" t="inlineStr"/>
      <c r="B495" s="2" t="inlineStr"/>
      <c r="C495" s="2" t="inlineStr"/>
      <c r="D495" s="2" t="inlineStr"/>
      <c r="E495" s="2">
        <f>IF(D495="","",IFERROR(XLOOKUP(TRIM(D495),INVENTARIO!$A$2:$A$2000,INVENTARIO!$B$2:$B$2000),"NO ENCONTRADO"))</f>
        <v/>
      </c>
      <c r="F495" s="2">
        <f>IF(D495="","",IFERROR(XLOOKUP(TRIM(D495),INVENTARIO!$A$2:$A$2000,INVENTARIO!$C$2:$C$2000),""))</f>
        <v/>
      </c>
      <c r="G495" s="2">
        <f>IF(D495="","",IF(E495="NO ENCONTRADO","CODIGO NO EXISTE",IF(COUNTIF($D$2:D495,D495)&gt;1,"DUPLICADO",IF(C495="","OK SIN PEDIDO",IF(COUNTIFS(PEDIDO_ITEMS!$A$2:$A$501,C495,PEDIDO_ITEMS!$B$2:$B$501,E495)=0,"NO PEDIDO",IF(COUNTIFS($C$2:C495,C495,$E$2:E495,E495)&gt;SUMIFS(PEDIDO_ITEMS!$C$2:$C$501,PEDIDO_ITEMS!$A$2:$A$501,C495,PEDIDO_ITEMS!$B$2:$B$501,E495),"EXCEDE PEDIDO","OK"))))))</f>
        <v/>
      </c>
    </row>
    <row r="496">
      <c r="A496" s="9" t="inlineStr"/>
      <c r="B496" s="2" t="inlineStr"/>
      <c r="C496" s="2" t="inlineStr"/>
      <c r="D496" s="2" t="inlineStr"/>
      <c r="E496" s="2">
        <f>IF(D496="","",IFERROR(XLOOKUP(TRIM(D496),INVENTARIO!$A$2:$A$2000,INVENTARIO!$B$2:$B$2000),"NO ENCONTRADO"))</f>
        <v/>
      </c>
      <c r="F496" s="2">
        <f>IF(D496="","",IFERROR(XLOOKUP(TRIM(D496),INVENTARIO!$A$2:$A$2000,INVENTARIO!$C$2:$C$2000),""))</f>
        <v/>
      </c>
      <c r="G496" s="2">
        <f>IF(D496="","",IF(E496="NO ENCONTRADO","CODIGO NO EXISTE",IF(COUNTIF($D$2:D496,D496)&gt;1,"DUPLICADO",IF(C496="","OK SIN PEDIDO",IF(COUNTIFS(PEDIDO_ITEMS!$A$2:$A$501,C496,PEDIDO_ITEMS!$B$2:$B$501,E496)=0,"NO PEDIDO",IF(COUNTIFS($C$2:C496,C496,$E$2:E496,E496)&gt;SUMIFS(PEDIDO_ITEMS!$C$2:$C$501,PEDIDO_ITEMS!$A$2:$A$501,C496,PEDIDO_ITEMS!$B$2:$B$501,E496),"EXCEDE PEDIDO","OK"))))))</f>
        <v/>
      </c>
    </row>
    <row r="497">
      <c r="A497" s="9" t="inlineStr"/>
      <c r="B497" s="2" t="inlineStr"/>
      <c r="C497" s="2" t="inlineStr"/>
      <c r="D497" s="2" t="inlineStr"/>
      <c r="E497" s="2">
        <f>IF(D497="","",IFERROR(XLOOKUP(TRIM(D497),INVENTARIO!$A$2:$A$2000,INVENTARIO!$B$2:$B$2000),"NO ENCONTRADO"))</f>
        <v/>
      </c>
      <c r="F497" s="2">
        <f>IF(D497="","",IFERROR(XLOOKUP(TRIM(D497),INVENTARIO!$A$2:$A$2000,INVENTARIO!$C$2:$C$2000),""))</f>
        <v/>
      </c>
      <c r="G497" s="2">
        <f>IF(D497="","",IF(E497="NO ENCONTRADO","CODIGO NO EXISTE",IF(COUNTIF($D$2:D497,D497)&gt;1,"DUPLICADO",IF(C497="","OK SIN PEDIDO",IF(COUNTIFS(PEDIDO_ITEMS!$A$2:$A$501,C497,PEDIDO_ITEMS!$B$2:$B$501,E497)=0,"NO PEDIDO",IF(COUNTIFS($C$2:C497,C497,$E$2:E497,E497)&gt;SUMIFS(PEDIDO_ITEMS!$C$2:$C$501,PEDIDO_ITEMS!$A$2:$A$501,C497,PEDIDO_ITEMS!$B$2:$B$501,E497),"EXCEDE PEDIDO","OK"))))))</f>
        <v/>
      </c>
    </row>
    <row r="498">
      <c r="A498" s="9" t="inlineStr"/>
      <c r="B498" s="2" t="inlineStr"/>
      <c r="C498" s="2" t="inlineStr"/>
      <c r="D498" s="2" t="inlineStr"/>
      <c r="E498" s="2">
        <f>IF(D498="","",IFERROR(XLOOKUP(TRIM(D498),INVENTARIO!$A$2:$A$2000,INVENTARIO!$B$2:$B$2000),"NO ENCONTRADO"))</f>
        <v/>
      </c>
      <c r="F498" s="2">
        <f>IF(D498="","",IFERROR(XLOOKUP(TRIM(D498),INVENTARIO!$A$2:$A$2000,INVENTARIO!$C$2:$C$2000),""))</f>
        <v/>
      </c>
      <c r="G498" s="2">
        <f>IF(D498="","",IF(E498="NO ENCONTRADO","CODIGO NO EXISTE",IF(COUNTIF($D$2:D498,D498)&gt;1,"DUPLICADO",IF(C498="","OK SIN PEDIDO",IF(COUNTIFS(PEDIDO_ITEMS!$A$2:$A$501,C498,PEDIDO_ITEMS!$B$2:$B$501,E498)=0,"NO PEDIDO",IF(COUNTIFS($C$2:C498,C498,$E$2:E498,E498)&gt;SUMIFS(PEDIDO_ITEMS!$C$2:$C$501,PEDIDO_ITEMS!$A$2:$A$501,C498,PEDIDO_ITEMS!$B$2:$B$501,E498),"EXCEDE PEDIDO","OK"))))))</f>
        <v/>
      </c>
    </row>
    <row r="499">
      <c r="A499" s="9" t="inlineStr"/>
      <c r="B499" s="2" t="inlineStr"/>
      <c r="C499" s="2" t="inlineStr"/>
      <c r="D499" s="2" t="inlineStr"/>
      <c r="E499" s="2">
        <f>IF(D499="","",IFERROR(XLOOKUP(TRIM(D499),INVENTARIO!$A$2:$A$2000,INVENTARIO!$B$2:$B$2000),"NO ENCONTRADO"))</f>
        <v/>
      </c>
      <c r="F499" s="2">
        <f>IF(D499="","",IFERROR(XLOOKUP(TRIM(D499),INVENTARIO!$A$2:$A$2000,INVENTARIO!$C$2:$C$2000),""))</f>
        <v/>
      </c>
      <c r="G499" s="2">
        <f>IF(D499="","",IF(E499="NO ENCONTRADO","CODIGO NO EXISTE",IF(COUNTIF($D$2:D499,D499)&gt;1,"DUPLICADO",IF(C499="","OK SIN PEDIDO",IF(COUNTIFS(PEDIDO_ITEMS!$A$2:$A$501,C499,PEDIDO_ITEMS!$B$2:$B$501,E499)=0,"NO PEDIDO",IF(COUNTIFS($C$2:C499,C499,$E$2:E499,E499)&gt;SUMIFS(PEDIDO_ITEMS!$C$2:$C$501,PEDIDO_ITEMS!$A$2:$A$501,C499,PEDIDO_ITEMS!$B$2:$B$501,E499),"EXCEDE PEDIDO","OK"))))))</f>
        <v/>
      </c>
    </row>
    <row r="500">
      <c r="A500" s="9" t="inlineStr"/>
      <c r="B500" s="2" t="inlineStr"/>
      <c r="C500" s="2" t="inlineStr"/>
      <c r="D500" s="2" t="inlineStr"/>
      <c r="E500" s="2">
        <f>IF(D500="","",IFERROR(XLOOKUP(TRIM(D500),INVENTARIO!$A$2:$A$2000,INVENTARIO!$B$2:$B$2000),"NO ENCONTRADO"))</f>
        <v/>
      </c>
      <c r="F500" s="2">
        <f>IF(D500="","",IFERROR(XLOOKUP(TRIM(D500),INVENTARIO!$A$2:$A$2000,INVENTARIO!$C$2:$C$2000),""))</f>
        <v/>
      </c>
      <c r="G500" s="2">
        <f>IF(D500="","",IF(E500="NO ENCONTRADO","CODIGO NO EXISTE",IF(COUNTIF($D$2:D500,D500)&gt;1,"DUPLICADO",IF(C500="","OK SIN PEDIDO",IF(COUNTIFS(PEDIDO_ITEMS!$A$2:$A$501,C500,PEDIDO_ITEMS!$B$2:$B$501,E500)=0,"NO PEDIDO",IF(COUNTIFS($C$2:C500,C500,$E$2:E500,E500)&gt;SUMIFS(PEDIDO_ITEMS!$C$2:$C$501,PEDIDO_ITEMS!$A$2:$A$501,C500,PEDIDO_ITEMS!$B$2:$B$501,E500),"EXCEDE PEDIDO","OK"))))))</f>
        <v/>
      </c>
    </row>
    <row r="501">
      <c r="A501" s="9" t="inlineStr"/>
      <c r="B501" s="2" t="inlineStr"/>
      <c r="C501" s="2" t="inlineStr"/>
      <c r="D501" s="2" t="inlineStr"/>
      <c r="E501" s="2">
        <f>IF(D501="","",IFERROR(XLOOKUP(TRIM(D501),INVENTARIO!$A$2:$A$2000,INVENTARIO!$B$2:$B$2000),"NO ENCONTRADO"))</f>
        <v/>
      </c>
      <c r="F501" s="2">
        <f>IF(D501="","",IFERROR(XLOOKUP(TRIM(D501),INVENTARIO!$A$2:$A$2000,INVENTARIO!$C$2:$C$2000),""))</f>
        <v/>
      </c>
      <c r="G501" s="2">
        <f>IF(D501="","",IF(E501="NO ENCONTRADO","CODIGO NO EXISTE",IF(COUNTIF($D$2:D501,D501)&gt;1,"DUPLICADO",IF(C501="","OK SIN PEDIDO",IF(COUNTIFS(PEDIDO_ITEMS!$A$2:$A$501,C501,PEDIDO_ITEMS!$B$2:$B$501,E501)=0,"NO PEDIDO",IF(COUNTIFS($C$2:C501,C501,$E$2:E501,E501)&gt;SUMIFS(PEDIDO_ITEMS!$C$2:$C$501,PEDIDO_ITEMS!$A$2:$A$501,C501,PEDIDO_ITEMS!$B$2:$B$501,E501),"EXCEDE PEDIDO","OK"))))))</f>
        <v/>
      </c>
    </row>
    <row r="502">
      <c r="A502" s="9" t="inlineStr"/>
      <c r="B502" s="2" t="inlineStr"/>
      <c r="C502" s="2" t="inlineStr"/>
      <c r="D502" s="2" t="inlineStr"/>
      <c r="E502" s="2">
        <f>IF(D502="","",IFERROR(XLOOKUP(TRIM(D502),INVENTARIO!$A$2:$A$2000,INVENTARIO!$B$2:$B$2000),"NO ENCONTRADO"))</f>
        <v/>
      </c>
      <c r="F502" s="2">
        <f>IF(D502="","",IFERROR(XLOOKUP(TRIM(D502),INVENTARIO!$A$2:$A$2000,INVENTARIO!$C$2:$C$2000),""))</f>
        <v/>
      </c>
      <c r="G502" s="2">
        <f>IF(D502="","",IF(E502="NO ENCONTRADO","CODIGO NO EXISTE",IF(COUNTIF($D$2:D502,D502)&gt;1,"DUPLICADO",IF(C502="","OK SIN PEDIDO",IF(COUNTIFS(PEDIDO_ITEMS!$A$2:$A$501,C502,PEDIDO_ITEMS!$B$2:$B$501,E502)=0,"NO PEDIDO",IF(COUNTIFS($C$2:C502,C502,$E$2:E502,E502)&gt;SUMIFS(PEDIDO_ITEMS!$C$2:$C$501,PEDIDO_ITEMS!$A$2:$A$501,C502,PEDIDO_ITEMS!$B$2:$B$501,E502),"EXCEDE PEDIDO","OK"))))))</f>
        <v/>
      </c>
    </row>
    <row r="503">
      <c r="A503" s="9" t="inlineStr"/>
      <c r="B503" s="2" t="inlineStr"/>
      <c r="C503" s="2" t="inlineStr"/>
      <c r="D503" s="2" t="inlineStr"/>
      <c r="E503" s="2">
        <f>IF(D503="","",IFERROR(XLOOKUP(TRIM(D503),INVENTARIO!$A$2:$A$2000,INVENTARIO!$B$2:$B$2000),"NO ENCONTRADO"))</f>
        <v/>
      </c>
      <c r="F503" s="2">
        <f>IF(D503="","",IFERROR(XLOOKUP(TRIM(D503),INVENTARIO!$A$2:$A$2000,INVENTARIO!$C$2:$C$2000),""))</f>
        <v/>
      </c>
      <c r="G503" s="2">
        <f>IF(D503="","",IF(E503="NO ENCONTRADO","CODIGO NO EXISTE",IF(COUNTIF($D$2:D503,D503)&gt;1,"DUPLICADO",IF(C503="","OK SIN PEDIDO",IF(COUNTIFS(PEDIDO_ITEMS!$A$2:$A$501,C503,PEDIDO_ITEMS!$B$2:$B$501,E503)=0,"NO PEDIDO",IF(COUNTIFS($C$2:C503,C503,$E$2:E503,E503)&gt;SUMIFS(PEDIDO_ITEMS!$C$2:$C$501,PEDIDO_ITEMS!$A$2:$A$501,C503,PEDIDO_ITEMS!$B$2:$B$501,E503),"EXCEDE PEDIDO","OK"))))))</f>
        <v/>
      </c>
    </row>
    <row r="504">
      <c r="A504" s="9" t="inlineStr"/>
      <c r="B504" s="2" t="inlineStr"/>
      <c r="C504" s="2" t="inlineStr"/>
      <c r="D504" s="2" t="inlineStr"/>
      <c r="E504" s="2">
        <f>IF(D504="","",IFERROR(XLOOKUP(TRIM(D504),INVENTARIO!$A$2:$A$2000,INVENTARIO!$B$2:$B$2000),"NO ENCONTRADO"))</f>
        <v/>
      </c>
      <c r="F504" s="2">
        <f>IF(D504="","",IFERROR(XLOOKUP(TRIM(D504),INVENTARIO!$A$2:$A$2000,INVENTARIO!$C$2:$C$2000),""))</f>
        <v/>
      </c>
      <c r="G504" s="2">
        <f>IF(D504="","",IF(E504="NO ENCONTRADO","CODIGO NO EXISTE",IF(COUNTIF($D$2:D504,D504)&gt;1,"DUPLICADO",IF(C504="","OK SIN PEDIDO",IF(COUNTIFS(PEDIDO_ITEMS!$A$2:$A$501,C504,PEDIDO_ITEMS!$B$2:$B$501,E504)=0,"NO PEDIDO",IF(COUNTIFS($C$2:C504,C504,$E$2:E504,E504)&gt;SUMIFS(PEDIDO_ITEMS!$C$2:$C$501,PEDIDO_ITEMS!$A$2:$A$501,C504,PEDIDO_ITEMS!$B$2:$B$501,E504),"EXCEDE PEDIDO","OK"))))))</f>
        <v/>
      </c>
    </row>
    <row r="505">
      <c r="A505" s="9" t="inlineStr"/>
      <c r="B505" s="2" t="inlineStr"/>
      <c r="C505" s="2" t="inlineStr"/>
      <c r="D505" s="2" t="inlineStr"/>
      <c r="E505" s="2">
        <f>IF(D505="","",IFERROR(XLOOKUP(TRIM(D505),INVENTARIO!$A$2:$A$2000,INVENTARIO!$B$2:$B$2000),"NO ENCONTRADO"))</f>
        <v/>
      </c>
      <c r="F505" s="2">
        <f>IF(D505="","",IFERROR(XLOOKUP(TRIM(D505),INVENTARIO!$A$2:$A$2000,INVENTARIO!$C$2:$C$2000),""))</f>
        <v/>
      </c>
      <c r="G505" s="2">
        <f>IF(D505="","",IF(E505="NO ENCONTRADO","CODIGO NO EXISTE",IF(COUNTIF($D$2:D505,D505)&gt;1,"DUPLICADO",IF(C505="","OK SIN PEDIDO",IF(COUNTIFS(PEDIDO_ITEMS!$A$2:$A$501,C505,PEDIDO_ITEMS!$B$2:$B$501,E505)=0,"NO PEDIDO",IF(COUNTIFS($C$2:C505,C505,$E$2:E505,E505)&gt;SUMIFS(PEDIDO_ITEMS!$C$2:$C$501,PEDIDO_ITEMS!$A$2:$A$501,C505,PEDIDO_ITEMS!$B$2:$B$501,E505),"EXCEDE PEDIDO","OK"))))))</f>
        <v/>
      </c>
    </row>
    <row r="506">
      <c r="A506" s="9" t="inlineStr"/>
      <c r="B506" s="2" t="inlineStr"/>
      <c r="C506" s="2" t="inlineStr"/>
      <c r="D506" s="2" t="inlineStr"/>
      <c r="E506" s="2">
        <f>IF(D506="","",IFERROR(XLOOKUP(TRIM(D506),INVENTARIO!$A$2:$A$2000,INVENTARIO!$B$2:$B$2000),"NO ENCONTRADO"))</f>
        <v/>
      </c>
      <c r="F506" s="2">
        <f>IF(D506="","",IFERROR(XLOOKUP(TRIM(D506),INVENTARIO!$A$2:$A$2000,INVENTARIO!$C$2:$C$2000),""))</f>
        <v/>
      </c>
      <c r="G506" s="2">
        <f>IF(D506="","",IF(E506="NO ENCONTRADO","CODIGO NO EXISTE",IF(COUNTIF($D$2:D506,D506)&gt;1,"DUPLICADO",IF(C506="","OK SIN PEDIDO",IF(COUNTIFS(PEDIDO_ITEMS!$A$2:$A$501,C506,PEDIDO_ITEMS!$B$2:$B$501,E506)=0,"NO PEDIDO",IF(COUNTIFS($C$2:C506,C506,$E$2:E506,E506)&gt;SUMIFS(PEDIDO_ITEMS!$C$2:$C$501,PEDIDO_ITEMS!$A$2:$A$501,C506,PEDIDO_ITEMS!$B$2:$B$501,E506),"EXCEDE PEDIDO","OK"))))))</f>
        <v/>
      </c>
    </row>
    <row r="507">
      <c r="A507" s="9" t="inlineStr"/>
      <c r="B507" s="2" t="inlineStr"/>
      <c r="C507" s="2" t="inlineStr"/>
      <c r="D507" s="2" t="inlineStr"/>
      <c r="E507" s="2">
        <f>IF(D507="","",IFERROR(XLOOKUP(TRIM(D507),INVENTARIO!$A$2:$A$2000,INVENTARIO!$B$2:$B$2000),"NO ENCONTRADO"))</f>
        <v/>
      </c>
      <c r="F507" s="2">
        <f>IF(D507="","",IFERROR(XLOOKUP(TRIM(D507),INVENTARIO!$A$2:$A$2000,INVENTARIO!$C$2:$C$2000),""))</f>
        <v/>
      </c>
      <c r="G507" s="2">
        <f>IF(D507="","",IF(E507="NO ENCONTRADO","CODIGO NO EXISTE",IF(COUNTIF($D$2:D507,D507)&gt;1,"DUPLICADO",IF(C507="","OK SIN PEDIDO",IF(COUNTIFS(PEDIDO_ITEMS!$A$2:$A$501,C507,PEDIDO_ITEMS!$B$2:$B$501,E507)=0,"NO PEDIDO",IF(COUNTIFS($C$2:C507,C507,$E$2:E507,E507)&gt;SUMIFS(PEDIDO_ITEMS!$C$2:$C$501,PEDIDO_ITEMS!$A$2:$A$501,C507,PEDIDO_ITEMS!$B$2:$B$501,E507),"EXCEDE PEDIDO","OK"))))))</f>
        <v/>
      </c>
    </row>
    <row r="508">
      <c r="A508" s="9" t="inlineStr"/>
      <c r="B508" s="2" t="inlineStr"/>
      <c r="C508" s="2" t="inlineStr"/>
      <c r="D508" s="2" t="inlineStr"/>
      <c r="E508" s="2">
        <f>IF(D508="","",IFERROR(XLOOKUP(TRIM(D508),INVENTARIO!$A$2:$A$2000,INVENTARIO!$B$2:$B$2000),"NO ENCONTRADO"))</f>
        <v/>
      </c>
      <c r="F508" s="2">
        <f>IF(D508="","",IFERROR(XLOOKUP(TRIM(D508),INVENTARIO!$A$2:$A$2000,INVENTARIO!$C$2:$C$2000),""))</f>
        <v/>
      </c>
      <c r="G508" s="2">
        <f>IF(D508="","",IF(E508="NO ENCONTRADO","CODIGO NO EXISTE",IF(COUNTIF($D$2:D508,D508)&gt;1,"DUPLICADO",IF(C508="","OK SIN PEDIDO",IF(COUNTIFS(PEDIDO_ITEMS!$A$2:$A$501,C508,PEDIDO_ITEMS!$B$2:$B$501,E508)=0,"NO PEDIDO",IF(COUNTIFS($C$2:C508,C508,$E$2:E508,E508)&gt;SUMIFS(PEDIDO_ITEMS!$C$2:$C$501,PEDIDO_ITEMS!$A$2:$A$501,C508,PEDIDO_ITEMS!$B$2:$B$501,E508),"EXCEDE PEDIDO","OK"))))))</f>
        <v/>
      </c>
    </row>
    <row r="509">
      <c r="A509" s="9" t="inlineStr"/>
      <c r="B509" s="2" t="inlineStr"/>
      <c r="C509" s="2" t="inlineStr"/>
      <c r="D509" s="2" t="inlineStr"/>
      <c r="E509" s="2">
        <f>IF(D509="","",IFERROR(XLOOKUP(TRIM(D509),INVENTARIO!$A$2:$A$2000,INVENTARIO!$B$2:$B$2000),"NO ENCONTRADO"))</f>
        <v/>
      </c>
      <c r="F509" s="2">
        <f>IF(D509="","",IFERROR(XLOOKUP(TRIM(D509),INVENTARIO!$A$2:$A$2000,INVENTARIO!$C$2:$C$2000),""))</f>
        <v/>
      </c>
      <c r="G509" s="2">
        <f>IF(D509="","",IF(E509="NO ENCONTRADO","CODIGO NO EXISTE",IF(COUNTIF($D$2:D509,D509)&gt;1,"DUPLICADO",IF(C509="","OK SIN PEDIDO",IF(COUNTIFS(PEDIDO_ITEMS!$A$2:$A$501,C509,PEDIDO_ITEMS!$B$2:$B$501,E509)=0,"NO PEDIDO",IF(COUNTIFS($C$2:C509,C509,$E$2:E509,E509)&gt;SUMIFS(PEDIDO_ITEMS!$C$2:$C$501,PEDIDO_ITEMS!$A$2:$A$501,C509,PEDIDO_ITEMS!$B$2:$B$501,E509),"EXCEDE PEDIDO","OK"))))))</f>
        <v/>
      </c>
    </row>
    <row r="510">
      <c r="A510" s="9" t="inlineStr"/>
      <c r="B510" s="2" t="inlineStr"/>
      <c r="C510" s="2" t="inlineStr"/>
      <c r="D510" s="2" t="inlineStr"/>
      <c r="E510" s="2">
        <f>IF(D510="","",IFERROR(XLOOKUP(TRIM(D510),INVENTARIO!$A$2:$A$2000,INVENTARIO!$B$2:$B$2000),"NO ENCONTRADO"))</f>
        <v/>
      </c>
      <c r="F510" s="2">
        <f>IF(D510="","",IFERROR(XLOOKUP(TRIM(D510),INVENTARIO!$A$2:$A$2000,INVENTARIO!$C$2:$C$2000),""))</f>
        <v/>
      </c>
      <c r="G510" s="2">
        <f>IF(D510="","",IF(E510="NO ENCONTRADO","CODIGO NO EXISTE",IF(COUNTIF($D$2:D510,D510)&gt;1,"DUPLICADO",IF(C510="","OK SIN PEDIDO",IF(COUNTIFS(PEDIDO_ITEMS!$A$2:$A$501,C510,PEDIDO_ITEMS!$B$2:$B$501,E510)=0,"NO PEDIDO",IF(COUNTIFS($C$2:C510,C510,$E$2:E510,E510)&gt;SUMIFS(PEDIDO_ITEMS!$C$2:$C$501,PEDIDO_ITEMS!$A$2:$A$501,C510,PEDIDO_ITEMS!$B$2:$B$501,E510),"EXCEDE PEDIDO","OK"))))))</f>
        <v/>
      </c>
    </row>
    <row r="511">
      <c r="A511" s="9" t="inlineStr"/>
      <c r="B511" s="2" t="inlineStr"/>
      <c r="C511" s="2" t="inlineStr"/>
      <c r="D511" s="2" t="inlineStr"/>
      <c r="E511" s="2">
        <f>IF(D511="","",IFERROR(XLOOKUP(TRIM(D511),INVENTARIO!$A$2:$A$2000,INVENTARIO!$B$2:$B$2000),"NO ENCONTRADO"))</f>
        <v/>
      </c>
      <c r="F511" s="2">
        <f>IF(D511="","",IFERROR(XLOOKUP(TRIM(D511),INVENTARIO!$A$2:$A$2000,INVENTARIO!$C$2:$C$2000),""))</f>
        <v/>
      </c>
      <c r="G511" s="2">
        <f>IF(D511="","",IF(E511="NO ENCONTRADO","CODIGO NO EXISTE",IF(COUNTIF($D$2:D511,D511)&gt;1,"DUPLICADO",IF(C511="","OK SIN PEDIDO",IF(COUNTIFS(PEDIDO_ITEMS!$A$2:$A$501,C511,PEDIDO_ITEMS!$B$2:$B$501,E511)=0,"NO PEDIDO",IF(COUNTIFS($C$2:C511,C511,$E$2:E511,E511)&gt;SUMIFS(PEDIDO_ITEMS!$C$2:$C$501,PEDIDO_ITEMS!$A$2:$A$501,C511,PEDIDO_ITEMS!$B$2:$B$501,E511),"EXCEDE PEDIDO","OK"))))))</f>
        <v/>
      </c>
    </row>
    <row r="512">
      <c r="A512" s="9" t="inlineStr"/>
      <c r="B512" s="2" t="inlineStr"/>
      <c r="C512" s="2" t="inlineStr"/>
      <c r="D512" s="2" t="inlineStr"/>
      <c r="E512" s="2">
        <f>IF(D512="","",IFERROR(XLOOKUP(TRIM(D512),INVENTARIO!$A$2:$A$2000,INVENTARIO!$B$2:$B$2000),"NO ENCONTRADO"))</f>
        <v/>
      </c>
      <c r="F512" s="2">
        <f>IF(D512="","",IFERROR(XLOOKUP(TRIM(D512),INVENTARIO!$A$2:$A$2000,INVENTARIO!$C$2:$C$2000),""))</f>
        <v/>
      </c>
      <c r="G512" s="2">
        <f>IF(D512="","",IF(E512="NO ENCONTRADO","CODIGO NO EXISTE",IF(COUNTIF($D$2:D512,D512)&gt;1,"DUPLICADO",IF(C512="","OK SIN PEDIDO",IF(COUNTIFS(PEDIDO_ITEMS!$A$2:$A$501,C512,PEDIDO_ITEMS!$B$2:$B$501,E512)=0,"NO PEDIDO",IF(COUNTIFS($C$2:C512,C512,$E$2:E512,E512)&gt;SUMIFS(PEDIDO_ITEMS!$C$2:$C$501,PEDIDO_ITEMS!$A$2:$A$501,C512,PEDIDO_ITEMS!$B$2:$B$501,E512),"EXCEDE PEDIDO","OK"))))))</f>
        <v/>
      </c>
    </row>
    <row r="513">
      <c r="A513" s="9" t="inlineStr"/>
      <c r="B513" s="2" t="inlineStr"/>
      <c r="C513" s="2" t="inlineStr"/>
      <c r="D513" s="2" t="inlineStr"/>
      <c r="E513" s="2">
        <f>IF(D513="","",IFERROR(XLOOKUP(TRIM(D513),INVENTARIO!$A$2:$A$2000,INVENTARIO!$B$2:$B$2000),"NO ENCONTRADO"))</f>
        <v/>
      </c>
      <c r="F513" s="2">
        <f>IF(D513="","",IFERROR(XLOOKUP(TRIM(D513),INVENTARIO!$A$2:$A$2000,INVENTARIO!$C$2:$C$2000),""))</f>
        <v/>
      </c>
      <c r="G513" s="2">
        <f>IF(D513="","",IF(E513="NO ENCONTRADO","CODIGO NO EXISTE",IF(COUNTIF($D$2:D513,D513)&gt;1,"DUPLICADO",IF(C513="","OK SIN PEDIDO",IF(COUNTIFS(PEDIDO_ITEMS!$A$2:$A$501,C513,PEDIDO_ITEMS!$B$2:$B$501,E513)=0,"NO PEDIDO",IF(COUNTIFS($C$2:C513,C513,$E$2:E513,E513)&gt;SUMIFS(PEDIDO_ITEMS!$C$2:$C$501,PEDIDO_ITEMS!$A$2:$A$501,C513,PEDIDO_ITEMS!$B$2:$B$501,E513),"EXCEDE PEDIDO","OK"))))))</f>
        <v/>
      </c>
    </row>
    <row r="514">
      <c r="A514" s="9" t="inlineStr"/>
      <c r="B514" s="2" t="inlineStr"/>
      <c r="C514" s="2" t="inlineStr"/>
      <c r="D514" s="2" t="inlineStr"/>
      <c r="E514" s="2">
        <f>IF(D514="","",IFERROR(XLOOKUP(TRIM(D514),INVENTARIO!$A$2:$A$2000,INVENTARIO!$B$2:$B$2000),"NO ENCONTRADO"))</f>
        <v/>
      </c>
      <c r="F514" s="2">
        <f>IF(D514="","",IFERROR(XLOOKUP(TRIM(D514),INVENTARIO!$A$2:$A$2000,INVENTARIO!$C$2:$C$2000),""))</f>
        <v/>
      </c>
      <c r="G514" s="2">
        <f>IF(D514="","",IF(E514="NO ENCONTRADO","CODIGO NO EXISTE",IF(COUNTIF($D$2:D514,D514)&gt;1,"DUPLICADO",IF(C514="","OK SIN PEDIDO",IF(COUNTIFS(PEDIDO_ITEMS!$A$2:$A$501,C514,PEDIDO_ITEMS!$B$2:$B$501,E514)=0,"NO PEDIDO",IF(COUNTIFS($C$2:C514,C514,$E$2:E514,E514)&gt;SUMIFS(PEDIDO_ITEMS!$C$2:$C$501,PEDIDO_ITEMS!$A$2:$A$501,C514,PEDIDO_ITEMS!$B$2:$B$501,E514),"EXCEDE PEDIDO","OK"))))))</f>
        <v/>
      </c>
    </row>
    <row r="515">
      <c r="A515" s="9" t="inlineStr"/>
      <c r="B515" s="2" t="inlineStr"/>
      <c r="C515" s="2" t="inlineStr"/>
      <c r="D515" s="2" t="inlineStr"/>
      <c r="E515" s="2">
        <f>IF(D515="","",IFERROR(XLOOKUP(TRIM(D515),INVENTARIO!$A$2:$A$2000,INVENTARIO!$B$2:$B$2000),"NO ENCONTRADO"))</f>
        <v/>
      </c>
      <c r="F515" s="2">
        <f>IF(D515="","",IFERROR(XLOOKUP(TRIM(D515),INVENTARIO!$A$2:$A$2000,INVENTARIO!$C$2:$C$2000),""))</f>
        <v/>
      </c>
      <c r="G515" s="2">
        <f>IF(D515="","",IF(E515="NO ENCONTRADO","CODIGO NO EXISTE",IF(COUNTIF($D$2:D515,D515)&gt;1,"DUPLICADO",IF(C515="","OK SIN PEDIDO",IF(COUNTIFS(PEDIDO_ITEMS!$A$2:$A$501,C515,PEDIDO_ITEMS!$B$2:$B$501,E515)=0,"NO PEDIDO",IF(COUNTIFS($C$2:C515,C515,$E$2:E515,E515)&gt;SUMIFS(PEDIDO_ITEMS!$C$2:$C$501,PEDIDO_ITEMS!$A$2:$A$501,C515,PEDIDO_ITEMS!$B$2:$B$501,E515),"EXCEDE PEDIDO","OK"))))))</f>
        <v/>
      </c>
    </row>
    <row r="516">
      <c r="A516" s="9" t="inlineStr"/>
      <c r="B516" s="2" t="inlineStr"/>
      <c r="C516" s="2" t="inlineStr"/>
      <c r="D516" s="2" t="inlineStr"/>
      <c r="E516" s="2">
        <f>IF(D516="","",IFERROR(XLOOKUP(TRIM(D516),INVENTARIO!$A$2:$A$2000,INVENTARIO!$B$2:$B$2000),"NO ENCONTRADO"))</f>
        <v/>
      </c>
      <c r="F516" s="2">
        <f>IF(D516="","",IFERROR(XLOOKUP(TRIM(D516),INVENTARIO!$A$2:$A$2000,INVENTARIO!$C$2:$C$2000),""))</f>
        <v/>
      </c>
      <c r="G516" s="2">
        <f>IF(D516="","",IF(E516="NO ENCONTRADO","CODIGO NO EXISTE",IF(COUNTIF($D$2:D516,D516)&gt;1,"DUPLICADO",IF(C516="","OK SIN PEDIDO",IF(COUNTIFS(PEDIDO_ITEMS!$A$2:$A$501,C516,PEDIDO_ITEMS!$B$2:$B$501,E516)=0,"NO PEDIDO",IF(COUNTIFS($C$2:C516,C516,$E$2:E516,E516)&gt;SUMIFS(PEDIDO_ITEMS!$C$2:$C$501,PEDIDO_ITEMS!$A$2:$A$501,C516,PEDIDO_ITEMS!$B$2:$B$501,E516),"EXCEDE PEDIDO","OK"))))))</f>
        <v/>
      </c>
    </row>
    <row r="517">
      <c r="A517" s="9" t="inlineStr"/>
      <c r="B517" s="2" t="inlineStr"/>
      <c r="C517" s="2" t="inlineStr"/>
      <c r="D517" s="2" t="inlineStr"/>
      <c r="E517" s="2">
        <f>IF(D517="","",IFERROR(XLOOKUP(TRIM(D517),INVENTARIO!$A$2:$A$2000,INVENTARIO!$B$2:$B$2000),"NO ENCONTRADO"))</f>
        <v/>
      </c>
      <c r="F517" s="2">
        <f>IF(D517="","",IFERROR(XLOOKUP(TRIM(D517),INVENTARIO!$A$2:$A$2000,INVENTARIO!$C$2:$C$2000),""))</f>
        <v/>
      </c>
      <c r="G517" s="2">
        <f>IF(D517="","",IF(E517="NO ENCONTRADO","CODIGO NO EXISTE",IF(COUNTIF($D$2:D517,D517)&gt;1,"DUPLICADO",IF(C517="","OK SIN PEDIDO",IF(COUNTIFS(PEDIDO_ITEMS!$A$2:$A$501,C517,PEDIDO_ITEMS!$B$2:$B$501,E517)=0,"NO PEDIDO",IF(COUNTIFS($C$2:C517,C517,$E$2:E517,E517)&gt;SUMIFS(PEDIDO_ITEMS!$C$2:$C$501,PEDIDO_ITEMS!$A$2:$A$501,C517,PEDIDO_ITEMS!$B$2:$B$501,E517),"EXCEDE PEDIDO","OK"))))))</f>
        <v/>
      </c>
    </row>
    <row r="518">
      <c r="A518" s="9" t="inlineStr"/>
      <c r="B518" s="2" t="inlineStr"/>
      <c r="C518" s="2" t="inlineStr"/>
      <c r="D518" s="2" t="inlineStr"/>
      <c r="E518" s="2">
        <f>IF(D518="","",IFERROR(XLOOKUP(TRIM(D518),INVENTARIO!$A$2:$A$2000,INVENTARIO!$B$2:$B$2000),"NO ENCONTRADO"))</f>
        <v/>
      </c>
      <c r="F518" s="2">
        <f>IF(D518="","",IFERROR(XLOOKUP(TRIM(D518),INVENTARIO!$A$2:$A$2000,INVENTARIO!$C$2:$C$2000),""))</f>
        <v/>
      </c>
      <c r="G518" s="2">
        <f>IF(D518="","",IF(E518="NO ENCONTRADO","CODIGO NO EXISTE",IF(COUNTIF($D$2:D518,D518)&gt;1,"DUPLICADO",IF(C518="","OK SIN PEDIDO",IF(COUNTIFS(PEDIDO_ITEMS!$A$2:$A$501,C518,PEDIDO_ITEMS!$B$2:$B$501,E518)=0,"NO PEDIDO",IF(COUNTIFS($C$2:C518,C518,$E$2:E518,E518)&gt;SUMIFS(PEDIDO_ITEMS!$C$2:$C$501,PEDIDO_ITEMS!$A$2:$A$501,C518,PEDIDO_ITEMS!$B$2:$B$501,E518),"EXCEDE PEDIDO","OK"))))))</f>
        <v/>
      </c>
    </row>
    <row r="519">
      <c r="A519" s="9" t="inlineStr"/>
      <c r="B519" s="2" t="inlineStr"/>
      <c r="C519" s="2" t="inlineStr"/>
      <c r="D519" s="2" t="inlineStr"/>
      <c r="E519" s="2">
        <f>IF(D519="","",IFERROR(XLOOKUP(TRIM(D519),INVENTARIO!$A$2:$A$2000,INVENTARIO!$B$2:$B$2000),"NO ENCONTRADO"))</f>
        <v/>
      </c>
      <c r="F519" s="2">
        <f>IF(D519="","",IFERROR(XLOOKUP(TRIM(D519),INVENTARIO!$A$2:$A$2000,INVENTARIO!$C$2:$C$2000),""))</f>
        <v/>
      </c>
      <c r="G519" s="2">
        <f>IF(D519="","",IF(E519="NO ENCONTRADO","CODIGO NO EXISTE",IF(COUNTIF($D$2:D519,D519)&gt;1,"DUPLICADO",IF(C519="","OK SIN PEDIDO",IF(COUNTIFS(PEDIDO_ITEMS!$A$2:$A$501,C519,PEDIDO_ITEMS!$B$2:$B$501,E519)=0,"NO PEDIDO",IF(COUNTIFS($C$2:C519,C519,$E$2:E519,E519)&gt;SUMIFS(PEDIDO_ITEMS!$C$2:$C$501,PEDIDO_ITEMS!$A$2:$A$501,C519,PEDIDO_ITEMS!$B$2:$B$501,E519),"EXCEDE PEDIDO","OK"))))))</f>
        <v/>
      </c>
    </row>
    <row r="520">
      <c r="A520" s="9" t="inlineStr"/>
      <c r="B520" s="2" t="inlineStr"/>
      <c r="C520" s="2" t="inlineStr"/>
      <c r="D520" s="2" t="inlineStr"/>
      <c r="E520" s="2">
        <f>IF(D520="","",IFERROR(XLOOKUP(TRIM(D520),INVENTARIO!$A$2:$A$2000,INVENTARIO!$B$2:$B$2000),"NO ENCONTRADO"))</f>
        <v/>
      </c>
      <c r="F520" s="2">
        <f>IF(D520="","",IFERROR(XLOOKUP(TRIM(D520),INVENTARIO!$A$2:$A$2000,INVENTARIO!$C$2:$C$2000),""))</f>
        <v/>
      </c>
      <c r="G520" s="2">
        <f>IF(D520="","",IF(E520="NO ENCONTRADO","CODIGO NO EXISTE",IF(COUNTIF($D$2:D520,D520)&gt;1,"DUPLICADO",IF(C520="","OK SIN PEDIDO",IF(COUNTIFS(PEDIDO_ITEMS!$A$2:$A$501,C520,PEDIDO_ITEMS!$B$2:$B$501,E520)=0,"NO PEDIDO",IF(COUNTIFS($C$2:C520,C520,$E$2:E520,E520)&gt;SUMIFS(PEDIDO_ITEMS!$C$2:$C$501,PEDIDO_ITEMS!$A$2:$A$501,C520,PEDIDO_ITEMS!$B$2:$B$501,E520),"EXCEDE PEDIDO","OK"))))))</f>
        <v/>
      </c>
    </row>
    <row r="521">
      <c r="A521" s="9" t="inlineStr"/>
      <c r="B521" s="2" t="inlineStr"/>
      <c r="C521" s="2" t="inlineStr"/>
      <c r="D521" s="2" t="inlineStr"/>
      <c r="E521" s="2">
        <f>IF(D521="","",IFERROR(XLOOKUP(TRIM(D521),INVENTARIO!$A$2:$A$2000,INVENTARIO!$B$2:$B$2000),"NO ENCONTRADO"))</f>
        <v/>
      </c>
      <c r="F521" s="2">
        <f>IF(D521="","",IFERROR(XLOOKUP(TRIM(D521),INVENTARIO!$A$2:$A$2000,INVENTARIO!$C$2:$C$2000),""))</f>
        <v/>
      </c>
      <c r="G521" s="2">
        <f>IF(D521="","",IF(E521="NO ENCONTRADO","CODIGO NO EXISTE",IF(COUNTIF($D$2:D521,D521)&gt;1,"DUPLICADO",IF(C521="","OK SIN PEDIDO",IF(COUNTIFS(PEDIDO_ITEMS!$A$2:$A$501,C521,PEDIDO_ITEMS!$B$2:$B$501,E521)=0,"NO PEDIDO",IF(COUNTIFS($C$2:C521,C521,$E$2:E521,E521)&gt;SUMIFS(PEDIDO_ITEMS!$C$2:$C$501,PEDIDO_ITEMS!$A$2:$A$501,C521,PEDIDO_ITEMS!$B$2:$B$501,E521),"EXCEDE PEDIDO","OK"))))))</f>
        <v/>
      </c>
    </row>
    <row r="522">
      <c r="A522" s="9" t="inlineStr"/>
      <c r="B522" s="2" t="inlineStr"/>
      <c r="C522" s="2" t="inlineStr"/>
      <c r="D522" s="2" t="inlineStr"/>
      <c r="E522" s="2">
        <f>IF(D522="","",IFERROR(XLOOKUP(TRIM(D522),INVENTARIO!$A$2:$A$2000,INVENTARIO!$B$2:$B$2000),"NO ENCONTRADO"))</f>
        <v/>
      </c>
      <c r="F522" s="2">
        <f>IF(D522="","",IFERROR(XLOOKUP(TRIM(D522),INVENTARIO!$A$2:$A$2000,INVENTARIO!$C$2:$C$2000),""))</f>
        <v/>
      </c>
      <c r="G522" s="2">
        <f>IF(D522="","",IF(E522="NO ENCONTRADO","CODIGO NO EXISTE",IF(COUNTIF($D$2:D522,D522)&gt;1,"DUPLICADO",IF(C522="","OK SIN PEDIDO",IF(COUNTIFS(PEDIDO_ITEMS!$A$2:$A$501,C522,PEDIDO_ITEMS!$B$2:$B$501,E522)=0,"NO PEDIDO",IF(COUNTIFS($C$2:C522,C522,$E$2:E522,E522)&gt;SUMIFS(PEDIDO_ITEMS!$C$2:$C$501,PEDIDO_ITEMS!$A$2:$A$501,C522,PEDIDO_ITEMS!$B$2:$B$501,E522),"EXCEDE PEDIDO","OK"))))))</f>
        <v/>
      </c>
    </row>
    <row r="523">
      <c r="A523" s="9" t="inlineStr"/>
      <c r="B523" s="2" t="inlineStr"/>
      <c r="C523" s="2" t="inlineStr"/>
      <c r="D523" s="2" t="inlineStr"/>
      <c r="E523" s="2">
        <f>IF(D523="","",IFERROR(XLOOKUP(TRIM(D523),INVENTARIO!$A$2:$A$2000,INVENTARIO!$B$2:$B$2000),"NO ENCONTRADO"))</f>
        <v/>
      </c>
      <c r="F523" s="2">
        <f>IF(D523="","",IFERROR(XLOOKUP(TRIM(D523),INVENTARIO!$A$2:$A$2000,INVENTARIO!$C$2:$C$2000),""))</f>
        <v/>
      </c>
      <c r="G523" s="2">
        <f>IF(D523="","",IF(E523="NO ENCONTRADO","CODIGO NO EXISTE",IF(COUNTIF($D$2:D523,D523)&gt;1,"DUPLICADO",IF(C523="","OK SIN PEDIDO",IF(COUNTIFS(PEDIDO_ITEMS!$A$2:$A$501,C523,PEDIDO_ITEMS!$B$2:$B$501,E523)=0,"NO PEDIDO",IF(COUNTIFS($C$2:C523,C523,$E$2:E523,E523)&gt;SUMIFS(PEDIDO_ITEMS!$C$2:$C$501,PEDIDO_ITEMS!$A$2:$A$501,C523,PEDIDO_ITEMS!$B$2:$B$501,E523),"EXCEDE PEDIDO","OK"))))))</f>
        <v/>
      </c>
    </row>
    <row r="524">
      <c r="A524" s="9" t="inlineStr"/>
      <c r="B524" s="2" t="inlineStr"/>
      <c r="C524" s="2" t="inlineStr"/>
      <c r="D524" s="2" t="inlineStr"/>
      <c r="E524" s="2">
        <f>IF(D524="","",IFERROR(XLOOKUP(TRIM(D524),INVENTARIO!$A$2:$A$2000,INVENTARIO!$B$2:$B$2000),"NO ENCONTRADO"))</f>
        <v/>
      </c>
      <c r="F524" s="2">
        <f>IF(D524="","",IFERROR(XLOOKUP(TRIM(D524),INVENTARIO!$A$2:$A$2000,INVENTARIO!$C$2:$C$2000),""))</f>
        <v/>
      </c>
      <c r="G524" s="2">
        <f>IF(D524="","",IF(E524="NO ENCONTRADO","CODIGO NO EXISTE",IF(COUNTIF($D$2:D524,D524)&gt;1,"DUPLICADO",IF(C524="","OK SIN PEDIDO",IF(COUNTIFS(PEDIDO_ITEMS!$A$2:$A$501,C524,PEDIDO_ITEMS!$B$2:$B$501,E524)=0,"NO PEDIDO",IF(COUNTIFS($C$2:C524,C524,$E$2:E524,E524)&gt;SUMIFS(PEDIDO_ITEMS!$C$2:$C$501,PEDIDO_ITEMS!$A$2:$A$501,C524,PEDIDO_ITEMS!$B$2:$B$501,E524),"EXCEDE PEDIDO","OK"))))))</f>
        <v/>
      </c>
    </row>
    <row r="525">
      <c r="A525" s="9" t="inlineStr"/>
      <c r="B525" s="2" t="inlineStr"/>
      <c r="C525" s="2" t="inlineStr"/>
      <c r="D525" s="2" t="inlineStr"/>
      <c r="E525" s="2">
        <f>IF(D525="","",IFERROR(XLOOKUP(TRIM(D525),INVENTARIO!$A$2:$A$2000,INVENTARIO!$B$2:$B$2000),"NO ENCONTRADO"))</f>
        <v/>
      </c>
      <c r="F525" s="2">
        <f>IF(D525="","",IFERROR(XLOOKUP(TRIM(D525),INVENTARIO!$A$2:$A$2000,INVENTARIO!$C$2:$C$2000),""))</f>
        <v/>
      </c>
      <c r="G525" s="2">
        <f>IF(D525="","",IF(E525="NO ENCONTRADO","CODIGO NO EXISTE",IF(COUNTIF($D$2:D525,D525)&gt;1,"DUPLICADO",IF(C525="","OK SIN PEDIDO",IF(COUNTIFS(PEDIDO_ITEMS!$A$2:$A$501,C525,PEDIDO_ITEMS!$B$2:$B$501,E525)=0,"NO PEDIDO",IF(COUNTIFS($C$2:C525,C525,$E$2:E525,E525)&gt;SUMIFS(PEDIDO_ITEMS!$C$2:$C$501,PEDIDO_ITEMS!$A$2:$A$501,C525,PEDIDO_ITEMS!$B$2:$B$501,E525),"EXCEDE PEDIDO","OK"))))))</f>
        <v/>
      </c>
    </row>
    <row r="526">
      <c r="A526" s="9" t="inlineStr"/>
      <c r="B526" s="2" t="inlineStr"/>
      <c r="C526" s="2" t="inlineStr"/>
      <c r="D526" s="2" t="inlineStr"/>
      <c r="E526" s="2">
        <f>IF(D526="","",IFERROR(XLOOKUP(TRIM(D526),INVENTARIO!$A$2:$A$2000,INVENTARIO!$B$2:$B$2000),"NO ENCONTRADO"))</f>
        <v/>
      </c>
      <c r="F526" s="2">
        <f>IF(D526="","",IFERROR(XLOOKUP(TRIM(D526),INVENTARIO!$A$2:$A$2000,INVENTARIO!$C$2:$C$2000),""))</f>
        <v/>
      </c>
      <c r="G526" s="2">
        <f>IF(D526="","",IF(E526="NO ENCONTRADO","CODIGO NO EXISTE",IF(COUNTIF($D$2:D526,D526)&gt;1,"DUPLICADO",IF(C526="","OK SIN PEDIDO",IF(COUNTIFS(PEDIDO_ITEMS!$A$2:$A$501,C526,PEDIDO_ITEMS!$B$2:$B$501,E526)=0,"NO PEDIDO",IF(COUNTIFS($C$2:C526,C526,$E$2:E526,E526)&gt;SUMIFS(PEDIDO_ITEMS!$C$2:$C$501,PEDIDO_ITEMS!$A$2:$A$501,C526,PEDIDO_ITEMS!$B$2:$B$501,E526),"EXCEDE PEDIDO","OK"))))))</f>
        <v/>
      </c>
    </row>
    <row r="527">
      <c r="A527" s="9" t="inlineStr"/>
      <c r="B527" s="2" t="inlineStr"/>
      <c r="C527" s="2" t="inlineStr"/>
      <c r="D527" s="2" t="inlineStr"/>
      <c r="E527" s="2">
        <f>IF(D527="","",IFERROR(XLOOKUP(TRIM(D527),INVENTARIO!$A$2:$A$2000,INVENTARIO!$B$2:$B$2000),"NO ENCONTRADO"))</f>
        <v/>
      </c>
      <c r="F527" s="2">
        <f>IF(D527="","",IFERROR(XLOOKUP(TRIM(D527),INVENTARIO!$A$2:$A$2000,INVENTARIO!$C$2:$C$2000),""))</f>
        <v/>
      </c>
      <c r="G527" s="2">
        <f>IF(D527="","",IF(E527="NO ENCONTRADO","CODIGO NO EXISTE",IF(COUNTIF($D$2:D527,D527)&gt;1,"DUPLICADO",IF(C527="","OK SIN PEDIDO",IF(COUNTIFS(PEDIDO_ITEMS!$A$2:$A$501,C527,PEDIDO_ITEMS!$B$2:$B$501,E527)=0,"NO PEDIDO",IF(COUNTIFS($C$2:C527,C527,$E$2:E527,E527)&gt;SUMIFS(PEDIDO_ITEMS!$C$2:$C$501,PEDIDO_ITEMS!$A$2:$A$501,C527,PEDIDO_ITEMS!$B$2:$B$501,E527),"EXCEDE PEDIDO","OK"))))))</f>
        <v/>
      </c>
    </row>
    <row r="528">
      <c r="A528" s="9" t="inlineStr"/>
      <c r="B528" s="2" t="inlineStr"/>
      <c r="C528" s="2" t="inlineStr"/>
      <c r="D528" s="2" t="inlineStr"/>
      <c r="E528" s="2">
        <f>IF(D528="","",IFERROR(XLOOKUP(TRIM(D528),INVENTARIO!$A$2:$A$2000,INVENTARIO!$B$2:$B$2000),"NO ENCONTRADO"))</f>
        <v/>
      </c>
      <c r="F528" s="2">
        <f>IF(D528="","",IFERROR(XLOOKUP(TRIM(D528),INVENTARIO!$A$2:$A$2000,INVENTARIO!$C$2:$C$2000),""))</f>
        <v/>
      </c>
      <c r="G528" s="2">
        <f>IF(D528="","",IF(E528="NO ENCONTRADO","CODIGO NO EXISTE",IF(COUNTIF($D$2:D528,D528)&gt;1,"DUPLICADO",IF(C528="","OK SIN PEDIDO",IF(COUNTIFS(PEDIDO_ITEMS!$A$2:$A$501,C528,PEDIDO_ITEMS!$B$2:$B$501,E528)=0,"NO PEDIDO",IF(COUNTIFS($C$2:C528,C528,$E$2:E528,E528)&gt;SUMIFS(PEDIDO_ITEMS!$C$2:$C$501,PEDIDO_ITEMS!$A$2:$A$501,C528,PEDIDO_ITEMS!$B$2:$B$501,E528),"EXCEDE PEDIDO","OK"))))))</f>
        <v/>
      </c>
    </row>
    <row r="529">
      <c r="A529" s="9" t="inlineStr"/>
      <c r="B529" s="2" t="inlineStr"/>
      <c r="C529" s="2" t="inlineStr"/>
      <c r="D529" s="2" t="inlineStr"/>
      <c r="E529" s="2">
        <f>IF(D529="","",IFERROR(XLOOKUP(TRIM(D529),INVENTARIO!$A$2:$A$2000,INVENTARIO!$B$2:$B$2000),"NO ENCONTRADO"))</f>
        <v/>
      </c>
      <c r="F529" s="2">
        <f>IF(D529="","",IFERROR(XLOOKUP(TRIM(D529),INVENTARIO!$A$2:$A$2000,INVENTARIO!$C$2:$C$2000),""))</f>
        <v/>
      </c>
      <c r="G529" s="2">
        <f>IF(D529="","",IF(E529="NO ENCONTRADO","CODIGO NO EXISTE",IF(COUNTIF($D$2:D529,D529)&gt;1,"DUPLICADO",IF(C529="","OK SIN PEDIDO",IF(COUNTIFS(PEDIDO_ITEMS!$A$2:$A$501,C529,PEDIDO_ITEMS!$B$2:$B$501,E529)=0,"NO PEDIDO",IF(COUNTIFS($C$2:C529,C529,$E$2:E529,E529)&gt;SUMIFS(PEDIDO_ITEMS!$C$2:$C$501,PEDIDO_ITEMS!$A$2:$A$501,C529,PEDIDO_ITEMS!$B$2:$B$501,E529),"EXCEDE PEDIDO","OK"))))))</f>
        <v/>
      </c>
    </row>
    <row r="530">
      <c r="A530" s="9" t="inlineStr"/>
      <c r="B530" s="2" t="inlineStr"/>
      <c r="C530" s="2" t="inlineStr"/>
      <c r="D530" s="2" t="inlineStr"/>
      <c r="E530" s="2">
        <f>IF(D530="","",IFERROR(XLOOKUP(TRIM(D530),INVENTARIO!$A$2:$A$2000,INVENTARIO!$B$2:$B$2000),"NO ENCONTRADO"))</f>
        <v/>
      </c>
      <c r="F530" s="2">
        <f>IF(D530="","",IFERROR(XLOOKUP(TRIM(D530),INVENTARIO!$A$2:$A$2000,INVENTARIO!$C$2:$C$2000),""))</f>
        <v/>
      </c>
      <c r="G530" s="2">
        <f>IF(D530="","",IF(E530="NO ENCONTRADO","CODIGO NO EXISTE",IF(COUNTIF($D$2:D530,D530)&gt;1,"DUPLICADO",IF(C530="","OK SIN PEDIDO",IF(COUNTIFS(PEDIDO_ITEMS!$A$2:$A$501,C530,PEDIDO_ITEMS!$B$2:$B$501,E530)=0,"NO PEDIDO",IF(COUNTIFS($C$2:C530,C530,$E$2:E530,E530)&gt;SUMIFS(PEDIDO_ITEMS!$C$2:$C$501,PEDIDO_ITEMS!$A$2:$A$501,C530,PEDIDO_ITEMS!$B$2:$B$501,E530),"EXCEDE PEDIDO","OK"))))))</f>
        <v/>
      </c>
    </row>
    <row r="531">
      <c r="A531" s="9" t="inlineStr"/>
      <c r="B531" s="2" t="inlineStr"/>
      <c r="C531" s="2" t="inlineStr"/>
      <c r="D531" s="2" t="inlineStr"/>
      <c r="E531" s="2">
        <f>IF(D531="","",IFERROR(XLOOKUP(TRIM(D531),INVENTARIO!$A$2:$A$2000,INVENTARIO!$B$2:$B$2000),"NO ENCONTRADO"))</f>
        <v/>
      </c>
      <c r="F531" s="2">
        <f>IF(D531="","",IFERROR(XLOOKUP(TRIM(D531),INVENTARIO!$A$2:$A$2000,INVENTARIO!$C$2:$C$2000),""))</f>
        <v/>
      </c>
      <c r="G531" s="2">
        <f>IF(D531="","",IF(E531="NO ENCONTRADO","CODIGO NO EXISTE",IF(COUNTIF($D$2:D531,D531)&gt;1,"DUPLICADO",IF(C531="","OK SIN PEDIDO",IF(COUNTIFS(PEDIDO_ITEMS!$A$2:$A$501,C531,PEDIDO_ITEMS!$B$2:$B$501,E531)=0,"NO PEDIDO",IF(COUNTIFS($C$2:C531,C531,$E$2:E531,E531)&gt;SUMIFS(PEDIDO_ITEMS!$C$2:$C$501,PEDIDO_ITEMS!$A$2:$A$501,C531,PEDIDO_ITEMS!$B$2:$B$501,E531),"EXCEDE PEDIDO","OK"))))))</f>
        <v/>
      </c>
    </row>
    <row r="532">
      <c r="A532" s="9" t="inlineStr"/>
      <c r="B532" s="2" t="inlineStr"/>
      <c r="C532" s="2" t="inlineStr"/>
      <c r="D532" s="2" t="inlineStr"/>
      <c r="E532" s="2">
        <f>IF(D532="","",IFERROR(XLOOKUP(TRIM(D532),INVENTARIO!$A$2:$A$2000,INVENTARIO!$B$2:$B$2000),"NO ENCONTRADO"))</f>
        <v/>
      </c>
      <c r="F532" s="2">
        <f>IF(D532="","",IFERROR(XLOOKUP(TRIM(D532),INVENTARIO!$A$2:$A$2000,INVENTARIO!$C$2:$C$2000),""))</f>
        <v/>
      </c>
      <c r="G532" s="2">
        <f>IF(D532="","",IF(E532="NO ENCONTRADO","CODIGO NO EXISTE",IF(COUNTIF($D$2:D532,D532)&gt;1,"DUPLICADO",IF(C532="","OK SIN PEDIDO",IF(COUNTIFS(PEDIDO_ITEMS!$A$2:$A$501,C532,PEDIDO_ITEMS!$B$2:$B$501,E532)=0,"NO PEDIDO",IF(COUNTIFS($C$2:C532,C532,$E$2:E532,E532)&gt;SUMIFS(PEDIDO_ITEMS!$C$2:$C$501,PEDIDO_ITEMS!$A$2:$A$501,C532,PEDIDO_ITEMS!$B$2:$B$501,E532),"EXCEDE PEDIDO","OK"))))))</f>
        <v/>
      </c>
    </row>
    <row r="533">
      <c r="A533" s="9" t="inlineStr"/>
      <c r="B533" s="2" t="inlineStr"/>
      <c r="C533" s="2" t="inlineStr"/>
      <c r="D533" s="2" t="inlineStr"/>
      <c r="E533" s="2">
        <f>IF(D533="","",IFERROR(XLOOKUP(TRIM(D533),INVENTARIO!$A$2:$A$2000,INVENTARIO!$B$2:$B$2000),"NO ENCONTRADO"))</f>
        <v/>
      </c>
      <c r="F533" s="2">
        <f>IF(D533="","",IFERROR(XLOOKUP(TRIM(D533),INVENTARIO!$A$2:$A$2000,INVENTARIO!$C$2:$C$2000),""))</f>
        <v/>
      </c>
      <c r="G533" s="2">
        <f>IF(D533="","",IF(E533="NO ENCONTRADO","CODIGO NO EXISTE",IF(COUNTIF($D$2:D533,D533)&gt;1,"DUPLICADO",IF(C533="","OK SIN PEDIDO",IF(COUNTIFS(PEDIDO_ITEMS!$A$2:$A$501,C533,PEDIDO_ITEMS!$B$2:$B$501,E533)=0,"NO PEDIDO",IF(COUNTIFS($C$2:C533,C533,$E$2:E533,E533)&gt;SUMIFS(PEDIDO_ITEMS!$C$2:$C$501,PEDIDO_ITEMS!$A$2:$A$501,C533,PEDIDO_ITEMS!$B$2:$B$501,E533),"EXCEDE PEDIDO","OK"))))))</f>
        <v/>
      </c>
    </row>
    <row r="534">
      <c r="A534" s="9" t="inlineStr"/>
      <c r="B534" s="2" t="inlineStr"/>
      <c r="C534" s="2" t="inlineStr"/>
      <c r="D534" s="2" t="inlineStr"/>
      <c r="E534" s="2">
        <f>IF(D534="","",IFERROR(XLOOKUP(TRIM(D534),INVENTARIO!$A$2:$A$2000,INVENTARIO!$B$2:$B$2000),"NO ENCONTRADO"))</f>
        <v/>
      </c>
      <c r="F534" s="2">
        <f>IF(D534="","",IFERROR(XLOOKUP(TRIM(D534),INVENTARIO!$A$2:$A$2000,INVENTARIO!$C$2:$C$2000),""))</f>
        <v/>
      </c>
      <c r="G534" s="2">
        <f>IF(D534="","",IF(E534="NO ENCONTRADO","CODIGO NO EXISTE",IF(COUNTIF($D$2:D534,D534)&gt;1,"DUPLICADO",IF(C534="","OK SIN PEDIDO",IF(COUNTIFS(PEDIDO_ITEMS!$A$2:$A$501,C534,PEDIDO_ITEMS!$B$2:$B$501,E534)=0,"NO PEDIDO",IF(COUNTIFS($C$2:C534,C534,$E$2:E534,E534)&gt;SUMIFS(PEDIDO_ITEMS!$C$2:$C$501,PEDIDO_ITEMS!$A$2:$A$501,C534,PEDIDO_ITEMS!$B$2:$B$501,E534),"EXCEDE PEDIDO","OK"))))))</f>
        <v/>
      </c>
    </row>
    <row r="535">
      <c r="A535" s="9" t="inlineStr"/>
      <c r="B535" s="2" t="inlineStr"/>
      <c r="C535" s="2" t="inlineStr"/>
      <c r="D535" s="2" t="inlineStr"/>
      <c r="E535" s="2">
        <f>IF(D535="","",IFERROR(XLOOKUP(TRIM(D535),INVENTARIO!$A$2:$A$2000,INVENTARIO!$B$2:$B$2000),"NO ENCONTRADO"))</f>
        <v/>
      </c>
      <c r="F535" s="2">
        <f>IF(D535="","",IFERROR(XLOOKUP(TRIM(D535),INVENTARIO!$A$2:$A$2000,INVENTARIO!$C$2:$C$2000),""))</f>
        <v/>
      </c>
      <c r="G535" s="2">
        <f>IF(D535="","",IF(E535="NO ENCONTRADO","CODIGO NO EXISTE",IF(COUNTIF($D$2:D535,D535)&gt;1,"DUPLICADO",IF(C535="","OK SIN PEDIDO",IF(COUNTIFS(PEDIDO_ITEMS!$A$2:$A$501,C535,PEDIDO_ITEMS!$B$2:$B$501,E535)=0,"NO PEDIDO",IF(COUNTIFS($C$2:C535,C535,$E$2:E535,E535)&gt;SUMIFS(PEDIDO_ITEMS!$C$2:$C$501,PEDIDO_ITEMS!$A$2:$A$501,C535,PEDIDO_ITEMS!$B$2:$B$501,E535),"EXCEDE PEDIDO","OK"))))))</f>
        <v/>
      </c>
    </row>
    <row r="536">
      <c r="A536" s="9" t="inlineStr"/>
      <c r="B536" s="2" t="inlineStr"/>
      <c r="C536" s="2" t="inlineStr"/>
      <c r="D536" s="2" t="inlineStr"/>
      <c r="E536" s="2">
        <f>IF(D536="","",IFERROR(XLOOKUP(TRIM(D536),INVENTARIO!$A$2:$A$2000,INVENTARIO!$B$2:$B$2000),"NO ENCONTRADO"))</f>
        <v/>
      </c>
      <c r="F536" s="2">
        <f>IF(D536="","",IFERROR(XLOOKUP(TRIM(D536),INVENTARIO!$A$2:$A$2000,INVENTARIO!$C$2:$C$2000),""))</f>
        <v/>
      </c>
      <c r="G536" s="2">
        <f>IF(D536="","",IF(E536="NO ENCONTRADO","CODIGO NO EXISTE",IF(COUNTIF($D$2:D536,D536)&gt;1,"DUPLICADO",IF(C536="","OK SIN PEDIDO",IF(COUNTIFS(PEDIDO_ITEMS!$A$2:$A$501,C536,PEDIDO_ITEMS!$B$2:$B$501,E536)=0,"NO PEDIDO",IF(COUNTIFS($C$2:C536,C536,$E$2:E536,E536)&gt;SUMIFS(PEDIDO_ITEMS!$C$2:$C$501,PEDIDO_ITEMS!$A$2:$A$501,C536,PEDIDO_ITEMS!$B$2:$B$501,E536),"EXCEDE PEDIDO","OK"))))))</f>
        <v/>
      </c>
    </row>
    <row r="537">
      <c r="A537" s="9" t="inlineStr"/>
      <c r="B537" s="2" t="inlineStr"/>
      <c r="C537" s="2" t="inlineStr"/>
      <c r="D537" s="2" t="inlineStr"/>
      <c r="E537" s="2">
        <f>IF(D537="","",IFERROR(XLOOKUP(TRIM(D537),INVENTARIO!$A$2:$A$2000,INVENTARIO!$B$2:$B$2000),"NO ENCONTRADO"))</f>
        <v/>
      </c>
      <c r="F537" s="2">
        <f>IF(D537="","",IFERROR(XLOOKUP(TRIM(D537),INVENTARIO!$A$2:$A$2000,INVENTARIO!$C$2:$C$2000),""))</f>
        <v/>
      </c>
      <c r="G537" s="2">
        <f>IF(D537="","",IF(E537="NO ENCONTRADO","CODIGO NO EXISTE",IF(COUNTIF($D$2:D537,D537)&gt;1,"DUPLICADO",IF(C537="","OK SIN PEDIDO",IF(COUNTIFS(PEDIDO_ITEMS!$A$2:$A$501,C537,PEDIDO_ITEMS!$B$2:$B$501,E537)=0,"NO PEDIDO",IF(COUNTIFS($C$2:C537,C537,$E$2:E537,E537)&gt;SUMIFS(PEDIDO_ITEMS!$C$2:$C$501,PEDIDO_ITEMS!$A$2:$A$501,C537,PEDIDO_ITEMS!$B$2:$B$501,E537),"EXCEDE PEDIDO","OK"))))))</f>
        <v/>
      </c>
    </row>
    <row r="538">
      <c r="A538" s="9" t="inlineStr"/>
      <c r="B538" s="2" t="inlineStr"/>
      <c r="C538" s="2" t="inlineStr"/>
      <c r="D538" s="2" t="inlineStr"/>
      <c r="E538" s="2">
        <f>IF(D538="","",IFERROR(XLOOKUP(TRIM(D538),INVENTARIO!$A$2:$A$2000,INVENTARIO!$B$2:$B$2000),"NO ENCONTRADO"))</f>
        <v/>
      </c>
      <c r="F538" s="2">
        <f>IF(D538="","",IFERROR(XLOOKUP(TRIM(D538),INVENTARIO!$A$2:$A$2000,INVENTARIO!$C$2:$C$2000),""))</f>
        <v/>
      </c>
      <c r="G538" s="2">
        <f>IF(D538="","",IF(E538="NO ENCONTRADO","CODIGO NO EXISTE",IF(COUNTIF($D$2:D538,D538)&gt;1,"DUPLICADO",IF(C538="","OK SIN PEDIDO",IF(COUNTIFS(PEDIDO_ITEMS!$A$2:$A$501,C538,PEDIDO_ITEMS!$B$2:$B$501,E538)=0,"NO PEDIDO",IF(COUNTIFS($C$2:C538,C538,$E$2:E538,E538)&gt;SUMIFS(PEDIDO_ITEMS!$C$2:$C$501,PEDIDO_ITEMS!$A$2:$A$501,C538,PEDIDO_ITEMS!$B$2:$B$501,E538),"EXCEDE PEDIDO","OK"))))))</f>
        <v/>
      </c>
    </row>
    <row r="539">
      <c r="A539" s="9" t="inlineStr"/>
      <c r="B539" s="2" t="inlineStr"/>
      <c r="C539" s="2" t="inlineStr"/>
      <c r="D539" s="2" t="inlineStr"/>
      <c r="E539" s="2">
        <f>IF(D539="","",IFERROR(XLOOKUP(TRIM(D539),INVENTARIO!$A$2:$A$2000,INVENTARIO!$B$2:$B$2000),"NO ENCONTRADO"))</f>
        <v/>
      </c>
      <c r="F539" s="2">
        <f>IF(D539="","",IFERROR(XLOOKUP(TRIM(D539),INVENTARIO!$A$2:$A$2000,INVENTARIO!$C$2:$C$2000),""))</f>
        <v/>
      </c>
      <c r="G539" s="2">
        <f>IF(D539="","",IF(E539="NO ENCONTRADO","CODIGO NO EXISTE",IF(COUNTIF($D$2:D539,D539)&gt;1,"DUPLICADO",IF(C539="","OK SIN PEDIDO",IF(COUNTIFS(PEDIDO_ITEMS!$A$2:$A$501,C539,PEDIDO_ITEMS!$B$2:$B$501,E539)=0,"NO PEDIDO",IF(COUNTIFS($C$2:C539,C539,$E$2:E539,E539)&gt;SUMIFS(PEDIDO_ITEMS!$C$2:$C$501,PEDIDO_ITEMS!$A$2:$A$501,C539,PEDIDO_ITEMS!$B$2:$B$501,E539),"EXCEDE PEDIDO","OK"))))))</f>
        <v/>
      </c>
    </row>
    <row r="540">
      <c r="A540" s="9" t="inlineStr"/>
      <c r="B540" s="2" t="inlineStr"/>
      <c r="C540" s="2" t="inlineStr"/>
      <c r="D540" s="2" t="inlineStr"/>
      <c r="E540" s="2">
        <f>IF(D540="","",IFERROR(XLOOKUP(TRIM(D540),INVENTARIO!$A$2:$A$2000,INVENTARIO!$B$2:$B$2000),"NO ENCONTRADO"))</f>
        <v/>
      </c>
      <c r="F540" s="2">
        <f>IF(D540="","",IFERROR(XLOOKUP(TRIM(D540),INVENTARIO!$A$2:$A$2000,INVENTARIO!$C$2:$C$2000),""))</f>
        <v/>
      </c>
      <c r="G540" s="2">
        <f>IF(D540="","",IF(E540="NO ENCONTRADO","CODIGO NO EXISTE",IF(COUNTIF($D$2:D540,D540)&gt;1,"DUPLICADO",IF(C540="","OK SIN PEDIDO",IF(COUNTIFS(PEDIDO_ITEMS!$A$2:$A$501,C540,PEDIDO_ITEMS!$B$2:$B$501,E540)=0,"NO PEDIDO",IF(COUNTIFS($C$2:C540,C540,$E$2:E540,E540)&gt;SUMIFS(PEDIDO_ITEMS!$C$2:$C$501,PEDIDO_ITEMS!$A$2:$A$501,C540,PEDIDO_ITEMS!$B$2:$B$501,E540),"EXCEDE PEDIDO","OK"))))))</f>
        <v/>
      </c>
    </row>
    <row r="541">
      <c r="A541" s="9" t="inlineStr"/>
      <c r="B541" s="2" t="inlineStr"/>
      <c r="C541" s="2" t="inlineStr"/>
      <c r="D541" s="2" t="inlineStr"/>
      <c r="E541" s="2">
        <f>IF(D541="","",IFERROR(XLOOKUP(TRIM(D541),INVENTARIO!$A$2:$A$2000,INVENTARIO!$B$2:$B$2000),"NO ENCONTRADO"))</f>
        <v/>
      </c>
      <c r="F541" s="2">
        <f>IF(D541="","",IFERROR(XLOOKUP(TRIM(D541),INVENTARIO!$A$2:$A$2000,INVENTARIO!$C$2:$C$2000),""))</f>
        <v/>
      </c>
      <c r="G541" s="2">
        <f>IF(D541="","",IF(E541="NO ENCONTRADO","CODIGO NO EXISTE",IF(COUNTIF($D$2:D541,D541)&gt;1,"DUPLICADO",IF(C541="","OK SIN PEDIDO",IF(COUNTIFS(PEDIDO_ITEMS!$A$2:$A$501,C541,PEDIDO_ITEMS!$B$2:$B$501,E541)=0,"NO PEDIDO",IF(COUNTIFS($C$2:C541,C541,$E$2:E541,E541)&gt;SUMIFS(PEDIDO_ITEMS!$C$2:$C$501,PEDIDO_ITEMS!$A$2:$A$501,C541,PEDIDO_ITEMS!$B$2:$B$501,E541),"EXCEDE PEDIDO","OK"))))))</f>
        <v/>
      </c>
    </row>
    <row r="542">
      <c r="A542" s="9" t="inlineStr"/>
      <c r="B542" s="2" t="inlineStr"/>
      <c r="C542" s="2" t="inlineStr"/>
      <c r="D542" s="2" t="inlineStr"/>
      <c r="E542" s="2">
        <f>IF(D542="","",IFERROR(XLOOKUP(TRIM(D542),INVENTARIO!$A$2:$A$2000,INVENTARIO!$B$2:$B$2000),"NO ENCONTRADO"))</f>
        <v/>
      </c>
      <c r="F542" s="2">
        <f>IF(D542="","",IFERROR(XLOOKUP(TRIM(D542),INVENTARIO!$A$2:$A$2000,INVENTARIO!$C$2:$C$2000),""))</f>
        <v/>
      </c>
      <c r="G542" s="2">
        <f>IF(D542="","",IF(E542="NO ENCONTRADO","CODIGO NO EXISTE",IF(COUNTIF($D$2:D542,D542)&gt;1,"DUPLICADO",IF(C542="","OK SIN PEDIDO",IF(COUNTIFS(PEDIDO_ITEMS!$A$2:$A$501,C542,PEDIDO_ITEMS!$B$2:$B$501,E542)=0,"NO PEDIDO",IF(COUNTIFS($C$2:C542,C542,$E$2:E542,E542)&gt;SUMIFS(PEDIDO_ITEMS!$C$2:$C$501,PEDIDO_ITEMS!$A$2:$A$501,C542,PEDIDO_ITEMS!$B$2:$B$501,E542),"EXCEDE PEDIDO","OK"))))))</f>
        <v/>
      </c>
    </row>
    <row r="543">
      <c r="A543" s="9" t="inlineStr"/>
      <c r="B543" s="2" t="inlineStr"/>
      <c r="C543" s="2" t="inlineStr"/>
      <c r="D543" s="2" t="inlineStr"/>
      <c r="E543" s="2">
        <f>IF(D543="","",IFERROR(XLOOKUP(TRIM(D543),INVENTARIO!$A$2:$A$2000,INVENTARIO!$B$2:$B$2000),"NO ENCONTRADO"))</f>
        <v/>
      </c>
      <c r="F543" s="2">
        <f>IF(D543="","",IFERROR(XLOOKUP(TRIM(D543),INVENTARIO!$A$2:$A$2000,INVENTARIO!$C$2:$C$2000),""))</f>
        <v/>
      </c>
      <c r="G543" s="2">
        <f>IF(D543="","",IF(E543="NO ENCONTRADO","CODIGO NO EXISTE",IF(COUNTIF($D$2:D543,D543)&gt;1,"DUPLICADO",IF(C543="","OK SIN PEDIDO",IF(COUNTIFS(PEDIDO_ITEMS!$A$2:$A$501,C543,PEDIDO_ITEMS!$B$2:$B$501,E543)=0,"NO PEDIDO",IF(COUNTIFS($C$2:C543,C543,$E$2:E543,E543)&gt;SUMIFS(PEDIDO_ITEMS!$C$2:$C$501,PEDIDO_ITEMS!$A$2:$A$501,C543,PEDIDO_ITEMS!$B$2:$B$501,E543),"EXCEDE PEDIDO","OK"))))))</f>
        <v/>
      </c>
    </row>
    <row r="544">
      <c r="A544" s="9" t="inlineStr"/>
      <c r="B544" s="2" t="inlineStr"/>
      <c r="C544" s="2" t="inlineStr"/>
      <c r="D544" s="2" t="inlineStr"/>
      <c r="E544" s="2">
        <f>IF(D544="","",IFERROR(XLOOKUP(TRIM(D544),INVENTARIO!$A$2:$A$2000,INVENTARIO!$B$2:$B$2000),"NO ENCONTRADO"))</f>
        <v/>
      </c>
      <c r="F544" s="2">
        <f>IF(D544="","",IFERROR(XLOOKUP(TRIM(D544),INVENTARIO!$A$2:$A$2000,INVENTARIO!$C$2:$C$2000),""))</f>
        <v/>
      </c>
      <c r="G544" s="2">
        <f>IF(D544="","",IF(E544="NO ENCONTRADO","CODIGO NO EXISTE",IF(COUNTIF($D$2:D544,D544)&gt;1,"DUPLICADO",IF(C544="","OK SIN PEDIDO",IF(COUNTIFS(PEDIDO_ITEMS!$A$2:$A$501,C544,PEDIDO_ITEMS!$B$2:$B$501,E544)=0,"NO PEDIDO",IF(COUNTIFS($C$2:C544,C544,$E$2:E544,E544)&gt;SUMIFS(PEDIDO_ITEMS!$C$2:$C$501,PEDIDO_ITEMS!$A$2:$A$501,C544,PEDIDO_ITEMS!$B$2:$B$501,E544),"EXCEDE PEDIDO","OK"))))))</f>
        <v/>
      </c>
    </row>
    <row r="545">
      <c r="A545" s="9" t="inlineStr"/>
      <c r="B545" s="2" t="inlineStr"/>
      <c r="C545" s="2" t="inlineStr"/>
      <c r="D545" s="2" t="inlineStr"/>
      <c r="E545" s="2">
        <f>IF(D545="","",IFERROR(XLOOKUP(TRIM(D545),INVENTARIO!$A$2:$A$2000,INVENTARIO!$B$2:$B$2000),"NO ENCONTRADO"))</f>
        <v/>
      </c>
      <c r="F545" s="2">
        <f>IF(D545="","",IFERROR(XLOOKUP(TRIM(D545),INVENTARIO!$A$2:$A$2000,INVENTARIO!$C$2:$C$2000),""))</f>
        <v/>
      </c>
      <c r="G545" s="2">
        <f>IF(D545="","",IF(E545="NO ENCONTRADO","CODIGO NO EXISTE",IF(COUNTIF($D$2:D545,D545)&gt;1,"DUPLICADO",IF(C545="","OK SIN PEDIDO",IF(COUNTIFS(PEDIDO_ITEMS!$A$2:$A$501,C545,PEDIDO_ITEMS!$B$2:$B$501,E545)=0,"NO PEDIDO",IF(COUNTIFS($C$2:C545,C545,$E$2:E545,E545)&gt;SUMIFS(PEDIDO_ITEMS!$C$2:$C$501,PEDIDO_ITEMS!$A$2:$A$501,C545,PEDIDO_ITEMS!$B$2:$B$501,E545),"EXCEDE PEDIDO","OK"))))))</f>
        <v/>
      </c>
    </row>
    <row r="546">
      <c r="A546" s="9" t="inlineStr"/>
      <c r="B546" s="2" t="inlineStr"/>
      <c r="C546" s="2" t="inlineStr"/>
      <c r="D546" s="2" t="inlineStr"/>
      <c r="E546" s="2">
        <f>IF(D546="","",IFERROR(XLOOKUP(TRIM(D546),INVENTARIO!$A$2:$A$2000,INVENTARIO!$B$2:$B$2000),"NO ENCONTRADO"))</f>
        <v/>
      </c>
      <c r="F546" s="2">
        <f>IF(D546="","",IFERROR(XLOOKUP(TRIM(D546),INVENTARIO!$A$2:$A$2000,INVENTARIO!$C$2:$C$2000),""))</f>
        <v/>
      </c>
      <c r="G546" s="2">
        <f>IF(D546="","",IF(E546="NO ENCONTRADO","CODIGO NO EXISTE",IF(COUNTIF($D$2:D546,D546)&gt;1,"DUPLICADO",IF(C546="","OK SIN PEDIDO",IF(COUNTIFS(PEDIDO_ITEMS!$A$2:$A$501,C546,PEDIDO_ITEMS!$B$2:$B$501,E546)=0,"NO PEDIDO",IF(COUNTIFS($C$2:C546,C546,$E$2:E546,E546)&gt;SUMIFS(PEDIDO_ITEMS!$C$2:$C$501,PEDIDO_ITEMS!$A$2:$A$501,C546,PEDIDO_ITEMS!$B$2:$B$501,E546),"EXCEDE PEDIDO","OK"))))))</f>
        <v/>
      </c>
    </row>
    <row r="547">
      <c r="A547" s="9" t="inlineStr"/>
      <c r="B547" s="2" t="inlineStr"/>
      <c r="C547" s="2" t="inlineStr"/>
      <c r="D547" s="2" t="inlineStr"/>
      <c r="E547" s="2">
        <f>IF(D547="","",IFERROR(XLOOKUP(TRIM(D547),INVENTARIO!$A$2:$A$2000,INVENTARIO!$B$2:$B$2000),"NO ENCONTRADO"))</f>
        <v/>
      </c>
      <c r="F547" s="2">
        <f>IF(D547="","",IFERROR(XLOOKUP(TRIM(D547),INVENTARIO!$A$2:$A$2000,INVENTARIO!$C$2:$C$2000),""))</f>
        <v/>
      </c>
      <c r="G547" s="2">
        <f>IF(D547="","",IF(E547="NO ENCONTRADO","CODIGO NO EXISTE",IF(COUNTIF($D$2:D547,D547)&gt;1,"DUPLICADO",IF(C547="","OK SIN PEDIDO",IF(COUNTIFS(PEDIDO_ITEMS!$A$2:$A$501,C547,PEDIDO_ITEMS!$B$2:$B$501,E547)=0,"NO PEDIDO",IF(COUNTIFS($C$2:C547,C547,$E$2:E547,E547)&gt;SUMIFS(PEDIDO_ITEMS!$C$2:$C$501,PEDIDO_ITEMS!$A$2:$A$501,C547,PEDIDO_ITEMS!$B$2:$B$501,E547),"EXCEDE PEDIDO","OK"))))))</f>
        <v/>
      </c>
    </row>
    <row r="548">
      <c r="A548" s="9" t="inlineStr"/>
      <c r="B548" s="2" t="inlineStr"/>
      <c r="C548" s="2" t="inlineStr"/>
      <c r="D548" s="2" t="inlineStr"/>
      <c r="E548" s="2">
        <f>IF(D548="","",IFERROR(XLOOKUP(TRIM(D548),INVENTARIO!$A$2:$A$2000,INVENTARIO!$B$2:$B$2000),"NO ENCONTRADO"))</f>
        <v/>
      </c>
      <c r="F548" s="2">
        <f>IF(D548="","",IFERROR(XLOOKUP(TRIM(D548),INVENTARIO!$A$2:$A$2000,INVENTARIO!$C$2:$C$2000),""))</f>
        <v/>
      </c>
      <c r="G548" s="2">
        <f>IF(D548="","",IF(E548="NO ENCONTRADO","CODIGO NO EXISTE",IF(COUNTIF($D$2:D548,D548)&gt;1,"DUPLICADO",IF(C548="","OK SIN PEDIDO",IF(COUNTIFS(PEDIDO_ITEMS!$A$2:$A$501,C548,PEDIDO_ITEMS!$B$2:$B$501,E548)=0,"NO PEDIDO",IF(COUNTIFS($C$2:C548,C548,$E$2:E548,E548)&gt;SUMIFS(PEDIDO_ITEMS!$C$2:$C$501,PEDIDO_ITEMS!$A$2:$A$501,C548,PEDIDO_ITEMS!$B$2:$B$501,E548),"EXCEDE PEDIDO","OK"))))))</f>
        <v/>
      </c>
    </row>
    <row r="549">
      <c r="A549" s="9" t="inlineStr"/>
      <c r="B549" s="2" t="inlineStr"/>
      <c r="C549" s="2" t="inlineStr"/>
      <c r="D549" s="2" t="inlineStr"/>
      <c r="E549" s="2">
        <f>IF(D549="","",IFERROR(XLOOKUP(TRIM(D549),INVENTARIO!$A$2:$A$2000,INVENTARIO!$B$2:$B$2000),"NO ENCONTRADO"))</f>
        <v/>
      </c>
      <c r="F549" s="2">
        <f>IF(D549="","",IFERROR(XLOOKUP(TRIM(D549),INVENTARIO!$A$2:$A$2000,INVENTARIO!$C$2:$C$2000),""))</f>
        <v/>
      </c>
      <c r="G549" s="2">
        <f>IF(D549="","",IF(E549="NO ENCONTRADO","CODIGO NO EXISTE",IF(COUNTIF($D$2:D549,D549)&gt;1,"DUPLICADO",IF(C549="","OK SIN PEDIDO",IF(COUNTIFS(PEDIDO_ITEMS!$A$2:$A$501,C549,PEDIDO_ITEMS!$B$2:$B$501,E549)=0,"NO PEDIDO",IF(COUNTIFS($C$2:C549,C549,$E$2:E549,E549)&gt;SUMIFS(PEDIDO_ITEMS!$C$2:$C$501,PEDIDO_ITEMS!$A$2:$A$501,C549,PEDIDO_ITEMS!$B$2:$B$501,E549),"EXCEDE PEDIDO","OK"))))))</f>
        <v/>
      </c>
    </row>
    <row r="550">
      <c r="A550" s="9" t="inlineStr"/>
      <c r="B550" s="2" t="inlineStr"/>
      <c r="C550" s="2" t="inlineStr"/>
      <c r="D550" s="2" t="inlineStr"/>
      <c r="E550" s="2">
        <f>IF(D550="","",IFERROR(XLOOKUP(TRIM(D550),INVENTARIO!$A$2:$A$2000,INVENTARIO!$B$2:$B$2000),"NO ENCONTRADO"))</f>
        <v/>
      </c>
      <c r="F550" s="2">
        <f>IF(D550="","",IFERROR(XLOOKUP(TRIM(D550),INVENTARIO!$A$2:$A$2000,INVENTARIO!$C$2:$C$2000),""))</f>
        <v/>
      </c>
      <c r="G550" s="2">
        <f>IF(D550="","",IF(E550="NO ENCONTRADO","CODIGO NO EXISTE",IF(COUNTIF($D$2:D550,D550)&gt;1,"DUPLICADO",IF(C550="","OK SIN PEDIDO",IF(COUNTIFS(PEDIDO_ITEMS!$A$2:$A$501,C550,PEDIDO_ITEMS!$B$2:$B$501,E550)=0,"NO PEDIDO",IF(COUNTIFS($C$2:C550,C550,$E$2:E550,E550)&gt;SUMIFS(PEDIDO_ITEMS!$C$2:$C$501,PEDIDO_ITEMS!$A$2:$A$501,C550,PEDIDO_ITEMS!$B$2:$B$501,E550),"EXCEDE PEDIDO","OK"))))))</f>
        <v/>
      </c>
    </row>
    <row r="551">
      <c r="A551" s="9" t="inlineStr"/>
      <c r="B551" s="2" t="inlineStr"/>
      <c r="C551" s="2" t="inlineStr"/>
      <c r="D551" s="2" t="inlineStr"/>
      <c r="E551" s="2">
        <f>IF(D551="","",IFERROR(XLOOKUP(TRIM(D551),INVENTARIO!$A$2:$A$2000,INVENTARIO!$B$2:$B$2000),"NO ENCONTRADO"))</f>
        <v/>
      </c>
      <c r="F551" s="2">
        <f>IF(D551="","",IFERROR(XLOOKUP(TRIM(D551),INVENTARIO!$A$2:$A$2000,INVENTARIO!$C$2:$C$2000),""))</f>
        <v/>
      </c>
      <c r="G551" s="2">
        <f>IF(D551="","",IF(E551="NO ENCONTRADO","CODIGO NO EXISTE",IF(COUNTIF($D$2:D551,D551)&gt;1,"DUPLICADO",IF(C551="","OK SIN PEDIDO",IF(COUNTIFS(PEDIDO_ITEMS!$A$2:$A$501,C551,PEDIDO_ITEMS!$B$2:$B$501,E551)=0,"NO PEDIDO",IF(COUNTIFS($C$2:C551,C551,$E$2:E551,E551)&gt;SUMIFS(PEDIDO_ITEMS!$C$2:$C$501,PEDIDO_ITEMS!$A$2:$A$501,C551,PEDIDO_ITEMS!$B$2:$B$501,E551),"EXCEDE PEDIDO","OK"))))))</f>
        <v/>
      </c>
    </row>
    <row r="552">
      <c r="A552" s="9" t="inlineStr"/>
      <c r="B552" s="2" t="inlineStr"/>
      <c r="C552" s="2" t="inlineStr"/>
      <c r="D552" s="2" t="inlineStr"/>
      <c r="E552" s="2">
        <f>IF(D552="","",IFERROR(XLOOKUP(TRIM(D552),INVENTARIO!$A$2:$A$2000,INVENTARIO!$B$2:$B$2000),"NO ENCONTRADO"))</f>
        <v/>
      </c>
      <c r="F552" s="2">
        <f>IF(D552="","",IFERROR(XLOOKUP(TRIM(D552),INVENTARIO!$A$2:$A$2000,INVENTARIO!$C$2:$C$2000),""))</f>
        <v/>
      </c>
      <c r="G552" s="2">
        <f>IF(D552="","",IF(E552="NO ENCONTRADO","CODIGO NO EXISTE",IF(COUNTIF($D$2:D552,D552)&gt;1,"DUPLICADO",IF(C552="","OK SIN PEDIDO",IF(COUNTIFS(PEDIDO_ITEMS!$A$2:$A$501,C552,PEDIDO_ITEMS!$B$2:$B$501,E552)=0,"NO PEDIDO",IF(COUNTIFS($C$2:C552,C552,$E$2:E552,E552)&gt;SUMIFS(PEDIDO_ITEMS!$C$2:$C$501,PEDIDO_ITEMS!$A$2:$A$501,C552,PEDIDO_ITEMS!$B$2:$B$501,E552),"EXCEDE PEDIDO","OK"))))))</f>
        <v/>
      </c>
    </row>
    <row r="553">
      <c r="A553" s="9" t="inlineStr"/>
      <c r="B553" s="2" t="inlineStr"/>
      <c r="C553" s="2" t="inlineStr"/>
      <c r="D553" s="2" t="inlineStr"/>
      <c r="E553" s="2">
        <f>IF(D553="","",IFERROR(XLOOKUP(TRIM(D553),INVENTARIO!$A$2:$A$2000,INVENTARIO!$B$2:$B$2000),"NO ENCONTRADO"))</f>
        <v/>
      </c>
      <c r="F553" s="2">
        <f>IF(D553="","",IFERROR(XLOOKUP(TRIM(D553),INVENTARIO!$A$2:$A$2000,INVENTARIO!$C$2:$C$2000),""))</f>
        <v/>
      </c>
      <c r="G553" s="2">
        <f>IF(D553="","",IF(E553="NO ENCONTRADO","CODIGO NO EXISTE",IF(COUNTIF($D$2:D553,D553)&gt;1,"DUPLICADO",IF(C553="","OK SIN PEDIDO",IF(COUNTIFS(PEDIDO_ITEMS!$A$2:$A$501,C553,PEDIDO_ITEMS!$B$2:$B$501,E553)=0,"NO PEDIDO",IF(COUNTIFS($C$2:C553,C553,$E$2:E553,E553)&gt;SUMIFS(PEDIDO_ITEMS!$C$2:$C$501,PEDIDO_ITEMS!$A$2:$A$501,C553,PEDIDO_ITEMS!$B$2:$B$501,E553),"EXCEDE PEDIDO","OK"))))))</f>
        <v/>
      </c>
    </row>
    <row r="554">
      <c r="A554" s="9" t="inlineStr"/>
      <c r="B554" s="2" t="inlineStr"/>
      <c r="C554" s="2" t="inlineStr"/>
      <c r="D554" s="2" t="inlineStr"/>
      <c r="E554" s="2">
        <f>IF(D554="","",IFERROR(XLOOKUP(TRIM(D554),INVENTARIO!$A$2:$A$2000,INVENTARIO!$B$2:$B$2000),"NO ENCONTRADO"))</f>
        <v/>
      </c>
      <c r="F554" s="2">
        <f>IF(D554="","",IFERROR(XLOOKUP(TRIM(D554),INVENTARIO!$A$2:$A$2000,INVENTARIO!$C$2:$C$2000),""))</f>
        <v/>
      </c>
      <c r="G554" s="2">
        <f>IF(D554="","",IF(E554="NO ENCONTRADO","CODIGO NO EXISTE",IF(COUNTIF($D$2:D554,D554)&gt;1,"DUPLICADO",IF(C554="","OK SIN PEDIDO",IF(COUNTIFS(PEDIDO_ITEMS!$A$2:$A$501,C554,PEDIDO_ITEMS!$B$2:$B$501,E554)=0,"NO PEDIDO",IF(COUNTIFS($C$2:C554,C554,$E$2:E554,E554)&gt;SUMIFS(PEDIDO_ITEMS!$C$2:$C$501,PEDIDO_ITEMS!$A$2:$A$501,C554,PEDIDO_ITEMS!$B$2:$B$501,E554),"EXCEDE PEDIDO","OK"))))))</f>
        <v/>
      </c>
    </row>
    <row r="555">
      <c r="A555" s="9" t="inlineStr"/>
      <c r="B555" s="2" t="inlineStr"/>
      <c r="C555" s="2" t="inlineStr"/>
      <c r="D555" s="2" t="inlineStr"/>
      <c r="E555" s="2">
        <f>IF(D555="","",IFERROR(XLOOKUP(TRIM(D555),INVENTARIO!$A$2:$A$2000,INVENTARIO!$B$2:$B$2000),"NO ENCONTRADO"))</f>
        <v/>
      </c>
      <c r="F555" s="2">
        <f>IF(D555="","",IFERROR(XLOOKUP(TRIM(D555),INVENTARIO!$A$2:$A$2000,INVENTARIO!$C$2:$C$2000),""))</f>
        <v/>
      </c>
      <c r="G555" s="2">
        <f>IF(D555="","",IF(E555="NO ENCONTRADO","CODIGO NO EXISTE",IF(COUNTIF($D$2:D555,D555)&gt;1,"DUPLICADO",IF(C555="","OK SIN PEDIDO",IF(COUNTIFS(PEDIDO_ITEMS!$A$2:$A$501,C555,PEDIDO_ITEMS!$B$2:$B$501,E555)=0,"NO PEDIDO",IF(COUNTIFS($C$2:C555,C555,$E$2:E555,E555)&gt;SUMIFS(PEDIDO_ITEMS!$C$2:$C$501,PEDIDO_ITEMS!$A$2:$A$501,C555,PEDIDO_ITEMS!$B$2:$B$501,E555),"EXCEDE PEDIDO","OK"))))))</f>
        <v/>
      </c>
    </row>
    <row r="556">
      <c r="A556" s="9" t="inlineStr"/>
      <c r="B556" s="2" t="inlineStr"/>
      <c r="C556" s="2" t="inlineStr"/>
      <c r="D556" s="2" t="inlineStr"/>
      <c r="E556" s="2">
        <f>IF(D556="","",IFERROR(XLOOKUP(TRIM(D556),INVENTARIO!$A$2:$A$2000,INVENTARIO!$B$2:$B$2000),"NO ENCONTRADO"))</f>
        <v/>
      </c>
      <c r="F556" s="2">
        <f>IF(D556="","",IFERROR(XLOOKUP(TRIM(D556),INVENTARIO!$A$2:$A$2000,INVENTARIO!$C$2:$C$2000),""))</f>
        <v/>
      </c>
      <c r="G556" s="2">
        <f>IF(D556="","",IF(E556="NO ENCONTRADO","CODIGO NO EXISTE",IF(COUNTIF($D$2:D556,D556)&gt;1,"DUPLICADO",IF(C556="","OK SIN PEDIDO",IF(COUNTIFS(PEDIDO_ITEMS!$A$2:$A$501,C556,PEDIDO_ITEMS!$B$2:$B$501,E556)=0,"NO PEDIDO",IF(COUNTIFS($C$2:C556,C556,$E$2:E556,E556)&gt;SUMIFS(PEDIDO_ITEMS!$C$2:$C$501,PEDIDO_ITEMS!$A$2:$A$501,C556,PEDIDO_ITEMS!$B$2:$B$501,E556),"EXCEDE PEDIDO","OK"))))))</f>
        <v/>
      </c>
    </row>
    <row r="557">
      <c r="A557" s="9" t="inlineStr"/>
      <c r="B557" s="2" t="inlineStr"/>
      <c r="C557" s="2" t="inlineStr"/>
      <c r="D557" s="2" t="inlineStr"/>
      <c r="E557" s="2">
        <f>IF(D557="","",IFERROR(XLOOKUP(TRIM(D557),INVENTARIO!$A$2:$A$2000,INVENTARIO!$B$2:$B$2000),"NO ENCONTRADO"))</f>
        <v/>
      </c>
      <c r="F557" s="2">
        <f>IF(D557="","",IFERROR(XLOOKUP(TRIM(D557),INVENTARIO!$A$2:$A$2000,INVENTARIO!$C$2:$C$2000),""))</f>
        <v/>
      </c>
      <c r="G557" s="2">
        <f>IF(D557="","",IF(E557="NO ENCONTRADO","CODIGO NO EXISTE",IF(COUNTIF($D$2:D557,D557)&gt;1,"DUPLICADO",IF(C557="","OK SIN PEDIDO",IF(COUNTIFS(PEDIDO_ITEMS!$A$2:$A$501,C557,PEDIDO_ITEMS!$B$2:$B$501,E557)=0,"NO PEDIDO",IF(COUNTIFS($C$2:C557,C557,$E$2:E557,E557)&gt;SUMIFS(PEDIDO_ITEMS!$C$2:$C$501,PEDIDO_ITEMS!$A$2:$A$501,C557,PEDIDO_ITEMS!$B$2:$B$501,E557),"EXCEDE PEDIDO","OK"))))))</f>
        <v/>
      </c>
    </row>
    <row r="558">
      <c r="A558" s="9" t="inlineStr"/>
      <c r="B558" s="2" t="inlineStr"/>
      <c r="C558" s="2" t="inlineStr"/>
      <c r="D558" s="2" t="inlineStr"/>
      <c r="E558" s="2">
        <f>IF(D558="","",IFERROR(XLOOKUP(TRIM(D558),INVENTARIO!$A$2:$A$2000,INVENTARIO!$B$2:$B$2000),"NO ENCONTRADO"))</f>
        <v/>
      </c>
      <c r="F558" s="2">
        <f>IF(D558="","",IFERROR(XLOOKUP(TRIM(D558),INVENTARIO!$A$2:$A$2000,INVENTARIO!$C$2:$C$2000),""))</f>
        <v/>
      </c>
      <c r="G558" s="2">
        <f>IF(D558="","",IF(E558="NO ENCONTRADO","CODIGO NO EXISTE",IF(COUNTIF($D$2:D558,D558)&gt;1,"DUPLICADO",IF(C558="","OK SIN PEDIDO",IF(COUNTIFS(PEDIDO_ITEMS!$A$2:$A$501,C558,PEDIDO_ITEMS!$B$2:$B$501,E558)=0,"NO PEDIDO",IF(COUNTIFS($C$2:C558,C558,$E$2:E558,E558)&gt;SUMIFS(PEDIDO_ITEMS!$C$2:$C$501,PEDIDO_ITEMS!$A$2:$A$501,C558,PEDIDO_ITEMS!$B$2:$B$501,E558),"EXCEDE PEDIDO","OK"))))))</f>
        <v/>
      </c>
    </row>
    <row r="559">
      <c r="A559" s="9" t="inlineStr"/>
      <c r="B559" s="2" t="inlineStr"/>
      <c r="C559" s="2" t="inlineStr"/>
      <c r="D559" s="2" t="inlineStr"/>
      <c r="E559" s="2">
        <f>IF(D559="","",IFERROR(XLOOKUP(TRIM(D559),INVENTARIO!$A$2:$A$2000,INVENTARIO!$B$2:$B$2000),"NO ENCONTRADO"))</f>
        <v/>
      </c>
      <c r="F559" s="2">
        <f>IF(D559="","",IFERROR(XLOOKUP(TRIM(D559),INVENTARIO!$A$2:$A$2000,INVENTARIO!$C$2:$C$2000),""))</f>
        <v/>
      </c>
      <c r="G559" s="2">
        <f>IF(D559="","",IF(E559="NO ENCONTRADO","CODIGO NO EXISTE",IF(COUNTIF($D$2:D559,D559)&gt;1,"DUPLICADO",IF(C559="","OK SIN PEDIDO",IF(COUNTIFS(PEDIDO_ITEMS!$A$2:$A$501,C559,PEDIDO_ITEMS!$B$2:$B$501,E559)=0,"NO PEDIDO",IF(COUNTIFS($C$2:C559,C559,$E$2:E559,E559)&gt;SUMIFS(PEDIDO_ITEMS!$C$2:$C$501,PEDIDO_ITEMS!$A$2:$A$501,C559,PEDIDO_ITEMS!$B$2:$B$501,E559),"EXCEDE PEDIDO","OK"))))))</f>
        <v/>
      </c>
    </row>
    <row r="560">
      <c r="A560" s="9" t="inlineStr"/>
      <c r="B560" s="2" t="inlineStr"/>
      <c r="C560" s="2" t="inlineStr"/>
      <c r="D560" s="2" t="inlineStr"/>
      <c r="E560" s="2">
        <f>IF(D560="","",IFERROR(XLOOKUP(TRIM(D560),INVENTARIO!$A$2:$A$2000,INVENTARIO!$B$2:$B$2000),"NO ENCONTRADO"))</f>
        <v/>
      </c>
      <c r="F560" s="2">
        <f>IF(D560="","",IFERROR(XLOOKUP(TRIM(D560),INVENTARIO!$A$2:$A$2000,INVENTARIO!$C$2:$C$2000),""))</f>
        <v/>
      </c>
      <c r="G560" s="2">
        <f>IF(D560="","",IF(E560="NO ENCONTRADO","CODIGO NO EXISTE",IF(COUNTIF($D$2:D560,D560)&gt;1,"DUPLICADO",IF(C560="","OK SIN PEDIDO",IF(COUNTIFS(PEDIDO_ITEMS!$A$2:$A$501,C560,PEDIDO_ITEMS!$B$2:$B$501,E560)=0,"NO PEDIDO",IF(COUNTIFS($C$2:C560,C560,$E$2:E560,E560)&gt;SUMIFS(PEDIDO_ITEMS!$C$2:$C$501,PEDIDO_ITEMS!$A$2:$A$501,C560,PEDIDO_ITEMS!$B$2:$B$501,E560),"EXCEDE PEDIDO","OK"))))))</f>
        <v/>
      </c>
    </row>
    <row r="561">
      <c r="A561" s="9" t="inlineStr"/>
      <c r="B561" s="2" t="inlineStr"/>
      <c r="C561" s="2" t="inlineStr"/>
      <c r="D561" s="2" t="inlineStr"/>
      <c r="E561" s="2">
        <f>IF(D561="","",IFERROR(XLOOKUP(TRIM(D561),INVENTARIO!$A$2:$A$2000,INVENTARIO!$B$2:$B$2000),"NO ENCONTRADO"))</f>
        <v/>
      </c>
      <c r="F561" s="2">
        <f>IF(D561="","",IFERROR(XLOOKUP(TRIM(D561),INVENTARIO!$A$2:$A$2000,INVENTARIO!$C$2:$C$2000),""))</f>
        <v/>
      </c>
      <c r="G561" s="2">
        <f>IF(D561="","",IF(E561="NO ENCONTRADO","CODIGO NO EXISTE",IF(COUNTIF($D$2:D561,D561)&gt;1,"DUPLICADO",IF(C561="","OK SIN PEDIDO",IF(COUNTIFS(PEDIDO_ITEMS!$A$2:$A$501,C561,PEDIDO_ITEMS!$B$2:$B$501,E561)=0,"NO PEDIDO",IF(COUNTIFS($C$2:C561,C561,$E$2:E561,E561)&gt;SUMIFS(PEDIDO_ITEMS!$C$2:$C$501,PEDIDO_ITEMS!$A$2:$A$501,C561,PEDIDO_ITEMS!$B$2:$B$501,E561),"EXCEDE PEDIDO","OK"))))))</f>
        <v/>
      </c>
    </row>
    <row r="562">
      <c r="A562" s="9" t="inlineStr"/>
      <c r="B562" s="2" t="inlineStr"/>
      <c r="C562" s="2" t="inlineStr"/>
      <c r="D562" s="2" t="inlineStr"/>
      <c r="E562" s="2">
        <f>IF(D562="","",IFERROR(XLOOKUP(TRIM(D562),INVENTARIO!$A$2:$A$2000,INVENTARIO!$B$2:$B$2000),"NO ENCONTRADO"))</f>
        <v/>
      </c>
      <c r="F562" s="2">
        <f>IF(D562="","",IFERROR(XLOOKUP(TRIM(D562),INVENTARIO!$A$2:$A$2000,INVENTARIO!$C$2:$C$2000),""))</f>
        <v/>
      </c>
      <c r="G562" s="2">
        <f>IF(D562="","",IF(E562="NO ENCONTRADO","CODIGO NO EXISTE",IF(COUNTIF($D$2:D562,D562)&gt;1,"DUPLICADO",IF(C562="","OK SIN PEDIDO",IF(COUNTIFS(PEDIDO_ITEMS!$A$2:$A$501,C562,PEDIDO_ITEMS!$B$2:$B$501,E562)=0,"NO PEDIDO",IF(COUNTIFS($C$2:C562,C562,$E$2:E562,E562)&gt;SUMIFS(PEDIDO_ITEMS!$C$2:$C$501,PEDIDO_ITEMS!$A$2:$A$501,C562,PEDIDO_ITEMS!$B$2:$B$501,E562),"EXCEDE PEDIDO","OK"))))))</f>
        <v/>
      </c>
    </row>
    <row r="563">
      <c r="A563" s="9" t="inlineStr"/>
      <c r="B563" s="2" t="inlineStr"/>
      <c r="C563" s="2" t="inlineStr"/>
      <c r="D563" s="2" t="inlineStr"/>
      <c r="E563" s="2">
        <f>IF(D563="","",IFERROR(XLOOKUP(TRIM(D563),INVENTARIO!$A$2:$A$2000,INVENTARIO!$B$2:$B$2000),"NO ENCONTRADO"))</f>
        <v/>
      </c>
      <c r="F563" s="2">
        <f>IF(D563="","",IFERROR(XLOOKUP(TRIM(D563),INVENTARIO!$A$2:$A$2000,INVENTARIO!$C$2:$C$2000),""))</f>
        <v/>
      </c>
      <c r="G563" s="2">
        <f>IF(D563="","",IF(E563="NO ENCONTRADO","CODIGO NO EXISTE",IF(COUNTIF($D$2:D563,D563)&gt;1,"DUPLICADO",IF(C563="","OK SIN PEDIDO",IF(COUNTIFS(PEDIDO_ITEMS!$A$2:$A$501,C563,PEDIDO_ITEMS!$B$2:$B$501,E563)=0,"NO PEDIDO",IF(COUNTIFS($C$2:C563,C563,$E$2:E563,E563)&gt;SUMIFS(PEDIDO_ITEMS!$C$2:$C$501,PEDIDO_ITEMS!$A$2:$A$501,C563,PEDIDO_ITEMS!$B$2:$B$501,E563),"EXCEDE PEDIDO","OK"))))))</f>
        <v/>
      </c>
    </row>
    <row r="564">
      <c r="A564" s="9" t="inlineStr"/>
      <c r="B564" s="2" t="inlineStr"/>
      <c r="C564" s="2" t="inlineStr"/>
      <c r="D564" s="2" t="inlineStr"/>
      <c r="E564" s="2">
        <f>IF(D564="","",IFERROR(XLOOKUP(TRIM(D564),INVENTARIO!$A$2:$A$2000,INVENTARIO!$B$2:$B$2000),"NO ENCONTRADO"))</f>
        <v/>
      </c>
      <c r="F564" s="2">
        <f>IF(D564="","",IFERROR(XLOOKUP(TRIM(D564),INVENTARIO!$A$2:$A$2000,INVENTARIO!$C$2:$C$2000),""))</f>
        <v/>
      </c>
      <c r="G564" s="2">
        <f>IF(D564="","",IF(E564="NO ENCONTRADO","CODIGO NO EXISTE",IF(COUNTIF($D$2:D564,D564)&gt;1,"DUPLICADO",IF(C564="","OK SIN PEDIDO",IF(COUNTIFS(PEDIDO_ITEMS!$A$2:$A$501,C564,PEDIDO_ITEMS!$B$2:$B$501,E564)=0,"NO PEDIDO",IF(COUNTIFS($C$2:C564,C564,$E$2:E564,E564)&gt;SUMIFS(PEDIDO_ITEMS!$C$2:$C$501,PEDIDO_ITEMS!$A$2:$A$501,C564,PEDIDO_ITEMS!$B$2:$B$501,E564),"EXCEDE PEDIDO","OK"))))))</f>
        <v/>
      </c>
    </row>
    <row r="565">
      <c r="A565" s="9" t="inlineStr"/>
      <c r="B565" s="2" t="inlineStr"/>
      <c r="C565" s="2" t="inlineStr"/>
      <c r="D565" s="2" t="inlineStr"/>
      <c r="E565" s="2">
        <f>IF(D565="","",IFERROR(XLOOKUP(TRIM(D565),INVENTARIO!$A$2:$A$2000,INVENTARIO!$B$2:$B$2000),"NO ENCONTRADO"))</f>
        <v/>
      </c>
      <c r="F565" s="2">
        <f>IF(D565="","",IFERROR(XLOOKUP(TRIM(D565),INVENTARIO!$A$2:$A$2000,INVENTARIO!$C$2:$C$2000),""))</f>
        <v/>
      </c>
      <c r="G565" s="2">
        <f>IF(D565="","",IF(E565="NO ENCONTRADO","CODIGO NO EXISTE",IF(COUNTIF($D$2:D565,D565)&gt;1,"DUPLICADO",IF(C565="","OK SIN PEDIDO",IF(COUNTIFS(PEDIDO_ITEMS!$A$2:$A$501,C565,PEDIDO_ITEMS!$B$2:$B$501,E565)=0,"NO PEDIDO",IF(COUNTIFS($C$2:C565,C565,$E$2:E565,E565)&gt;SUMIFS(PEDIDO_ITEMS!$C$2:$C$501,PEDIDO_ITEMS!$A$2:$A$501,C565,PEDIDO_ITEMS!$B$2:$B$501,E565),"EXCEDE PEDIDO","OK"))))))</f>
        <v/>
      </c>
    </row>
    <row r="566">
      <c r="A566" s="9" t="inlineStr"/>
      <c r="B566" s="2" t="inlineStr"/>
      <c r="C566" s="2" t="inlineStr"/>
      <c r="D566" s="2" t="inlineStr"/>
      <c r="E566" s="2">
        <f>IF(D566="","",IFERROR(XLOOKUP(TRIM(D566),INVENTARIO!$A$2:$A$2000,INVENTARIO!$B$2:$B$2000),"NO ENCONTRADO"))</f>
        <v/>
      </c>
      <c r="F566" s="2">
        <f>IF(D566="","",IFERROR(XLOOKUP(TRIM(D566),INVENTARIO!$A$2:$A$2000,INVENTARIO!$C$2:$C$2000),""))</f>
        <v/>
      </c>
      <c r="G566" s="2">
        <f>IF(D566="","",IF(E566="NO ENCONTRADO","CODIGO NO EXISTE",IF(COUNTIF($D$2:D566,D566)&gt;1,"DUPLICADO",IF(C566="","OK SIN PEDIDO",IF(COUNTIFS(PEDIDO_ITEMS!$A$2:$A$501,C566,PEDIDO_ITEMS!$B$2:$B$501,E566)=0,"NO PEDIDO",IF(COUNTIFS($C$2:C566,C566,$E$2:E566,E566)&gt;SUMIFS(PEDIDO_ITEMS!$C$2:$C$501,PEDIDO_ITEMS!$A$2:$A$501,C566,PEDIDO_ITEMS!$B$2:$B$501,E566),"EXCEDE PEDIDO","OK"))))))</f>
        <v/>
      </c>
    </row>
    <row r="567">
      <c r="A567" s="9" t="inlineStr"/>
      <c r="B567" s="2" t="inlineStr"/>
      <c r="C567" s="2" t="inlineStr"/>
      <c r="D567" s="2" t="inlineStr"/>
      <c r="E567" s="2">
        <f>IF(D567="","",IFERROR(XLOOKUP(TRIM(D567),INVENTARIO!$A$2:$A$2000,INVENTARIO!$B$2:$B$2000),"NO ENCONTRADO"))</f>
        <v/>
      </c>
      <c r="F567" s="2">
        <f>IF(D567="","",IFERROR(XLOOKUP(TRIM(D567),INVENTARIO!$A$2:$A$2000,INVENTARIO!$C$2:$C$2000),""))</f>
        <v/>
      </c>
      <c r="G567" s="2">
        <f>IF(D567="","",IF(E567="NO ENCONTRADO","CODIGO NO EXISTE",IF(COUNTIF($D$2:D567,D567)&gt;1,"DUPLICADO",IF(C567="","OK SIN PEDIDO",IF(COUNTIFS(PEDIDO_ITEMS!$A$2:$A$501,C567,PEDIDO_ITEMS!$B$2:$B$501,E567)=0,"NO PEDIDO",IF(COUNTIFS($C$2:C567,C567,$E$2:E567,E567)&gt;SUMIFS(PEDIDO_ITEMS!$C$2:$C$501,PEDIDO_ITEMS!$A$2:$A$501,C567,PEDIDO_ITEMS!$B$2:$B$501,E567),"EXCEDE PEDIDO","OK"))))))</f>
        <v/>
      </c>
    </row>
    <row r="568">
      <c r="A568" s="9" t="inlineStr"/>
      <c r="B568" s="2" t="inlineStr"/>
      <c r="C568" s="2" t="inlineStr"/>
      <c r="D568" s="2" t="inlineStr"/>
      <c r="E568" s="2">
        <f>IF(D568="","",IFERROR(XLOOKUP(TRIM(D568),INVENTARIO!$A$2:$A$2000,INVENTARIO!$B$2:$B$2000),"NO ENCONTRADO"))</f>
        <v/>
      </c>
      <c r="F568" s="2">
        <f>IF(D568="","",IFERROR(XLOOKUP(TRIM(D568),INVENTARIO!$A$2:$A$2000,INVENTARIO!$C$2:$C$2000),""))</f>
        <v/>
      </c>
      <c r="G568" s="2">
        <f>IF(D568="","",IF(E568="NO ENCONTRADO","CODIGO NO EXISTE",IF(COUNTIF($D$2:D568,D568)&gt;1,"DUPLICADO",IF(C568="","OK SIN PEDIDO",IF(COUNTIFS(PEDIDO_ITEMS!$A$2:$A$501,C568,PEDIDO_ITEMS!$B$2:$B$501,E568)=0,"NO PEDIDO",IF(COUNTIFS($C$2:C568,C568,$E$2:E568,E568)&gt;SUMIFS(PEDIDO_ITEMS!$C$2:$C$501,PEDIDO_ITEMS!$A$2:$A$501,C568,PEDIDO_ITEMS!$B$2:$B$501,E568),"EXCEDE PEDIDO","OK"))))))</f>
        <v/>
      </c>
    </row>
    <row r="569">
      <c r="A569" s="9" t="inlineStr"/>
      <c r="B569" s="2" t="inlineStr"/>
      <c r="C569" s="2" t="inlineStr"/>
      <c r="D569" s="2" t="inlineStr"/>
      <c r="E569" s="2">
        <f>IF(D569="","",IFERROR(XLOOKUP(TRIM(D569),INVENTARIO!$A$2:$A$2000,INVENTARIO!$B$2:$B$2000),"NO ENCONTRADO"))</f>
        <v/>
      </c>
      <c r="F569" s="2">
        <f>IF(D569="","",IFERROR(XLOOKUP(TRIM(D569),INVENTARIO!$A$2:$A$2000,INVENTARIO!$C$2:$C$2000),""))</f>
        <v/>
      </c>
      <c r="G569" s="2">
        <f>IF(D569="","",IF(E569="NO ENCONTRADO","CODIGO NO EXISTE",IF(COUNTIF($D$2:D569,D569)&gt;1,"DUPLICADO",IF(C569="","OK SIN PEDIDO",IF(COUNTIFS(PEDIDO_ITEMS!$A$2:$A$501,C569,PEDIDO_ITEMS!$B$2:$B$501,E569)=0,"NO PEDIDO",IF(COUNTIFS($C$2:C569,C569,$E$2:E569,E569)&gt;SUMIFS(PEDIDO_ITEMS!$C$2:$C$501,PEDIDO_ITEMS!$A$2:$A$501,C569,PEDIDO_ITEMS!$B$2:$B$501,E569),"EXCEDE PEDIDO","OK"))))))</f>
        <v/>
      </c>
    </row>
    <row r="570">
      <c r="A570" s="9" t="inlineStr"/>
      <c r="B570" s="2" t="inlineStr"/>
      <c r="C570" s="2" t="inlineStr"/>
      <c r="D570" s="2" t="inlineStr"/>
      <c r="E570" s="2">
        <f>IF(D570="","",IFERROR(XLOOKUP(TRIM(D570),INVENTARIO!$A$2:$A$2000,INVENTARIO!$B$2:$B$2000),"NO ENCONTRADO"))</f>
        <v/>
      </c>
      <c r="F570" s="2">
        <f>IF(D570="","",IFERROR(XLOOKUP(TRIM(D570),INVENTARIO!$A$2:$A$2000,INVENTARIO!$C$2:$C$2000),""))</f>
        <v/>
      </c>
      <c r="G570" s="2">
        <f>IF(D570="","",IF(E570="NO ENCONTRADO","CODIGO NO EXISTE",IF(COUNTIF($D$2:D570,D570)&gt;1,"DUPLICADO",IF(C570="","OK SIN PEDIDO",IF(COUNTIFS(PEDIDO_ITEMS!$A$2:$A$501,C570,PEDIDO_ITEMS!$B$2:$B$501,E570)=0,"NO PEDIDO",IF(COUNTIFS($C$2:C570,C570,$E$2:E570,E570)&gt;SUMIFS(PEDIDO_ITEMS!$C$2:$C$501,PEDIDO_ITEMS!$A$2:$A$501,C570,PEDIDO_ITEMS!$B$2:$B$501,E570),"EXCEDE PEDIDO","OK"))))))</f>
        <v/>
      </c>
    </row>
    <row r="571">
      <c r="A571" s="9" t="inlineStr"/>
      <c r="B571" s="2" t="inlineStr"/>
      <c r="C571" s="2" t="inlineStr"/>
      <c r="D571" s="2" t="inlineStr"/>
      <c r="E571" s="2">
        <f>IF(D571="","",IFERROR(XLOOKUP(TRIM(D571),INVENTARIO!$A$2:$A$2000,INVENTARIO!$B$2:$B$2000),"NO ENCONTRADO"))</f>
        <v/>
      </c>
      <c r="F571" s="2">
        <f>IF(D571="","",IFERROR(XLOOKUP(TRIM(D571),INVENTARIO!$A$2:$A$2000,INVENTARIO!$C$2:$C$2000),""))</f>
        <v/>
      </c>
      <c r="G571" s="2">
        <f>IF(D571="","",IF(E571="NO ENCONTRADO","CODIGO NO EXISTE",IF(COUNTIF($D$2:D571,D571)&gt;1,"DUPLICADO",IF(C571="","OK SIN PEDIDO",IF(COUNTIFS(PEDIDO_ITEMS!$A$2:$A$501,C571,PEDIDO_ITEMS!$B$2:$B$501,E571)=0,"NO PEDIDO",IF(COUNTIFS($C$2:C571,C571,$E$2:E571,E571)&gt;SUMIFS(PEDIDO_ITEMS!$C$2:$C$501,PEDIDO_ITEMS!$A$2:$A$501,C571,PEDIDO_ITEMS!$B$2:$B$501,E571),"EXCEDE PEDIDO","OK"))))))</f>
        <v/>
      </c>
    </row>
    <row r="572">
      <c r="A572" s="9" t="inlineStr"/>
      <c r="B572" s="2" t="inlineStr"/>
      <c r="C572" s="2" t="inlineStr"/>
      <c r="D572" s="2" t="inlineStr"/>
      <c r="E572" s="2">
        <f>IF(D572="","",IFERROR(XLOOKUP(TRIM(D572),INVENTARIO!$A$2:$A$2000,INVENTARIO!$B$2:$B$2000),"NO ENCONTRADO"))</f>
        <v/>
      </c>
      <c r="F572" s="2">
        <f>IF(D572="","",IFERROR(XLOOKUP(TRIM(D572),INVENTARIO!$A$2:$A$2000,INVENTARIO!$C$2:$C$2000),""))</f>
        <v/>
      </c>
      <c r="G572" s="2">
        <f>IF(D572="","",IF(E572="NO ENCONTRADO","CODIGO NO EXISTE",IF(COUNTIF($D$2:D572,D572)&gt;1,"DUPLICADO",IF(C572="","OK SIN PEDIDO",IF(COUNTIFS(PEDIDO_ITEMS!$A$2:$A$501,C572,PEDIDO_ITEMS!$B$2:$B$501,E572)=0,"NO PEDIDO",IF(COUNTIFS($C$2:C572,C572,$E$2:E572,E572)&gt;SUMIFS(PEDIDO_ITEMS!$C$2:$C$501,PEDIDO_ITEMS!$A$2:$A$501,C572,PEDIDO_ITEMS!$B$2:$B$501,E572),"EXCEDE PEDIDO","OK"))))))</f>
        <v/>
      </c>
    </row>
    <row r="573">
      <c r="A573" s="9" t="inlineStr"/>
      <c r="B573" s="2" t="inlineStr"/>
      <c r="C573" s="2" t="inlineStr"/>
      <c r="D573" s="2" t="inlineStr"/>
      <c r="E573" s="2">
        <f>IF(D573="","",IFERROR(XLOOKUP(TRIM(D573),INVENTARIO!$A$2:$A$2000,INVENTARIO!$B$2:$B$2000),"NO ENCONTRADO"))</f>
        <v/>
      </c>
      <c r="F573" s="2">
        <f>IF(D573="","",IFERROR(XLOOKUP(TRIM(D573),INVENTARIO!$A$2:$A$2000,INVENTARIO!$C$2:$C$2000),""))</f>
        <v/>
      </c>
      <c r="G573" s="2">
        <f>IF(D573="","",IF(E573="NO ENCONTRADO","CODIGO NO EXISTE",IF(COUNTIF($D$2:D573,D573)&gt;1,"DUPLICADO",IF(C573="","OK SIN PEDIDO",IF(COUNTIFS(PEDIDO_ITEMS!$A$2:$A$501,C573,PEDIDO_ITEMS!$B$2:$B$501,E573)=0,"NO PEDIDO",IF(COUNTIFS($C$2:C573,C573,$E$2:E573,E573)&gt;SUMIFS(PEDIDO_ITEMS!$C$2:$C$501,PEDIDO_ITEMS!$A$2:$A$501,C573,PEDIDO_ITEMS!$B$2:$B$501,E573),"EXCEDE PEDIDO","OK"))))))</f>
        <v/>
      </c>
    </row>
    <row r="574">
      <c r="A574" s="9" t="inlineStr"/>
      <c r="B574" s="2" t="inlineStr"/>
      <c r="C574" s="2" t="inlineStr"/>
      <c r="D574" s="2" t="inlineStr"/>
      <c r="E574" s="2">
        <f>IF(D574="","",IFERROR(XLOOKUP(TRIM(D574),INVENTARIO!$A$2:$A$2000,INVENTARIO!$B$2:$B$2000),"NO ENCONTRADO"))</f>
        <v/>
      </c>
      <c r="F574" s="2">
        <f>IF(D574="","",IFERROR(XLOOKUP(TRIM(D574),INVENTARIO!$A$2:$A$2000,INVENTARIO!$C$2:$C$2000),""))</f>
        <v/>
      </c>
      <c r="G574" s="2">
        <f>IF(D574="","",IF(E574="NO ENCONTRADO","CODIGO NO EXISTE",IF(COUNTIF($D$2:D574,D574)&gt;1,"DUPLICADO",IF(C574="","OK SIN PEDIDO",IF(COUNTIFS(PEDIDO_ITEMS!$A$2:$A$501,C574,PEDIDO_ITEMS!$B$2:$B$501,E574)=0,"NO PEDIDO",IF(COUNTIFS($C$2:C574,C574,$E$2:E574,E574)&gt;SUMIFS(PEDIDO_ITEMS!$C$2:$C$501,PEDIDO_ITEMS!$A$2:$A$501,C574,PEDIDO_ITEMS!$B$2:$B$501,E574),"EXCEDE PEDIDO","OK"))))))</f>
        <v/>
      </c>
    </row>
    <row r="575">
      <c r="A575" s="9" t="inlineStr"/>
      <c r="B575" s="2" t="inlineStr"/>
      <c r="C575" s="2" t="inlineStr"/>
      <c r="D575" s="2" t="inlineStr"/>
      <c r="E575" s="2">
        <f>IF(D575="","",IFERROR(XLOOKUP(TRIM(D575),INVENTARIO!$A$2:$A$2000,INVENTARIO!$B$2:$B$2000),"NO ENCONTRADO"))</f>
        <v/>
      </c>
      <c r="F575" s="2">
        <f>IF(D575="","",IFERROR(XLOOKUP(TRIM(D575),INVENTARIO!$A$2:$A$2000,INVENTARIO!$C$2:$C$2000),""))</f>
        <v/>
      </c>
      <c r="G575" s="2">
        <f>IF(D575="","",IF(E575="NO ENCONTRADO","CODIGO NO EXISTE",IF(COUNTIF($D$2:D575,D575)&gt;1,"DUPLICADO",IF(C575="","OK SIN PEDIDO",IF(COUNTIFS(PEDIDO_ITEMS!$A$2:$A$501,C575,PEDIDO_ITEMS!$B$2:$B$501,E575)=0,"NO PEDIDO",IF(COUNTIFS($C$2:C575,C575,$E$2:E575,E575)&gt;SUMIFS(PEDIDO_ITEMS!$C$2:$C$501,PEDIDO_ITEMS!$A$2:$A$501,C575,PEDIDO_ITEMS!$B$2:$B$501,E575),"EXCEDE PEDIDO","OK"))))))</f>
        <v/>
      </c>
    </row>
    <row r="576">
      <c r="A576" s="9" t="inlineStr"/>
      <c r="B576" s="2" t="inlineStr"/>
      <c r="C576" s="2" t="inlineStr"/>
      <c r="D576" s="2" t="inlineStr"/>
      <c r="E576" s="2">
        <f>IF(D576="","",IFERROR(XLOOKUP(TRIM(D576),INVENTARIO!$A$2:$A$2000,INVENTARIO!$B$2:$B$2000),"NO ENCONTRADO"))</f>
        <v/>
      </c>
      <c r="F576" s="2">
        <f>IF(D576="","",IFERROR(XLOOKUP(TRIM(D576),INVENTARIO!$A$2:$A$2000,INVENTARIO!$C$2:$C$2000),""))</f>
        <v/>
      </c>
      <c r="G576" s="2">
        <f>IF(D576="","",IF(E576="NO ENCONTRADO","CODIGO NO EXISTE",IF(COUNTIF($D$2:D576,D576)&gt;1,"DUPLICADO",IF(C576="","OK SIN PEDIDO",IF(COUNTIFS(PEDIDO_ITEMS!$A$2:$A$501,C576,PEDIDO_ITEMS!$B$2:$B$501,E576)=0,"NO PEDIDO",IF(COUNTIFS($C$2:C576,C576,$E$2:E576,E576)&gt;SUMIFS(PEDIDO_ITEMS!$C$2:$C$501,PEDIDO_ITEMS!$A$2:$A$501,C576,PEDIDO_ITEMS!$B$2:$B$501,E576),"EXCEDE PEDIDO","OK"))))))</f>
        <v/>
      </c>
    </row>
    <row r="577">
      <c r="A577" s="9" t="inlineStr"/>
      <c r="B577" s="2" t="inlineStr"/>
      <c r="C577" s="2" t="inlineStr"/>
      <c r="D577" s="2" t="inlineStr"/>
      <c r="E577" s="2">
        <f>IF(D577="","",IFERROR(XLOOKUP(TRIM(D577),INVENTARIO!$A$2:$A$2000,INVENTARIO!$B$2:$B$2000),"NO ENCONTRADO"))</f>
        <v/>
      </c>
      <c r="F577" s="2">
        <f>IF(D577="","",IFERROR(XLOOKUP(TRIM(D577),INVENTARIO!$A$2:$A$2000,INVENTARIO!$C$2:$C$2000),""))</f>
        <v/>
      </c>
      <c r="G577" s="2">
        <f>IF(D577="","",IF(E577="NO ENCONTRADO","CODIGO NO EXISTE",IF(COUNTIF($D$2:D577,D577)&gt;1,"DUPLICADO",IF(C577="","OK SIN PEDIDO",IF(COUNTIFS(PEDIDO_ITEMS!$A$2:$A$501,C577,PEDIDO_ITEMS!$B$2:$B$501,E577)=0,"NO PEDIDO",IF(COUNTIFS($C$2:C577,C577,$E$2:E577,E577)&gt;SUMIFS(PEDIDO_ITEMS!$C$2:$C$501,PEDIDO_ITEMS!$A$2:$A$501,C577,PEDIDO_ITEMS!$B$2:$B$501,E577),"EXCEDE PEDIDO","OK"))))))</f>
        <v/>
      </c>
    </row>
    <row r="578">
      <c r="A578" s="9" t="inlineStr"/>
      <c r="B578" s="2" t="inlineStr"/>
      <c r="C578" s="2" t="inlineStr"/>
      <c r="D578" s="2" t="inlineStr"/>
      <c r="E578" s="2">
        <f>IF(D578="","",IFERROR(XLOOKUP(TRIM(D578),INVENTARIO!$A$2:$A$2000,INVENTARIO!$B$2:$B$2000),"NO ENCONTRADO"))</f>
        <v/>
      </c>
      <c r="F578" s="2">
        <f>IF(D578="","",IFERROR(XLOOKUP(TRIM(D578),INVENTARIO!$A$2:$A$2000,INVENTARIO!$C$2:$C$2000),""))</f>
        <v/>
      </c>
      <c r="G578" s="2">
        <f>IF(D578="","",IF(E578="NO ENCONTRADO","CODIGO NO EXISTE",IF(COUNTIF($D$2:D578,D578)&gt;1,"DUPLICADO",IF(C578="","OK SIN PEDIDO",IF(COUNTIFS(PEDIDO_ITEMS!$A$2:$A$501,C578,PEDIDO_ITEMS!$B$2:$B$501,E578)=0,"NO PEDIDO",IF(COUNTIFS($C$2:C578,C578,$E$2:E578,E578)&gt;SUMIFS(PEDIDO_ITEMS!$C$2:$C$501,PEDIDO_ITEMS!$A$2:$A$501,C578,PEDIDO_ITEMS!$B$2:$B$501,E578),"EXCEDE PEDIDO","OK"))))))</f>
        <v/>
      </c>
    </row>
    <row r="579">
      <c r="A579" s="9" t="inlineStr"/>
      <c r="B579" s="2" t="inlineStr"/>
      <c r="C579" s="2" t="inlineStr"/>
      <c r="D579" s="2" t="inlineStr"/>
      <c r="E579" s="2">
        <f>IF(D579="","",IFERROR(XLOOKUP(TRIM(D579),INVENTARIO!$A$2:$A$2000,INVENTARIO!$B$2:$B$2000),"NO ENCONTRADO"))</f>
        <v/>
      </c>
      <c r="F579" s="2">
        <f>IF(D579="","",IFERROR(XLOOKUP(TRIM(D579),INVENTARIO!$A$2:$A$2000,INVENTARIO!$C$2:$C$2000),""))</f>
        <v/>
      </c>
      <c r="G579" s="2">
        <f>IF(D579="","",IF(E579="NO ENCONTRADO","CODIGO NO EXISTE",IF(COUNTIF($D$2:D579,D579)&gt;1,"DUPLICADO",IF(C579="","OK SIN PEDIDO",IF(COUNTIFS(PEDIDO_ITEMS!$A$2:$A$501,C579,PEDIDO_ITEMS!$B$2:$B$501,E579)=0,"NO PEDIDO",IF(COUNTIFS($C$2:C579,C579,$E$2:E579,E579)&gt;SUMIFS(PEDIDO_ITEMS!$C$2:$C$501,PEDIDO_ITEMS!$A$2:$A$501,C579,PEDIDO_ITEMS!$B$2:$B$501,E579),"EXCEDE PEDIDO","OK"))))))</f>
        <v/>
      </c>
    </row>
    <row r="580">
      <c r="A580" s="9" t="inlineStr"/>
      <c r="B580" s="2" t="inlineStr"/>
      <c r="C580" s="2" t="inlineStr"/>
      <c r="D580" s="2" t="inlineStr"/>
      <c r="E580" s="2">
        <f>IF(D580="","",IFERROR(XLOOKUP(TRIM(D580),INVENTARIO!$A$2:$A$2000,INVENTARIO!$B$2:$B$2000),"NO ENCONTRADO"))</f>
        <v/>
      </c>
      <c r="F580" s="2">
        <f>IF(D580="","",IFERROR(XLOOKUP(TRIM(D580),INVENTARIO!$A$2:$A$2000,INVENTARIO!$C$2:$C$2000),""))</f>
        <v/>
      </c>
      <c r="G580" s="2">
        <f>IF(D580="","",IF(E580="NO ENCONTRADO","CODIGO NO EXISTE",IF(COUNTIF($D$2:D580,D580)&gt;1,"DUPLICADO",IF(C580="","OK SIN PEDIDO",IF(COUNTIFS(PEDIDO_ITEMS!$A$2:$A$501,C580,PEDIDO_ITEMS!$B$2:$B$501,E580)=0,"NO PEDIDO",IF(COUNTIFS($C$2:C580,C580,$E$2:E580,E580)&gt;SUMIFS(PEDIDO_ITEMS!$C$2:$C$501,PEDIDO_ITEMS!$A$2:$A$501,C580,PEDIDO_ITEMS!$B$2:$B$501,E580),"EXCEDE PEDIDO","OK"))))))</f>
        <v/>
      </c>
    </row>
    <row r="581">
      <c r="A581" s="9" t="inlineStr"/>
      <c r="B581" s="2" t="inlineStr"/>
      <c r="C581" s="2" t="inlineStr"/>
      <c r="D581" s="2" t="inlineStr"/>
      <c r="E581" s="2">
        <f>IF(D581="","",IFERROR(XLOOKUP(TRIM(D581),INVENTARIO!$A$2:$A$2000,INVENTARIO!$B$2:$B$2000),"NO ENCONTRADO"))</f>
        <v/>
      </c>
      <c r="F581" s="2">
        <f>IF(D581="","",IFERROR(XLOOKUP(TRIM(D581),INVENTARIO!$A$2:$A$2000,INVENTARIO!$C$2:$C$2000),""))</f>
        <v/>
      </c>
      <c r="G581" s="2">
        <f>IF(D581="","",IF(E581="NO ENCONTRADO","CODIGO NO EXISTE",IF(COUNTIF($D$2:D581,D581)&gt;1,"DUPLICADO",IF(C581="","OK SIN PEDIDO",IF(COUNTIFS(PEDIDO_ITEMS!$A$2:$A$501,C581,PEDIDO_ITEMS!$B$2:$B$501,E581)=0,"NO PEDIDO",IF(COUNTIFS($C$2:C581,C581,$E$2:E581,E581)&gt;SUMIFS(PEDIDO_ITEMS!$C$2:$C$501,PEDIDO_ITEMS!$A$2:$A$501,C581,PEDIDO_ITEMS!$B$2:$B$501,E581),"EXCEDE PEDIDO","OK"))))))</f>
        <v/>
      </c>
    </row>
    <row r="582">
      <c r="A582" s="9" t="inlineStr"/>
      <c r="B582" s="2" t="inlineStr"/>
      <c r="C582" s="2" t="inlineStr"/>
      <c r="D582" s="2" t="inlineStr"/>
      <c r="E582" s="2">
        <f>IF(D582="","",IFERROR(XLOOKUP(TRIM(D582),INVENTARIO!$A$2:$A$2000,INVENTARIO!$B$2:$B$2000),"NO ENCONTRADO"))</f>
        <v/>
      </c>
      <c r="F582" s="2">
        <f>IF(D582="","",IFERROR(XLOOKUP(TRIM(D582),INVENTARIO!$A$2:$A$2000,INVENTARIO!$C$2:$C$2000),""))</f>
        <v/>
      </c>
      <c r="G582" s="2">
        <f>IF(D582="","",IF(E582="NO ENCONTRADO","CODIGO NO EXISTE",IF(COUNTIF($D$2:D582,D582)&gt;1,"DUPLICADO",IF(C582="","OK SIN PEDIDO",IF(COUNTIFS(PEDIDO_ITEMS!$A$2:$A$501,C582,PEDIDO_ITEMS!$B$2:$B$501,E582)=0,"NO PEDIDO",IF(COUNTIFS($C$2:C582,C582,$E$2:E582,E582)&gt;SUMIFS(PEDIDO_ITEMS!$C$2:$C$501,PEDIDO_ITEMS!$A$2:$A$501,C582,PEDIDO_ITEMS!$B$2:$B$501,E582),"EXCEDE PEDIDO","OK"))))))</f>
        <v/>
      </c>
    </row>
    <row r="583">
      <c r="A583" s="9" t="inlineStr"/>
      <c r="B583" s="2" t="inlineStr"/>
      <c r="C583" s="2" t="inlineStr"/>
      <c r="D583" s="2" t="inlineStr"/>
      <c r="E583" s="2">
        <f>IF(D583="","",IFERROR(XLOOKUP(TRIM(D583),INVENTARIO!$A$2:$A$2000,INVENTARIO!$B$2:$B$2000),"NO ENCONTRADO"))</f>
        <v/>
      </c>
      <c r="F583" s="2">
        <f>IF(D583="","",IFERROR(XLOOKUP(TRIM(D583),INVENTARIO!$A$2:$A$2000,INVENTARIO!$C$2:$C$2000),""))</f>
        <v/>
      </c>
      <c r="G583" s="2">
        <f>IF(D583="","",IF(E583="NO ENCONTRADO","CODIGO NO EXISTE",IF(COUNTIF($D$2:D583,D583)&gt;1,"DUPLICADO",IF(C583="","OK SIN PEDIDO",IF(COUNTIFS(PEDIDO_ITEMS!$A$2:$A$501,C583,PEDIDO_ITEMS!$B$2:$B$501,E583)=0,"NO PEDIDO",IF(COUNTIFS($C$2:C583,C583,$E$2:E583,E583)&gt;SUMIFS(PEDIDO_ITEMS!$C$2:$C$501,PEDIDO_ITEMS!$A$2:$A$501,C583,PEDIDO_ITEMS!$B$2:$B$501,E583),"EXCEDE PEDIDO","OK"))))))</f>
        <v/>
      </c>
    </row>
    <row r="584">
      <c r="A584" s="9" t="inlineStr"/>
      <c r="B584" s="2" t="inlineStr"/>
      <c r="C584" s="2" t="inlineStr"/>
      <c r="D584" s="2" t="inlineStr"/>
      <c r="E584" s="2">
        <f>IF(D584="","",IFERROR(XLOOKUP(TRIM(D584),INVENTARIO!$A$2:$A$2000,INVENTARIO!$B$2:$B$2000),"NO ENCONTRADO"))</f>
        <v/>
      </c>
      <c r="F584" s="2">
        <f>IF(D584="","",IFERROR(XLOOKUP(TRIM(D584),INVENTARIO!$A$2:$A$2000,INVENTARIO!$C$2:$C$2000),""))</f>
        <v/>
      </c>
      <c r="G584" s="2">
        <f>IF(D584="","",IF(E584="NO ENCONTRADO","CODIGO NO EXISTE",IF(COUNTIF($D$2:D584,D584)&gt;1,"DUPLICADO",IF(C584="","OK SIN PEDIDO",IF(COUNTIFS(PEDIDO_ITEMS!$A$2:$A$501,C584,PEDIDO_ITEMS!$B$2:$B$501,E584)=0,"NO PEDIDO",IF(COUNTIFS($C$2:C584,C584,$E$2:E584,E584)&gt;SUMIFS(PEDIDO_ITEMS!$C$2:$C$501,PEDIDO_ITEMS!$A$2:$A$501,C584,PEDIDO_ITEMS!$B$2:$B$501,E584),"EXCEDE PEDIDO","OK"))))))</f>
        <v/>
      </c>
    </row>
    <row r="585">
      <c r="A585" s="9" t="inlineStr"/>
      <c r="B585" s="2" t="inlineStr"/>
      <c r="C585" s="2" t="inlineStr"/>
      <c r="D585" s="2" t="inlineStr"/>
      <c r="E585" s="2">
        <f>IF(D585="","",IFERROR(XLOOKUP(TRIM(D585),INVENTARIO!$A$2:$A$2000,INVENTARIO!$B$2:$B$2000),"NO ENCONTRADO"))</f>
        <v/>
      </c>
      <c r="F585" s="2">
        <f>IF(D585="","",IFERROR(XLOOKUP(TRIM(D585),INVENTARIO!$A$2:$A$2000,INVENTARIO!$C$2:$C$2000),""))</f>
        <v/>
      </c>
      <c r="G585" s="2">
        <f>IF(D585="","",IF(E585="NO ENCONTRADO","CODIGO NO EXISTE",IF(COUNTIF($D$2:D585,D585)&gt;1,"DUPLICADO",IF(C585="","OK SIN PEDIDO",IF(COUNTIFS(PEDIDO_ITEMS!$A$2:$A$501,C585,PEDIDO_ITEMS!$B$2:$B$501,E585)=0,"NO PEDIDO",IF(COUNTIFS($C$2:C585,C585,$E$2:E585,E585)&gt;SUMIFS(PEDIDO_ITEMS!$C$2:$C$501,PEDIDO_ITEMS!$A$2:$A$501,C585,PEDIDO_ITEMS!$B$2:$B$501,E585),"EXCEDE PEDIDO","OK"))))))</f>
        <v/>
      </c>
    </row>
    <row r="586">
      <c r="A586" s="9" t="inlineStr"/>
      <c r="B586" s="2" t="inlineStr"/>
      <c r="C586" s="2" t="inlineStr"/>
      <c r="D586" s="2" t="inlineStr"/>
      <c r="E586" s="2">
        <f>IF(D586="","",IFERROR(XLOOKUP(TRIM(D586),INVENTARIO!$A$2:$A$2000,INVENTARIO!$B$2:$B$2000),"NO ENCONTRADO"))</f>
        <v/>
      </c>
      <c r="F586" s="2">
        <f>IF(D586="","",IFERROR(XLOOKUP(TRIM(D586),INVENTARIO!$A$2:$A$2000,INVENTARIO!$C$2:$C$2000),""))</f>
        <v/>
      </c>
      <c r="G586" s="2">
        <f>IF(D586="","",IF(E586="NO ENCONTRADO","CODIGO NO EXISTE",IF(COUNTIF($D$2:D586,D586)&gt;1,"DUPLICADO",IF(C586="","OK SIN PEDIDO",IF(COUNTIFS(PEDIDO_ITEMS!$A$2:$A$501,C586,PEDIDO_ITEMS!$B$2:$B$501,E586)=0,"NO PEDIDO",IF(COUNTIFS($C$2:C586,C586,$E$2:E586,E586)&gt;SUMIFS(PEDIDO_ITEMS!$C$2:$C$501,PEDIDO_ITEMS!$A$2:$A$501,C586,PEDIDO_ITEMS!$B$2:$B$501,E586),"EXCEDE PEDIDO","OK"))))))</f>
        <v/>
      </c>
    </row>
    <row r="587">
      <c r="A587" s="9" t="inlineStr"/>
      <c r="B587" s="2" t="inlineStr"/>
      <c r="C587" s="2" t="inlineStr"/>
      <c r="D587" s="2" t="inlineStr"/>
      <c r="E587" s="2">
        <f>IF(D587="","",IFERROR(XLOOKUP(TRIM(D587),INVENTARIO!$A$2:$A$2000,INVENTARIO!$B$2:$B$2000),"NO ENCONTRADO"))</f>
        <v/>
      </c>
      <c r="F587" s="2">
        <f>IF(D587="","",IFERROR(XLOOKUP(TRIM(D587),INVENTARIO!$A$2:$A$2000,INVENTARIO!$C$2:$C$2000),""))</f>
        <v/>
      </c>
      <c r="G587" s="2">
        <f>IF(D587="","",IF(E587="NO ENCONTRADO","CODIGO NO EXISTE",IF(COUNTIF($D$2:D587,D587)&gt;1,"DUPLICADO",IF(C587="","OK SIN PEDIDO",IF(COUNTIFS(PEDIDO_ITEMS!$A$2:$A$501,C587,PEDIDO_ITEMS!$B$2:$B$501,E587)=0,"NO PEDIDO",IF(COUNTIFS($C$2:C587,C587,$E$2:E587,E587)&gt;SUMIFS(PEDIDO_ITEMS!$C$2:$C$501,PEDIDO_ITEMS!$A$2:$A$501,C587,PEDIDO_ITEMS!$B$2:$B$501,E587),"EXCEDE PEDIDO","OK"))))))</f>
        <v/>
      </c>
    </row>
    <row r="588">
      <c r="A588" s="9" t="inlineStr"/>
      <c r="B588" s="2" t="inlineStr"/>
      <c r="C588" s="2" t="inlineStr"/>
      <c r="D588" s="2" t="inlineStr"/>
      <c r="E588" s="2">
        <f>IF(D588="","",IFERROR(XLOOKUP(TRIM(D588),INVENTARIO!$A$2:$A$2000,INVENTARIO!$B$2:$B$2000),"NO ENCONTRADO"))</f>
        <v/>
      </c>
      <c r="F588" s="2">
        <f>IF(D588="","",IFERROR(XLOOKUP(TRIM(D588),INVENTARIO!$A$2:$A$2000,INVENTARIO!$C$2:$C$2000),""))</f>
        <v/>
      </c>
      <c r="G588" s="2">
        <f>IF(D588="","",IF(E588="NO ENCONTRADO","CODIGO NO EXISTE",IF(COUNTIF($D$2:D588,D588)&gt;1,"DUPLICADO",IF(C588="","OK SIN PEDIDO",IF(COUNTIFS(PEDIDO_ITEMS!$A$2:$A$501,C588,PEDIDO_ITEMS!$B$2:$B$501,E588)=0,"NO PEDIDO",IF(COUNTIFS($C$2:C588,C588,$E$2:E588,E588)&gt;SUMIFS(PEDIDO_ITEMS!$C$2:$C$501,PEDIDO_ITEMS!$A$2:$A$501,C588,PEDIDO_ITEMS!$B$2:$B$501,E588),"EXCEDE PEDIDO","OK"))))))</f>
        <v/>
      </c>
    </row>
    <row r="589">
      <c r="A589" s="9" t="inlineStr"/>
      <c r="B589" s="2" t="inlineStr"/>
      <c r="C589" s="2" t="inlineStr"/>
      <c r="D589" s="2" t="inlineStr"/>
      <c r="E589" s="2">
        <f>IF(D589="","",IFERROR(XLOOKUP(TRIM(D589),INVENTARIO!$A$2:$A$2000,INVENTARIO!$B$2:$B$2000),"NO ENCONTRADO"))</f>
        <v/>
      </c>
      <c r="F589" s="2">
        <f>IF(D589="","",IFERROR(XLOOKUP(TRIM(D589),INVENTARIO!$A$2:$A$2000,INVENTARIO!$C$2:$C$2000),""))</f>
        <v/>
      </c>
      <c r="G589" s="2">
        <f>IF(D589="","",IF(E589="NO ENCONTRADO","CODIGO NO EXISTE",IF(COUNTIF($D$2:D589,D589)&gt;1,"DUPLICADO",IF(C589="","OK SIN PEDIDO",IF(COUNTIFS(PEDIDO_ITEMS!$A$2:$A$501,C589,PEDIDO_ITEMS!$B$2:$B$501,E589)=0,"NO PEDIDO",IF(COUNTIFS($C$2:C589,C589,$E$2:E589,E589)&gt;SUMIFS(PEDIDO_ITEMS!$C$2:$C$501,PEDIDO_ITEMS!$A$2:$A$501,C589,PEDIDO_ITEMS!$B$2:$B$501,E589),"EXCEDE PEDIDO","OK"))))))</f>
        <v/>
      </c>
    </row>
    <row r="590">
      <c r="A590" s="9" t="inlineStr"/>
      <c r="B590" s="2" t="inlineStr"/>
      <c r="C590" s="2" t="inlineStr"/>
      <c r="D590" s="2" t="inlineStr"/>
      <c r="E590" s="2">
        <f>IF(D590="","",IFERROR(XLOOKUP(TRIM(D590),INVENTARIO!$A$2:$A$2000,INVENTARIO!$B$2:$B$2000),"NO ENCONTRADO"))</f>
        <v/>
      </c>
      <c r="F590" s="2">
        <f>IF(D590="","",IFERROR(XLOOKUP(TRIM(D590),INVENTARIO!$A$2:$A$2000,INVENTARIO!$C$2:$C$2000),""))</f>
        <v/>
      </c>
      <c r="G590" s="2">
        <f>IF(D590="","",IF(E590="NO ENCONTRADO","CODIGO NO EXISTE",IF(COUNTIF($D$2:D590,D590)&gt;1,"DUPLICADO",IF(C590="","OK SIN PEDIDO",IF(COUNTIFS(PEDIDO_ITEMS!$A$2:$A$501,C590,PEDIDO_ITEMS!$B$2:$B$501,E590)=0,"NO PEDIDO",IF(COUNTIFS($C$2:C590,C590,$E$2:E590,E590)&gt;SUMIFS(PEDIDO_ITEMS!$C$2:$C$501,PEDIDO_ITEMS!$A$2:$A$501,C590,PEDIDO_ITEMS!$B$2:$B$501,E590),"EXCEDE PEDIDO","OK"))))))</f>
        <v/>
      </c>
    </row>
    <row r="591">
      <c r="A591" s="9" t="inlineStr"/>
      <c r="B591" s="2" t="inlineStr"/>
      <c r="C591" s="2" t="inlineStr"/>
      <c r="D591" s="2" t="inlineStr"/>
      <c r="E591" s="2">
        <f>IF(D591="","",IFERROR(XLOOKUP(TRIM(D591),INVENTARIO!$A$2:$A$2000,INVENTARIO!$B$2:$B$2000),"NO ENCONTRADO"))</f>
        <v/>
      </c>
      <c r="F591" s="2">
        <f>IF(D591="","",IFERROR(XLOOKUP(TRIM(D591),INVENTARIO!$A$2:$A$2000,INVENTARIO!$C$2:$C$2000),""))</f>
        <v/>
      </c>
      <c r="G591" s="2">
        <f>IF(D591="","",IF(E591="NO ENCONTRADO","CODIGO NO EXISTE",IF(COUNTIF($D$2:D591,D591)&gt;1,"DUPLICADO",IF(C591="","OK SIN PEDIDO",IF(COUNTIFS(PEDIDO_ITEMS!$A$2:$A$501,C591,PEDIDO_ITEMS!$B$2:$B$501,E591)=0,"NO PEDIDO",IF(COUNTIFS($C$2:C591,C591,$E$2:E591,E591)&gt;SUMIFS(PEDIDO_ITEMS!$C$2:$C$501,PEDIDO_ITEMS!$A$2:$A$501,C591,PEDIDO_ITEMS!$B$2:$B$501,E591),"EXCEDE PEDIDO","OK"))))))</f>
        <v/>
      </c>
    </row>
    <row r="592">
      <c r="A592" s="9" t="inlineStr"/>
      <c r="B592" s="2" t="inlineStr"/>
      <c r="C592" s="2" t="inlineStr"/>
      <c r="D592" s="2" t="inlineStr"/>
      <c r="E592" s="2">
        <f>IF(D592="","",IFERROR(XLOOKUP(TRIM(D592),INVENTARIO!$A$2:$A$2000,INVENTARIO!$B$2:$B$2000),"NO ENCONTRADO"))</f>
        <v/>
      </c>
      <c r="F592" s="2">
        <f>IF(D592="","",IFERROR(XLOOKUP(TRIM(D592),INVENTARIO!$A$2:$A$2000,INVENTARIO!$C$2:$C$2000),""))</f>
        <v/>
      </c>
      <c r="G592" s="2">
        <f>IF(D592="","",IF(E592="NO ENCONTRADO","CODIGO NO EXISTE",IF(COUNTIF($D$2:D592,D592)&gt;1,"DUPLICADO",IF(C592="","OK SIN PEDIDO",IF(COUNTIFS(PEDIDO_ITEMS!$A$2:$A$501,C592,PEDIDO_ITEMS!$B$2:$B$501,E592)=0,"NO PEDIDO",IF(COUNTIFS($C$2:C592,C592,$E$2:E592,E592)&gt;SUMIFS(PEDIDO_ITEMS!$C$2:$C$501,PEDIDO_ITEMS!$A$2:$A$501,C592,PEDIDO_ITEMS!$B$2:$B$501,E592),"EXCEDE PEDIDO","OK"))))))</f>
        <v/>
      </c>
    </row>
    <row r="593">
      <c r="A593" s="9" t="inlineStr"/>
      <c r="B593" s="2" t="inlineStr"/>
      <c r="C593" s="2" t="inlineStr"/>
      <c r="D593" s="2" t="inlineStr"/>
      <c r="E593" s="2">
        <f>IF(D593="","",IFERROR(XLOOKUP(TRIM(D593),INVENTARIO!$A$2:$A$2000,INVENTARIO!$B$2:$B$2000),"NO ENCONTRADO"))</f>
        <v/>
      </c>
      <c r="F593" s="2">
        <f>IF(D593="","",IFERROR(XLOOKUP(TRIM(D593),INVENTARIO!$A$2:$A$2000,INVENTARIO!$C$2:$C$2000),""))</f>
        <v/>
      </c>
      <c r="G593" s="2">
        <f>IF(D593="","",IF(E593="NO ENCONTRADO","CODIGO NO EXISTE",IF(COUNTIF($D$2:D593,D593)&gt;1,"DUPLICADO",IF(C593="","OK SIN PEDIDO",IF(COUNTIFS(PEDIDO_ITEMS!$A$2:$A$501,C593,PEDIDO_ITEMS!$B$2:$B$501,E593)=0,"NO PEDIDO",IF(COUNTIFS($C$2:C593,C593,$E$2:E593,E593)&gt;SUMIFS(PEDIDO_ITEMS!$C$2:$C$501,PEDIDO_ITEMS!$A$2:$A$501,C593,PEDIDO_ITEMS!$B$2:$B$501,E593),"EXCEDE PEDIDO","OK"))))))</f>
        <v/>
      </c>
    </row>
    <row r="594">
      <c r="A594" s="9" t="inlineStr"/>
      <c r="B594" s="2" t="inlineStr"/>
      <c r="C594" s="2" t="inlineStr"/>
      <c r="D594" s="2" t="inlineStr"/>
      <c r="E594" s="2">
        <f>IF(D594="","",IFERROR(XLOOKUP(TRIM(D594),INVENTARIO!$A$2:$A$2000,INVENTARIO!$B$2:$B$2000),"NO ENCONTRADO"))</f>
        <v/>
      </c>
      <c r="F594" s="2">
        <f>IF(D594="","",IFERROR(XLOOKUP(TRIM(D594),INVENTARIO!$A$2:$A$2000,INVENTARIO!$C$2:$C$2000),""))</f>
        <v/>
      </c>
      <c r="G594" s="2">
        <f>IF(D594="","",IF(E594="NO ENCONTRADO","CODIGO NO EXISTE",IF(COUNTIF($D$2:D594,D594)&gt;1,"DUPLICADO",IF(C594="","OK SIN PEDIDO",IF(COUNTIFS(PEDIDO_ITEMS!$A$2:$A$501,C594,PEDIDO_ITEMS!$B$2:$B$501,E594)=0,"NO PEDIDO",IF(COUNTIFS($C$2:C594,C594,$E$2:E594,E594)&gt;SUMIFS(PEDIDO_ITEMS!$C$2:$C$501,PEDIDO_ITEMS!$A$2:$A$501,C594,PEDIDO_ITEMS!$B$2:$B$501,E594),"EXCEDE PEDIDO","OK"))))))</f>
        <v/>
      </c>
    </row>
    <row r="595">
      <c r="A595" s="9" t="inlineStr"/>
      <c r="B595" s="2" t="inlineStr"/>
      <c r="C595" s="2" t="inlineStr"/>
      <c r="D595" s="2" t="inlineStr"/>
      <c r="E595" s="2">
        <f>IF(D595="","",IFERROR(XLOOKUP(TRIM(D595),INVENTARIO!$A$2:$A$2000,INVENTARIO!$B$2:$B$2000),"NO ENCONTRADO"))</f>
        <v/>
      </c>
      <c r="F595" s="2">
        <f>IF(D595="","",IFERROR(XLOOKUP(TRIM(D595),INVENTARIO!$A$2:$A$2000,INVENTARIO!$C$2:$C$2000),""))</f>
        <v/>
      </c>
      <c r="G595" s="2">
        <f>IF(D595="","",IF(E595="NO ENCONTRADO","CODIGO NO EXISTE",IF(COUNTIF($D$2:D595,D595)&gt;1,"DUPLICADO",IF(C595="","OK SIN PEDIDO",IF(COUNTIFS(PEDIDO_ITEMS!$A$2:$A$501,C595,PEDIDO_ITEMS!$B$2:$B$501,E595)=0,"NO PEDIDO",IF(COUNTIFS($C$2:C595,C595,$E$2:E595,E595)&gt;SUMIFS(PEDIDO_ITEMS!$C$2:$C$501,PEDIDO_ITEMS!$A$2:$A$501,C595,PEDIDO_ITEMS!$B$2:$B$501,E595),"EXCEDE PEDIDO","OK"))))))</f>
        <v/>
      </c>
    </row>
    <row r="596">
      <c r="A596" s="9" t="inlineStr"/>
      <c r="B596" s="2" t="inlineStr"/>
      <c r="C596" s="2" t="inlineStr"/>
      <c r="D596" s="2" t="inlineStr"/>
      <c r="E596" s="2">
        <f>IF(D596="","",IFERROR(XLOOKUP(TRIM(D596),INVENTARIO!$A$2:$A$2000,INVENTARIO!$B$2:$B$2000),"NO ENCONTRADO"))</f>
        <v/>
      </c>
      <c r="F596" s="2">
        <f>IF(D596="","",IFERROR(XLOOKUP(TRIM(D596),INVENTARIO!$A$2:$A$2000,INVENTARIO!$C$2:$C$2000),""))</f>
        <v/>
      </c>
      <c r="G596" s="2">
        <f>IF(D596="","",IF(E596="NO ENCONTRADO","CODIGO NO EXISTE",IF(COUNTIF($D$2:D596,D596)&gt;1,"DUPLICADO",IF(C596="","OK SIN PEDIDO",IF(COUNTIFS(PEDIDO_ITEMS!$A$2:$A$501,C596,PEDIDO_ITEMS!$B$2:$B$501,E596)=0,"NO PEDIDO",IF(COUNTIFS($C$2:C596,C596,$E$2:E596,E596)&gt;SUMIFS(PEDIDO_ITEMS!$C$2:$C$501,PEDIDO_ITEMS!$A$2:$A$501,C596,PEDIDO_ITEMS!$B$2:$B$501,E596),"EXCEDE PEDIDO","OK"))))))</f>
        <v/>
      </c>
    </row>
    <row r="597">
      <c r="A597" s="9" t="inlineStr"/>
      <c r="B597" s="2" t="inlineStr"/>
      <c r="C597" s="2" t="inlineStr"/>
      <c r="D597" s="2" t="inlineStr"/>
      <c r="E597" s="2">
        <f>IF(D597="","",IFERROR(XLOOKUP(TRIM(D597),INVENTARIO!$A$2:$A$2000,INVENTARIO!$B$2:$B$2000),"NO ENCONTRADO"))</f>
        <v/>
      </c>
      <c r="F597" s="2">
        <f>IF(D597="","",IFERROR(XLOOKUP(TRIM(D597),INVENTARIO!$A$2:$A$2000,INVENTARIO!$C$2:$C$2000),""))</f>
        <v/>
      </c>
      <c r="G597" s="2">
        <f>IF(D597="","",IF(E597="NO ENCONTRADO","CODIGO NO EXISTE",IF(COUNTIF($D$2:D597,D597)&gt;1,"DUPLICADO",IF(C597="","OK SIN PEDIDO",IF(COUNTIFS(PEDIDO_ITEMS!$A$2:$A$501,C597,PEDIDO_ITEMS!$B$2:$B$501,E597)=0,"NO PEDIDO",IF(COUNTIFS($C$2:C597,C597,$E$2:E597,E597)&gt;SUMIFS(PEDIDO_ITEMS!$C$2:$C$501,PEDIDO_ITEMS!$A$2:$A$501,C597,PEDIDO_ITEMS!$B$2:$B$501,E597),"EXCEDE PEDIDO","OK"))))))</f>
        <v/>
      </c>
    </row>
    <row r="598">
      <c r="A598" s="9" t="inlineStr"/>
      <c r="B598" s="2" t="inlineStr"/>
      <c r="C598" s="2" t="inlineStr"/>
      <c r="D598" s="2" t="inlineStr"/>
      <c r="E598" s="2">
        <f>IF(D598="","",IFERROR(XLOOKUP(TRIM(D598),INVENTARIO!$A$2:$A$2000,INVENTARIO!$B$2:$B$2000),"NO ENCONTRADO"))</f>
        <v/>
      </c>
      <c r="F598" s="2">
        <f>IF(D598="","",IFERROR(XLOOKUP(TRIM(D598),INVENTARIO!$A$2:$A$2000,INVENTARIO!$C$2:$C$2000),""))</f>
        <v/>
      </c>
      <c r="G598" s="2">
        <f>IF(D598="","",IF(E598="NO ENCONTRADO","CODIGO NO EXISTE",IF(COUNTIF($D$2:D598,D598)&gt;1,"DUPLICADO",IF(C598="","OK SIN PEDIDO",IF(COUNTIFS(PEDIDO_ITEMS!$A$2:$A$501,C598,PEDIDO_ITEMS!$B$2:$B$501,E598)=0,"NO PEDIDO",IF(COUNTIFS($C$2:C598,C598,$E$2:E598,E598)&gt;SUMIFS(PEDIDO_ITEMS!$C$2:$C$501,PEDIDO_ITEMS!$A$2:$A$501,C598,PEDIDO_ITEMS!$B$2:$B$501,E598),"EXCEDE PEDIDO","OK"))))))</f>
        <v/>
      </c>
    </row>
    <row r="599">
      <c r="A599" s="9" t="inlineStr"/>
      <c r="B599" s="2" t="inlineStr"/>
      <c r="C599" s="2" t="inlineStr"/>
      <c r="D599" s="2" t="inlineStr"/>
      <c r="E599" s="2">
        <f>IF(D599="","",IFERROR(XLOOKUP(TRIM(D599),INVENTARIO!$A$2:$A$2000,INVENTARIO!$B$2:$B$2000),"NO ENCONTRADO"))</f>
        <v/>
      </c>
      <c r="F599" s="2">
        <f>IF(D599="","",IFERROR(XLOOKUP(TRIM(D599),INVENTARIO!$A$2:$A$2000,INVENTARIO!$C$2:$C$2000),""))</f>
        <v/>
      </c>
      <c r="G599" s="2">
        <f>IF(D599="","",IF(E599="NO ENCONTRADO","CODIGO NO EXISTE",IF(COUNTIF($D$2:D599,D599)&gt;1,"DUPLICADO",IF(C599="","OK SIN PEDIDO",IF(COUNTIFS(PEDIDO_ITEMS!$A$2:$A$501,C599,PEDIDO_ITEMS!$B$2:$B$501,E599)=0,"NO PEDIDO",IF(COUNTIFS($C$2:C599,C599,$E$2:E599,E599)&gt;SUMIFS(PEDIDO_ITEMS!$C$2:$C$501,PEDIDO_ITEMS!$A$2:$A$501,C599,PEDIDO_ITEMS!$B$2:$B$501,E599),"EXCEDE PEDIDO","OK"))))))</f>
        <v/>
      </c>
    </row>
    <row r="600">
      <c r="A600" s="9" t="inlineStr"/>
      <c r="B600" s="2" t="inlineStr"/>
      <c r="C600" s="2" t="inlineStr"/>
      <c r="D600" s="2" t="inlineStr"/>
      <c r="E600" s="2">
        <f>IF(D600="","",IFERROR(XLOOKUP(TRIM(D600),INVENTARIO!$A$2:$A$2000,INVENTARIO!$B$2:$B$2000),"NO ENCONTRADO"))</f>
        <v/>
      </c>
      <c r="F600" s="2">
        <f>IF(D600="","",IFERROR(XLOOKUP(TRIM(D600),INVENTARIO!$A$2:$A$2000,INVENTARIO!$C$2:$C$2000),""))</f>
        <v/>
      </c>
      <c r="G600" s="2">
        <f>IF(D600="","",IF(E600="NO ENCONTRADO","CODIGO NO EXISTE",IF(COUNTIF($D$2:D600,D600)&gt;1,"DUPLICADO",IF(C600="","OK SIN PEDIDO",IF(COUNTIFS(PEDIDO_ITEMS!$A$2:$A$501,C600,PEDIDO_ITEMS!$B$2:$B$501,E600)=0,"NO PEDIDO",IF(COUNTIFS($C$2:C600,C600,$E$2:E600,E600)&gt;SUMIFS(PEDIDO_ITEMS!$C$2:$C$501,PEDIDO_ITEMS!$A$2:$A$501,C600,PEDIDO_ITEMS!$B$2:$B$501,E600),"EXCEDE PEDIDO","OK"))))))</f>
        <v/>
      </c>
    </row>
    <row r="601">
      <c r="A601" s="9" t="inlineStr"/>
      <c r="B601" s="2" t="inlineStr"/>
      <c r="C601" s="2" t="inlineStr"/>
      <c r="D601" s="2" t="inlineStr"/>
      <c r="E601" s="2">
        <f>IF(D601="","",IFERROR(XLOOKUP(TRIM(D601),INVENTARIO!$A$2:$A$2000,INVENTARIO!$B$2:$B$2000),"NO ENCONTRADO"))</f>
        <v/>
      </c>
      <c r="F601" s="2">
        <f>IF(D601="","",IFERROR(XLOOKUP(TRIM(D601),INVENTARIO!$A$2:$A$2000,INVENTARIO!$C$2:$C$2000),""))</f>
        <v/>
      </c>
      <c r="G601" s="2">
        <f>IF(D601="","",IF(E601="NO ENCONTRADO","CODIGO NO EXISTE",IF(COUNTIF($D$2:D601,D601)&gt;1,"DUPLICADO",IF(C601="","OK SIN PEDIDO",IF(COUNTIFS(PEDIDO_ITEMS!$A$2:$A$501,C601,PEDIDO_ITEMS!$B$2:$B$501,E601)=0,"NO PEDIDO",IF(COUNTIFS($C$2:C601,C601,$E$2:E601,E601)&gt;SUMIFS(PEDIDO_ITEMS!$C$2:$C$501,PEDIDO_ITEMS!$A$2:$A$501,C601,PEDIDO_ITEMS!$B$2:$B$501,E601),"EXCEDE PEDIDO","OK"))))))</f>
        <v/>
      </c>
    </row>
    <row r="602">
      <c r="A602" s="9" t="inlineStr"/>
      <c r="B602" s="2" t="inlineStr"/>
      <c r="C602" s="2" t="inlineStr"/>
      <c r="D602" s="2" t="inlineStr"/>
      <c r="E602" s="2">
        <f>IF(D602="","",IFERROR(XLOOKUP(TRIM(D602),INVENTARIO!$A$2:$A$2000,INVENTARIO!$B$2:$B$2000),"NO ENCONTRADO"))</f>
        <v/>
      </c>
      <c r="F602" s="2">
        <f>IF(D602="","",IFERROR(XLOOKUP(TRIM(D602),INVENTARIO!$A$2:$A$2000,INVENTARIO!$C$2:$C$2000),""))</f>
        <v/>
      </c>
      <c r="G602" s="2">
        <f>IF(D602="","",IF(E602="NO ENCONTRADO","CODIGO NO EXISTE",IF(COUNTIF($D$2:D602,D602)&gt;1,"DUPLICADO",IF(C602="","OK SIN PEDIDO",IF(COUNTIFS(PEDIDO_ITEMS!$A$2:$A$501,C602,PEDIDO_ITEMS!$B$2:$B$501,E602)=0,"NO PEDIDO",IF(COUNTIFS($C$2:C602,C602,$E$2:E602,E602)&gt;SUMIFS(PEDIDO_ITEMS!$C$2:$C$501,PEDIDO_ITEMS!$A$2:$A$501,C602,PEDIDO_ITEMS!$B$2:$B$501,E602),"EXCEDE PEDIDO","OK"))))))</f>
        <v/>
      </c>
    </row>
    <row r="603">
      <c r="A603" s="9" t="inlineStr"/>
      <c r="B603" s="2" t="inlineStr"/>
      <c r="C603" s="2" t="inlineStr"/>
      <c r="D603" s="2" t="inlineStr"/>
      <c r="E603" s="2">
        <f>IF(D603="","",IFERROR(XLOOKUP(TRIM(D603),INVENTARIO!$A$2:$A$2000,INVENTARIO!$B$2:$B$2000),"NO ENCONTRADO"))</f>
        <v/>
      </c>
      <c r="F603" s="2">
        <f>IF(D603="","",IFERROR(XLOOKUP(TRIM(D603),INVENTARIO!$A$2:$A$2000,INVENTARIO!$C$2:$C$2000),""))</f>
        <v/>
      </c>
      <c r="G603" s="2">
        <f>IF(D603="","",IF(E603="NO ENCONTRADO","CODIGO NO EXISTE",IF(COUNTIF($D$2:D603,D603)&gt;1,"DUPLICADO",IF(C603="","OK SIN PEDIDO",IF(COUNTIFS(PEDIDO_ITEMS!$A$2:$A$501,C603,PEDIDO_ITEMS!$B$2:$B$501,E603)=0,"NO PEDIDO",IF(COUNTIFS($C$2:C603,C603,$E$2:E603,E603)&gt;SUMIFS(PEDIDO_ITEMS!$C$2:$C$501,PEDIDO_ITEMS!$A$2:$A$501,C603,PEDIDO_ITEMS!$B$2:$B$501,E603),"EXCEDE PEDIDO","OK"))))))</f>
        <v/>
      </c>
    </row>
    <row r="604">
      <c r="A604" s="9" t="inlineStr"/>
      <c r="B604" s="2" t="inlineStr"/>
      <c r="C604" s="2" t="inlineStr"/>
      <c r="D604" s="2" t="inlineStr"/>
      <c r="E604" s="2">
        <f>IF(D604="","",IFERROR(XLOOKUP(TRIM(D604),INVENTARIO!$A$2:$A$2000,INVENTARIO!$B$2:$B$2000),"NO ENCONTRADO"))</f>
        <v/>
      </c>
      <c r="F604" s="2">
        <f>IF(D604="","",IFERROR(XLOOKUP(TRIM(D604),INVENTARIO!$A$2:$A$2000,INVENTARIO!$C$2:$C$2000),""))</f>
        <v/>
      </c>
      <c r="G604" s="2">
        <f>IF(D604="","",IF(E604="NO ENCONTRADO","CODIGO NO EXISTE",IF(COUNTIF($D$2:D604,D604)&gt;1,"DUPLICADO",IF(C604="","OK SIN PEDIDO",IF(COUNTIFS(PEDIDO_ITEMS!$A$2:$A$501,C604,PEDIDO_ITEMS!$B$2:$B$501,E604)=0,"NO PEDIDO",IF(COUNTIFS($C$2:C604,C604,$E$2:E604,E604)&gt;SUMIFS(PEDIDO_ITEMS!$C$2:$C$501,PEDIDO_ITEMS!$A$2:$A$501,C604,PEDIDO_ITEMS!$B$2:$B$501,E604),"EXCEDE PEDIDO","OK"))))))</f>
        <v/>
      </c>
    </row>
    <row r="605">
      <c r="A605" s="9" t="inlineStr"/>
      <c r="B605" s="2" t="inlineStr"/>
      <c r="C605" s="2" t="inlineStr"/>
      <c r="D605" s="2" t="inlineStr"/>
      <c r="E605" s="2">
        <f>IF(D605="","",IFERROR(XLOOKUP(TRIM(D605),INVENTARIO!$A$2:$A$2000,INVENTARIO!$B$2:$B$2000),"NO ENCONTRADO"))</f>
        <v/>
      </c>
      <c r="F605" s="2">
        <f>IF(D605="","",IFERROR(XLOOKUP(TRIM(D605),INVENTARIO!$A$2:$A$2000,INVENTARIO!$C$2:$C$2000),""))</f>
        <v/>
      </c>
      <c r="G605" s="2">
        <f>IF(D605="","",IF(E605="NO ENCONTRADO","CODIGO NO EXISTE",IF(COUNTIF($D$2:D605,D605)&gt;1,"DUPLICADO",IF(C605="","OK SIN PEDIDO",IF(COUNTIFS(PEDIDO_ITEMS!$A$2:$A$501,C605,PEDIDO_ITEMS!$B$2:$B$501,E605)=0,"NO PEDIDO",IF(COUNTIFS($C$2:C605,C605,$E$2:E605,E605)&gt;SUMIFS(PEDIDO_ITEMS!$C$2:$C$501,PEDIDO_ITEMS!$A$2:$A$501,C605,PEDIDO_ITEMS!$B$2:$B$501,E605),"EXCEDE PEDIDO","OK"))))))</f>
        <v/>
      </c>
    </row>
    <row r="606">
      <c r="A606" s="9" t="inlineStr"/>
      <c r="B606" s="2" t="inlineStr"/>
      <c r="C606" s="2" t="inlineStr"/>
      <c r="D606" s="2" t="inlineStr"/>
      <c r="E606" s="2">
        <f>IF(D606="","",IFERROR(XLOOKUP(TRIM(D606),INVENTARIO!$A$2:$A$2000,INVENTARIO!$B$2:$B$2000),"NO ENCONTRADO"))</f>
        <v/>
      </c>
      <c r="F606" s="2">
        <f>IF(D606="","",IFERROR(XLOOKUP(TRIM(D606),INVENTARIO!$A$2:$A$2000,INVENTARIO!$C$2:$C$2000),""))</f>
        <v/>
      </c>
      <c r="G606" s="2">
        <f>IF(D606="","",IF(E606="NO ENCONTRADO","CODIGO NO EXISTE",IF(COUNTIF($D$2:D606,D606)&gt;1,"DUPLICADO",IF(C606="","OK SIN PEDIDO",IF(COUNTIFS(PEDIDO_ITEMS!$A$2:$A$501,C606,PEDIDO_ITEMS!$B$2:$B$501,E606)=0,"NO PEDIDO",IF(COUNTIFS($C$2:C606,C606,$E$2:E606,E606)&gt;SUMIFS(PEDIDO_ITEMS!$C$2:$C$501,PEDIDO_ITEMS!$A$2:$A$501,C606,PEDIDO_ITEMS!$B$2:$B$501,E606),"EXCEDE PEDIDO","OK"))))))</f>
        <v/>
      </c>
    </row>
    <row r="607">
      <c r="A607" s="9" t="inlineStr"/>
      <c r="B607" s="2" t="inlineStr"/>
      <c r="C607" s="2" t="inlineStr"/>
      <c r="D607" s="2" t="inlineStr"/>
      <c r="E607" s="2">
        <f>IF(D607="","",IFERROR(XLOOKUP(TRIM(D607),INVENTARIO!$A$2:$A$2000,INVENTARIO!$B$2:$B$2000),"NO ENCONTRADO"))</f>
        <v/>
      </c>
      <c r="F607" s="2">
        <f>IF(D607="","",IFERROR(XLOOKUP(TRIM(D607),INVENTARIO!$A$2:$A$2000,INVENTARIO!$C$2:$C$2000),""))</f>
        <v/>
      </c>
      <c r="G607" s="2">
        <f>IF(D607="","",IF(E607="NO ENCONTRADO","CODIGO NO EXISTE",IF(COUNTIF($D$2:D607,D607)&gt;1,"DUPLICADO",IF(C607="","OK SIN PEDIDO",IF(COUNTIFS(PEDIDO_ITEMS!$A$2:$A$501,C607,PEDIDO_ITEMS!$B$2:$B$501,E607)=0,"NO PEDIDO",IF(COUNTIFS($C$2:C607,C607,$E$2:E607,E607)&gt;SUMIFS(PEDIDO_ITEMS!$C$2:$C$501,PEDIDO_ITEMS!$A$2:$A$501,C607,PEDIDO_ITEMS!$B$2:$B$501,E607),"EXCEDE PEDIDO","OK"))))))</f>
        <v/>
      </c>
    </row>
    <row r="608">
      <c r="A608" s="9" t="inlineStr"/>
      <c r="B608" s="2" t="inlineStr"/>
      <c r="C608" s="2" t="inlineStr"/>
      <c r="D608" s="2" t="inlineStr"/>
      <c r="E608" s="2">
        <f>IF(D608="","",IFERROR(XLOOKUP(TRIM(D608),INVENTARIO!$A$2:$A$2000,INVENTARIO!$B$2:$B$2000),"NO ENCONTRADO"))</f>
        <v/>
      </c>
      <c r="F608" s="2">
        <f>IF(D608="","",IFERROR(XLOOKUP(TRIM(D608),INVENTARIO!$A$2:$A$2000,INVENTARIO!$C$2:$C$2000),""))</f>
        <v/>
      </c>
      <c r="G608" s="2">
        <f>IF(D608="","",IF(E608="NO ENCONTRADO","CODIGO NO EXISTE",IF(COUNTIF($D$2:D608,D608)&gt;1,"DUPLICADO",IF(C608="","OK SIN PEDIDO",IF(COUNTIFS(PEDIDO_ITEMS!$A$2:$A$501,C608,PEDIDO_ITEMS!$B$2:$B$501,E608)=0,"NO PEDIDO",IF(COUNTIFS($C$2:C608,C608,$E$2:E608,E608)&gt;SUMIFS(PEDIDO_ITEMS!$C$2:$C$501,PEDIDO_ITEMS!$A$2:$A$501,C608,PEDIDO_ITEMS!$B$2:$B$501,E608),"EXCEDE PEDIDO","OK"))))))</f>
        <v/>
      </c>
    </row>
    <row r="609">
      <c r="A609" s="9" t="inlineStr"/>
      <c r="B609" s="2" t="inlineStr"/>
      <c r="C609" s="2" t="inlineStr"/>
      <c r="D609" s="2" t="inlineStr"/>
      <c r="E609" s="2">
        <f>IF(D609="","",IFERROR(XLOOKUP(TRIM(D609),INVENTARIO!$A$2:$A$2000,INVENTARIO!$B$2:$B$2000),"NO ENCONTRADO"))</f>
        <v/>
      </c>
      <c r="F609" s="2">
        <f>IF(D609="","",IFERROR(XLOOKUP(TRIM(D609),INVENTARIO!$A$2:$A$2000,INVENTARIO!$C$2:$C$2000),""))</f>
        <v/>
      </c>
      <c r="G609" s="2">
        <f>IF(D609="","",IF(E609="NO ENCONTRADO","CODIGO NO EXISTE",IF(COUNTIF($D$2:D609,D609)&gt;1,"DUPLICADO",IF(C609="","OK SIN PEDIDO",IF(COUNTIFS(PEDIDO_ITEMS!$A$2:$A$501,C609,PEDIDO_ITEMS!$B$2:$B$501,E609)=0,"NO PEDIDO",IF(COUNTIFS($C$2:C609,C609,$E$2:E609,E609)&gt;SUMIFS(PEDIDO_ITEMS!$C$2:$C$501,PEDIDO_ITEMS!$A$2:$A$501,C609,PEDIDO_ITEMS!$B$2:$B$501,E609),"EXCEDE PEDIDO","OK"))))))</f>
        <v/>
      </c>
    </row>
    <row r="610">
      <c r="A610" s="9" t="inlineStr"/>
      <c r="B610" s="2" t="inlineStr"/>
      <c r="C610" s="2" t="inlineStr"/>
      <c r="D610" s="2" t="inlineStr"/>
      <c r="E610" s="2">
        <f>IF(D610="","",IFERROR(XLOOKUP(TRIM(D610),INVENTARIO!$A$2:$A$2000,INVENTARIO!$B$2:$B$2000),"NO ENCONTRADO"))</f>
        <v/>
      </c>
      <c r="F610" s="2">
        <f>IF(D610="","",IFERROR(XLOOKUP(TRIM(D610),INVENTARIO!$A$2:$A$2000,INVENTARIO!$C$2:$C$2000),""))</f>
        <v/>
      </c>
      <c r="G610" s="2">
        <f>IF(D610="","",IF(E610="NO ENCONTRADO","CODIGO NO EXISTE",IF(COUNTIF($D$2:D610,D610)&gt;1,"DUPLICADO",IF(C610="","OK SIN PEDIDO",IF(COUNTIFS(PEDIDO_ITEMS!$A$2:$A$501,C610,PEDIDO_ITEMS!$B$2:$B$501,E610)=0,"NO PEDIDO",IF(COUNTIFS($C$2:C610,C610,$E$2:E610,E610)&gt;SUMIFS(PEDIDO_ITEMS!$C$2:$C$501,PEDIDO_ITEMS!$A$2:$A$501,C610,PEDIDO_ITEMS!$B$2:$B$501,E610),"EXCEDE PEDIDO","OK"))))))</f>
        <v/>
      </c>
    </row>
    <row r="611">
      <c r="A611" s="9" t="inlineStr"/>
      <c r="B611" s="2" t="inlineStr"/>
      <c r="C611" s="2" t="inlineStr"/>
      <c r="D611" s="2" t="inlineStr"/>
      <c r="E611" s="2">
        <f>IF(D611="","",IFERROR(XLOOKUP(TRIM(D611),INVENTARIO!$A$2:$A$2000,INVENTARIO!$B$2:$B$2000),"NO ENCONTRADO"))</f>
        <v/>
      </c>
      <c r="F611" s="2">
        <f>IF(D611="","",IFERROR(XLOOKUP(TRIM(D611),INVENTARIO!$A$2:$A$2000,INVENTARIO!$C$2:$C$2000),""))</f>
        <v/>
      </c>
      <c r="G611" s="2">
        <f>IF(D611="","",IF(E611="NO ENCONTRADO","CODIGO NO EXISTE",IF(COUNTIF($D$2:D611,D611)&gt;1,"DUPLICADO",IF(C611="","OK SIN PEDIDO",IF(COUNTIFS(PEDIDO_ITEMS!$A$2:$A$501,C611,PEDIDO_ITEMS!$B$2:$B$501,E611)=0,"NO PEDIDO",IF(COUNTIFS($C$2:C611,C611,$E$2:E611,E611)&gt;SUMIFS(PEDIDO_ITEMS!$C$2:$C$501,PEDIDO_ITEMS!$A$2:$A$501,C611,PEDIDO_ITEMS!$B$2:$B$501,E611),"EXCEDE PEDIDO","OK"))))))</f>
        <v/>
      </c>
    </row>
    <row r="612">
      <c r="A612" s="9" t="inlineStr"/>
      <c r="B612" s="2" t="inlineStr"/>
      <c r="C612" s="2" t="inlineStr"/>
      <c r="D612" s="2" t="inlineStr"/>
      <c r="E612" s="2">
        <f>IF(D612="","",IFERROR(XLOOKUP(TRIM(D612),INVENTARIO!$A$2:$A$2000,INVENTARIO!$B$2:$B$2000),"NO ENCONTRADO"))</f>
        <v/>
      </c>
      <c r="F612" s="2">
        <f>IF(D612="","",IFERROR(XLOOKUP(TRIM(D612),INVENTARIO!$A$2:$A$2000,INVENTARIO!$C$2:$C$2000),""))</f>
        <v/>
      </c>
      <c r="G612" s="2">
        <f>IF(D612="","",IF(E612="NO ENCONTRADO","CODIGO NO EXISTE",IF(COUNTIF($D$2:D612,D612)&gt;1,"DUPLICADO",IF(C612="","OK SIN PEDIDO",IF(COUNTIFS(PEDIDO_ITEMS!$A$2:$A$501,C612,PEDIDO_ITEMS!$B$2:$B$501,E612)=0,"NO PEDIDO",IF(COUNTIFS($C$2:C612,C612,$E$2:E612,E612)&gt;SUMIFS(PEDIDO_ITEMS!$C$2:$C$501,PEDIDO_ITEMS!$A$2:$A$501,C612,PEDIDO_ITEMS!$B$2:$B$501,E612),"EXCEDE PEDIDO","OK"))))))</f>
        <v/>
      </c>
    </row>
    <row r="613">
      <c r="A613" s="9" t="inlineStr"/>
      <c r="B613" s="2" t="inlineStr"/>
      <c r="C613" s="2" t="inlineStr"/>
      <c r="D613" s="2" t="inlineStr"/>
      <c r="E613" s="2">
        <f>IF(D613="","",IFERROR(XLOOKUP(TRIM(D613),INVENTARIO!$A$2:$A$2000,INVENTARIO!$B$2:$B$2000),"NO ENCONTRADO"))</f>
        <v/>
      </c>
      <c r="F613" s="2">
        <f>IF(D613="","",IFERROR(XLOOKUP(TRIM(D613),INVENTARIO!$A$2:$A$2000,INVENTARIO!$C$2:$C$2000),""))</f>
        <v/>
      </c>
      <c r="G613" s="2">
        <f>IF(D613="","",IF(E613="NO ENCONTRADO","CODIGO NO EXISTE",IF(COUNTIF($D$2:D613,D613)&gt;1,"DUPLICADO",IF(C613="","OK SIN PEDIDO",IF(COUNTIFS(PEDIDO_ITEMS!$A$2:$A$501,C613,PEDIDO_ITEMS!$B$2:$B$501,E613)=0,"NO PEDIDO",IF(COUNTIFS($C$2:C613,C613,$E$2:E613,E613)&gt;SUMIFS(PEDIDO_ITEMS!$C$2:$C$501,PEDIDO_ITEMS!$A$2:$A$501,C613,PEDIDO_ITEMS!$B$2:$B$501,E613),"EXCEDE PEDIDO","OK"))))))</f>
        <v/>
      </c>
    </row>
    <row r="614">
      <c r="A614" s="9" t="inlineStr"/>
      <c r="B614" s="2" t="inlineStr"/>
      <c r="C614" s="2" t="inlineStr"/>
      <c r="D614" s="2" t="inlineStr"/>
      <c r="E614" s="2">
        <f>IF(D614="","",IFERROR(XLOOKUP(TRIM(D614),INVENTARIO!$A$2:$A$2000,INVENTARIO!$B$2:$B$2000),"NO ENCONTRADO"))</f>
        <v/>
      </c>
      <c r="F614" s="2">
        <f>IF(D614="","",IFERROR(XLOOKUP(TRIM(D614),INVENTARIO!$A$2:$A$2000,INVENTARIO!$C$2:$C$2000),""))</f>
        <v/>
      </c>
      <c r="G614" s="2">
        <f>IF(D614="","",IF(E614="NO ENCONTRADO","CODIGO NO EXISTE",IF(COUNTIF($D$2:D614,D614)&gt;1,"DUPLICADO",IF(C614="","OK SIN PEDIDO",IF(COUNTIFS(PEDIDO_ITEMS!$A$2:$A$501,C614,PEDIDO_ITEMS!$B$2:$B$501,E614)=0,"NO PEDIDO",IF(COUNTIFS($C$2:C614,C614,$E$2:E614,E614)&gt;SUMIFS(PEDIDO_ITEMS!$C$2:$C$501,PEDIDO_ITEMS!$A$2:$A$501,C614,PEDIDO_ITEMS!$B$2:$B$501,E614),"EXCEDE PEDIDO","OK"))))))</f>
        <v/>
      </c>
    </row>
    <row r="615">
      <c r="A615" s="9" t="inlineStr"/>
      <c r="B615" s="2" t="inlineStr"/>
      <c r="C615" s="2" t="inlineStr"/>
      <c r="D615" s="2" t="inlineStr"/>
      <c r="E615" s="2">
        <f>IF(D615="","",IFERROR(XLOOKUP(TRIM(D615),INVENTARIO!$A$2:$A$2000,INVENTARIO!$B$2:$B$2000),"NO ENCONTRADO"))</f>
        <v/>
      </c>
      <c r="F615" s="2">
        <f>IF(D615="","",IFERROR(XLOOKUP(TRIM(D615),INVENTARIO!$A$2:$A$2000,INVENTARIO!$C$2:$C$2000),""))</f>
        <v/>
      </c>
      <c r="G615" s="2">
        <f>IF(D615="","",IF(E615="NO ENCONTRADO","CODIGO NO EXISTE",IF(COUNTIF($D$2:D615,D615)&gt;1,"DUPLICADO",IF(C615="","OK SIN PEDIDO",IF(COUNTIFS(PEDIDO_ITEMS!$A$2:$A$501,C615,PEDIDO_ITEMS!$B$2:$B$501,E615)=0,"NO PEDIDO",IF(COUNTIFS($C$2:C615,C615,$E$2:E615,E615)&gt;SUMIFS(PEDIDO_ITEMS!$C$2:$C$501,PEDIDO_ITEMS!$A$2:$A$501,C615,PEDIDO_ITEMS!$B$2:$B$501,E615),"EXCEDE PEDIDO","OK"))))))</f>
        <v/>
      </c>
    </row>
    <row r="616">
      <c r="A616" s="9" t="inlineStr"/>
      <c r="B616" s="2" t="inlineStr"/>
      <c r="C616" s="2" t="inlineStr"/>
      <c r="D616" s="2" t="inlineStr"/>
      <c r="E616" s="2">
        <f>IF(D616="","",IFERROR(XLOOKUP(TRIM(D616),INVENTARIO!$A$2:$A$2000,INVENTARIO!$B$2:$B$2000),"NO ENCONTRADO"))</f>
        <v/>
      </c>
      <c r="F616" s="2">
        <f>IF(D616="","",IFERROR(XLOOKUP(TRIM(D616),INVENTARIO!$A$2:$A$2000,INVENTARIO!$C$2:$C$2000),""))</f>
        <v/>
      </c>
      <c r="G616" s="2">
        <f>IF(D616="","",IF(E616="NO ENCONTRADO","CODIGO NO EXISTE",IF(COUNTIF($D$2:D616,D616)&gt;1,"DUPLICADO",IF(C616="","OK SIN PEDIDO",IF(COUNTIFS(PEDIDO_ITEMS!$A$2:$A$501,C616,PEDIDO_ITEMS!$B$2:$B$501,E616)=0,"NO PEDIDO",IF(COUNTIFS($C$2:C616,C616,$E$2:E616,E616)&gt;SUMIFS(PEDIDO_ITEMS!$C$2:$C$501,PEDIDO_ITEMS!$A$2:$A$501,C616,PEDIDO_ITEMS!$B$2:$B$501,E616),"EXCEDE PEDIDO","OK"))))))</f>
        <v/>
      </c>
    </row>
    <row r="617">
      <c r="A617" s="9" t="inlineStr"/>
      <c r="B617" s="2" t="inlineStr"/>
      <c r="C617" s="2" t="inlineStr"/>
      <c r="D617" s="2" t="inlineStr"/>
      <c r="E617" s="2">
        <f>IF(D617="","",IFERROR(XLOOKUP(TRIM(D617),INVENTARIO!$A$2:$A$2000,INVENTARIO!$B$2:$B$2000),"NO ENCONTRADO"))</f>
        <v/>
      </c>
      <c r="F617" s="2">
        <f>IF(D617="","",IFERROR(XLOOKUP(TRIM(D617),INVENTARIO!$A$2:$A$2000,INVENTARIO!$C$2:$C$2000),""))</f>
        <v/>
      </c>
      <c r="G617" s="2">
        <f>IF(D617="","",IF(E617="NO ENCONTRADO","CODIGO NO EXISTE",IF(COUNTIF($D$2:D617,D617)&gt;1,"DUPLICADO",IF(C617="","OK SIN PEDIDO",IF(COUNTIFS(PEDIDO_ITEMS!$A$2:$A$501,C617,PEDIDO_ITEMS!$B$2:$B$501,E617)=0,"NO PEDIDO",IF(COUNTIFS($C$2:C617,C617,$E$2:E617,E617)&gt;SUMIFS(PEDIDO_ITEMS!$C$2:$C$501,PEDIDO_ITEMS!$A$2:$A$501,C617,PEDIDO_ITEMS!$B$2:$B$501,E617),"EXCEDE PEDIDO","OK"))))))</f>
        <v/>
      </c>
    </row>
    <row r="618">
      <c r="A618" s="9" t="inlineStr"/>
      <c r="B618" s="2" t="inlineStr"/>
      <c r="C618" s="2" t="inlineStr"/>
      <c r="D618" s="2" t="inlineStr"/>
      <c r="E618" s="2">
        <f>IF(D618="","",IFERROR(XLOOKUP(TRIM(D618),INVENTARIO!$A$2:$A$2000,INVENTARIO!$B$2:$B$2000),"NO ENCONTRADO"))</f>
        <v/>
      </c>
      <c r="F618" s="2">
        <f>IF(D618="","",IFERROR(XLOOKUP(TRIM(D618),INVENTARIO!$A$2:$A$2000,INVENTARIO!$C$2:$C$2000),""))</f>
        <v/>
      </c>
      <c r="G618" s="2">
        <f>IF(D618="","",IF(E618="NO ENCONTRADO","CODIGO NO EXISTE",IF(COUNTIF($D$2:D618,D618)&gt;1,"DUPLICADO",IF(C618="","OK SIN PEDIDO",IF(COUNTIFS(PEDIDO_ITEMS!$A$2:$A$501,C618,PEDIDO_ITEMS!$B$2:$B$501,E618)=0,"NO PEDIDO",IF(COUNTIFS($C$2:C618,C618,$E$2:E618,E618)&gt;SUMIFS(PEDIDO_ITEMS!$C$2:$C$501,PEDIDO_ITEMS!$A$2:$A$501,C618,PEDIDO_ITEMS!$B$2:$B$501,E618),"EXCEDE PEDIDO","OK"))))))</f>
        <v/>
      </c>
    </row>
    <row r="619">
      <c r="A619" s="9" t="inlineStr"/>
      <c r="B619" s="2" t="inlineStr"/>
      <c r="C619" s="2" t="inlineStr"/>
      <c r="D619" s="2" t="inlineStr"/>
      <c r="E619" s="2">
        <f>IF(D619="","",IFERROR(XLOOKUP(TRIM(D619),INVENTARIO!$A$2:$A$2000,INVENTARIO!$B$2:$B$2000),"NO ENCONTRADO"))</f>
        <v/>
      </c>
      <c r="F619" s="2">
        <f>IF(D619="","",IFERROR(XLOOKUP(TRIM(D619),INVENTARIO!$A$2:$A$2000,INVENTARIO!$C$2:$C$2000),""))</f>
        <v/>
      </c>
      <c r="G619" s="2">
        <f>IF(D619="","",IF(E619="NO ENCONTRADO","CODIGO NO EXISTE",IF(COUNTIF($D$2:D619,D619)&gt;1,"DUPLICADO",IF(C619="","OK SIN PEDIDO",IF(COUNTIFS(PEDIDO_ITEMS!$A$2:$A$501,C619,PEDIDO_ITEMS!$B$2:$B$501,E619)=0,"NO PEDIDO",IF(COUNTIFS($C$2:C619,C619,$E$2:E619,E619)&gt;SUMIFS(PEDIDO_ITEMS!$C$2:$C$501,PEDIDO_ITEMS!$A$2:$A$501,C619,PEDIDO_ITEMS!$B$2:$B$501,E619),"EXCEDE PEDIDO","OK"))))))</f>
        <v/>
      </c>
    </row>
    <row r="620">
      <c r="A620" s="9" t="inlineStr"/>
      <c r="B620" s="2" t="inlineStr"/>
      <c r="C620" s="2" t="inlineStr"/>
      <c r="D620" s="2" t="inlineStr"/>
      <c r="E620" s="2">
        <f>IF(D620="","",IFERROR(XLOOKUP(TRIM(D620),INVENTARIO!$A$2:$A$2000,INVENTARIO!$B$2:$B$2000),"NO ENCONTRADO"))</f>
        <v/>
      </c>
      <c r="F620" s="2">
        <f>IF(D620="","",IFERROR(XLOOKUP(TRIM(D620),INVENTARIO!$A$2:$A$2000,INVENTARIO!$C$2:$C$2000),""))</f>
        <v/>
      </c>
      <c r="G620" s="2">
        <f>IF(D620="","",IF(E620="NO ENCONTRADO","CODIGO NO EXISTE",IF(COUNTIF($D$2:D620,D620)&gt;1,"DUPLICADO",IF(C620="","OK SIN PEDIDO",IF(COUNTIFS(PEDIDO_ITEMS!$A$2:$A$501,C620,PEDIDO_ITEMS!$B$2:$B$501,E620)=0,"NO PEDIDO",IF(COUNTIFS($C$2:C620,C620,$E$2:E620,E620)&gt;SUMIFS(PEDIDO_ITEMS!$C$2:$C$501,PEDIDO_ITEMS!$A$2:$A$501,C620,PEDIDO_ITEMS!$B$2:$B$501,E620),"EXCEDE PEDIDO","OK"))))))</f>
        <v/>
      </c>
    </row>
    <row r="621">
      <c r="A621" s="9" t="inlineStr"/>
      <c r="B621" s="2" t="inlineStr"/>
      <c r="C621" s="2" t="inlineStr"/>
      <c r="D621" s="2" t="inlineStr"/>
      <c r="E621" s="2">
        <f>IF(D621="","",IFERROR(XLOOKUP(TRIM(D621),INVENTARIO!$A$2:$A$2000,INVENTARIO!$B$2:$B$2000),"NO ENCONTRADO"))</f>
        <v/>
      </c>
      <c r="F621" s="2">
        <f>IF(D621="","",IFERROR(XLOOKUP(TRIM(D621),INVENTARIO!$A$2:$A$2000,INVENTARIO!$C$2:$C$2000),""))</f>
        <v/>
      </c>
      <c r="G621" s="2">
        <f>IF(D621="","",IF(E621="NO ENCONTRADO","CODIGO NO EXISTE",IF(COUNTIF($D$2:D621,D621)&gt;1,"DUPLICADO",IF(C621="","OK SIN PEDIDO",IF(COUNTIFS(PEDIDO_ITEMS!$A$2:$A$501,C621,PEDIDO_ITEMS!$B$2:$B$501,E621)=0,"NO PEDIDO",IF(COUNTIFS($C$2:C621,C621,$E$2:E621,E621)&gt;SUMIFS(PEDIDO_ITEMS!$C$2:$C$501,PEDIDO_ITEMS!$A$2:$A$501,C621,PEDIDO_ITEMS!$B$2:$B$501,E621),"EXCEDE PEDIDO","OK"))))))</f>
        <v/>
      </c>
    </row>
    <row r="622">
      <c r="A622" s="9" t="inlineStr"/>
      <c r="B622" s="2" t="inlineStr"/>
      <c r="C622" s="2" t="inlineStr"/>
      <c r="D622" s="2" t="inlineStr"/>
      <c r="E622" s="2">
        <f>IF(D622="","",IFERROR(XLOOKUP(TRIM(D622),INVENTARIO!$A$2:$A$2000,INVENTARIO!$B$2:$B$2000),"NO ENCONTRADO"))</f>
        <v/>
      </c>
      <c r="F622" s="2">
        <f>IF(D622="","",IFERROR(XLOOKUP(TRIM(D622),INVENTARIO!$A$2:$A$2000,INVENTARIO!$C$2:$C$2000),""))</f>
        <v/>
      </c>
      <c r="G622" s="2">
        <f>IF(D622="","",IF(E622="NO ENCONTRADO","CODIGO NO EXISTE",IF(COUNTIF($D$2:D622,D622)&gt;1,"DUPLICADO",IF(C622="","OK SIN PEDIDO",IF(COUNTIFS(PEDIDO_ITEMS!$A$2:$A$501,C622,PEDIDO_ITEMS!$B$2:$B$501,E622)=0,"NO PEDIDO",IF(COUNTIFS($C$2:C622,C622,$E$2:E622,E622)&gt;SUMIFS(PEDIDO_ITEMS!$C$2:$C$501,PEDIDO_ITEMS!$A$2:$A$501,C622,PEDIDO_ITEMS!$B$2:$B$501,E622),"EXCEDE PEDIDO","OK"))))))</f>
        <v/>
      </c>
    </row>
    <row r="623">
      <c r="A623" s="9" t="inlineStr"/>
      <c r="B623" s="2" t="inlineStr"/>
      <c r="C623" s="2" t="inlineStr"/>
      <c r="D623" s="2" t="inlineStr"/>
      <c r="E623" s="2">
        <f>IF(D623="","",IFERROR(XLOOKUP(TRIM(D623),INVENTARIO!$A$2:$A$2000,INVENTARIO!$B$2:$B$2000),"NO ENCONTRADO"))</f>
        <v/>
      </c>
      <c r="F623" s="2">
        <f>IF(D623="","",IFERROR(XLOOKUP(TRIM(D623),INVENTARIO!$A$2:$A$2000,INVENTARIO!$C$2:$C$2000),""))</f>
        <v/>
      </c>
      <c r="G623" s="2">
        <f>IF(D623="","",IF(E623="NO ENCONTRADO","CODIGO NO EXISTE",IF(COUNTIF($D$2:D623,D623)&gt;1,"DUPLICADO",IF(C623="","OK SIN PEDIDO",IF(COUNTIFS(PEDIDO_ITEMS!$A$2:$A$501,C623,PEDIDO_ITEMS!$B$2:$B$501,E623)=0,"NO PEDIDO",IF(COUNTIFS($C$2:C623,C623,$E$2:E623,E623)&gt;SUMIFS(PEDIDO_ITEMS!$C$2:$C$501,PEDIDO_ITEMS!$A$2:$A$501,C623,PEDIDO_ITEMS!$B$2:$B$501,E623),"EXCEDE PEDIDO","OK"))))))</f>
        <v/>
      </c>
    </row>
    <row r="624">
      <c r="A624" s="9" t="inlineStr"/>
      <c r="B624" s="2" t="inlineStr"/>
      <c r="C624" s="2" t="inlineStr"/>
      <c r="D624" s="2" t="inlineStr"/>
      <c r="E624" s="2">
        <f>IF(D624="","",IFERROR(XLOOKUP(TRIM(D624),INVENTARIO!$A$2:$A$2000,INVENTARIO!$B$2:$B$2000),"NO ENCONTRADO"))</f>
        <v/>
      </c>
      <c r="F624" s="2">
        <f>IF(D624="","",IFERROR(XLOOKUP(TRIM(D624),INVENTARIO!$A$2:$A$2000,INVENTARIO!$C$2:$C$2000),""))</f>
        <v/>
      </c>
      <c r="G624" s="2">
        <f>IF(D624="","",IF(E624="NO ENCONTRADO","CODIGO NO EXISTE",IF(COUNTIF($D$2:D624,D624)&gt;1,"DUPLICADO",IF(C624="","OK SIN PEDIDO",IF(COUNTIFS(PEDIDO_ITEMS!$A$2:$A$501,C624,PEDIDO_ITEMS!$B$2:$B$501,E624)=0,"NO PEDIDO",IF(COUNTIFS($C$2:C624,C624,$E$2:E624,E624)&gt;SUMIFS(PEDIDO_ITEMS!$C$2:$C$501,PEDIDO_ITEMS!$A$2:$A$501,C624,PEDIDO_ITEMS!$B$2:$B$501,E624),"EXCEDE PEDIDO","OK"))))))</f>
        <v/>
      </c>
    </row>
    <row r="625">
      <c r="A625" s="9" t="inlineStr"/>
      <c r="B625" s="2" t="inlineStr"/>
      <c r="C625" s="2" t="inlineStr"/>
      <c r="D625" s="2" t="inlineStr"/>
      <c r="E625" s="2">
        <f>IF(D625="","",IFERROR(XLOOKUP(TRIM(D625),INVENTARIO!$A$2:$A$2000,INVENTARIO!$B$2:$B$2000),"NO ENCONTRADO"))</f>
        <v/>
      </c>
      <c r="F625" s="2">
        <f>IF(D625="","",IFERROR(XLOOKUP(TRIM(D625),INVENTARIO!$A$2:$A$2000,INVENTARIO!$C$2:$C$2000),""))</f>
        <v/>
      </c>
      <c r="G625" s="2">
        <f>IF(D625="","",IF(E625="NO ENCONTRADO","CODIGO NO EXISTE",IF(COUNTIF($D$2:D625,D625)&gt;1,"DUPLICADO",IF(C625="","OK SIN PEDIDO",IF(COUNTIFS(PEDIDO_ITEMS!$A$2:$A$501,C625,PEDIDO_ITEMS!$B$2:$B$501,E625)=0,"NO PEDIDO",IF(COUNTIFS($C$2:C625,C625,$E$2:E625,E625)&gt;SUMIFS(PEDIDO_ITEMS!$C$2:$C$501,PEDIDO_ITEMS!$A$2:$A$501,C625,PEDIDO_ITEMS!$B$2:$B$501,E625),"EXCEDE PEDIDO","OK"))))))</f>
        <v/>
      </c>
    </row>
    <row r="626">
      <c r="A626" s="9" t="inlineStr"/>
      <c r="B626" s="2" t="inlineStr"/>
      <c r="C626" s="2" t="inlineStr"/>
      <c r="D626" s="2" t="inlineStr"/>
      <c r="E626" s="2">
        <f>IF(D626="","",IFERROR(XLOOKUP(TRIM(D626),INVENTARIO!$A$2:$A$2000,INVENTARIO!$B$2:$B$2000),"NO ENCONTRADO"))</f>
        <v/>
      </c>
      <c r="F626" s="2">
        <f>IF(D626="","",IFERROR(XLOOKUP(TRIM(D626),INVENTARIO!$A$2:$A$2000,INVENTARIO!$C$2:$C$2000),""))</f>
        <v/>
      </c>
      <c r="G626" s="2">
        <f>IF(D626="","",IF(E626="NO ENCONTRADO","CODIGO NO EXISTE",IF(COUNTIF($D$2:D626,D626)&gt;1,"DUPLICADO",IF(C626="","OK SIN PEDIDO",IF(COUNTIFS(PEDIDO_ITEMS!$A$2:$A$501,C626,PEDIDO_ITEMS!$B$2:$B$501,E626)=0,"NO PEDIDO",IF(COUNTIFS($C$2:C626,C626,$E$2:E626,E626)&gt;SUMIFS(PEDIDO_ITEMS!$C$2:$C$501,PEDIDO_ITEMS!$A$2:$A$501,C626,PEDIDO_ITEMS!$B$2:$B$501,E626),"EXCEDE PEDIDO","OK"))))))</f>
        <v/>
      </c>
    </row>
    <row r="627">
      <c r="A627" s="9" t="inlineStr"/>
      <c r="B627" s="2" t="inlineStr"/>
      <c r="C627" s="2" t="inlineStr"/>
      <c r="D627" s="2" t="inlineStr"/>
      <c r="E627" s="2">
        <f>IF(D627="","",IFERROR(XLOOKUP(TRIM(D627),INVENTARIO!$A$2:$A$2000,INVENTARIO!$B$2:$B$2000),"NO ENCONTRADO"))</f>
        <v/>
      </c>
      <c r="F627" s="2">
        <f>IF(D627="","",IFERROR(XLOOKUP(TRIM(D627),INVENTARIO!$A$2:$A$2000,INVENTARIO!$C$2:$C$2000),""))</f>
        <v/>
      </c>
      <c r="G627" s="2">
        <f>IF(D627="","",IF(E627="NO ENCONTRADO","CODIGO NO EXISTE",IF(COUNTIF($D$2:D627,D627)&gt;1,"DUPLICADO",IF(C627="","OK SIN PEDIDO",IF(COUNTIFS(PEDIDO_ITEMS!$A$2:$A$501,C627,PEDIDO_ITEMS!$B$2:$B$501,E627)=0,"NO PEDIDO",IF(COUNTIFS($C$2:C627,C627,$E$2:E627,E627)&gt;SUMIFS(PEDIDO_ITEMS!$C$2:$C$501,PEDIDO_ITEMS!$A$2:$A$501,C627,PEDIDO_ITEMS!$B$2:$B$501,E627),"EXCEDE PEDIDO","OK"))))))</f>
        <v/>
      </c>
    </row>
    <row r="628">
      <c r="A628" s="9" t="inlineStr"/>
      <c r="B628" s="2" t="inlineStr"/>
      <c r="C628" s="2" t="inlineStr"/>
      <c r="D628" s="2" t="inlineStr"/>
      <c r="E628" s="2">
        <f>IF(D628="","",IFERROR(XLOOKUP(TRIM(D628),INVENTARIO!$A$2:$A$2000,INVENTARIO!$B$2:$B$2000),"NO ENCONTRADO"))</f>
        <v/>
      </c>
      <c r="F628" s="2">
        <f>IF(D628="","",IFERROR(XLOOKUP(TRIM(D628),INVENTARIO!$A$2:$A$2000,INVENTARIO!$C$2:$C$2000),""))</f>
        <v/>
      </c>
      <c r="G628" s="2">
        <f>IF(D628="","",IF(E628="NO ENCONTRADO","CODIGO NO EXISTE",IF(COUNTIF($D$2:D628,D628)&gt;1,"DUPLICADO",IF(C628="","OK SIN PEDIDO",IF(COUNTIFS(PEDIDO_ITEMS!$A$2:$A$501,C628,PEDIDO_ITEMS!$B$2:$B$501,E628)=0,"NO PEDIDO",IF(COUNTIFS($C$2:C628,C628,$E$2:E628,E628)&gt;SUMIFS(PEDIDO_ITEMS!$C$2:$C$501,PEDIDO_ITEMS!$A$2:$A$501,C628,PEDIDO_ITEMS!$B$2:$B$501,E628),"EXCEDE PEDIDO","OK"))))))</f>
        <v/>
      </c>
    </row>
    <row r="629">
      <c r="A629" s="9" t="inlineStr"/>
      <c r="B629" s="2" t="inlineStr"/>
      <c r="C629" s="2" t="inlineStr"/>
      <c r="D629" s="2" t="inlineStr"/>
      <c r="E629" s="2">
        <f>IF(D629="","",IFERROR(XLOOKUP(TRIM(D629),INVENTARIO!$A$2:$A$2000,INVENTARIO!$B$2:$B$2000),"NO ENCONTRADO"))</f>
        <v/>
      </c>
      <c r="F629" s="2">
        <f>IF(D629="","",IFERROR(XLOOKUP(TRIM(D629),INVENTARIO!$A$2:$A$2000,INVENTARIO!$C$2:$C$2000),""))</f>
        <v/>
      </c>
      <c r="G629" s="2">
        <f>IF(D629="","",IF(E629="NO ENCONTRADO","CODIGO NO EXISTE",IF(COUNTIF($D$2:D629,D629)&gt;1,"DUPLICADO",IF(C629="","OK SIN PEDIDO",IF(COUNTIFS(PEDIDO_ITEMS!$A$2:$A$501,C629,PEDIDO_ITEMS!$B$2:$B$501,E629)=0,"NO PEDIDO",IF(COUNTIFS($C$2:C629,C629,$E$2:E629,E629)&gt;SUMIFS(PEDIDO_ITEMS!$C$2:$C$501,PEDIDO_ITEMS!$A$2:$A$501,C629,PEDIDO_ITEMS!$B$2:$B$501,E629),"EXCEDE PEDIDO","OK"))))))</f>
        <v/>
      </c>
    </row>
    <row r="630">
      <c r="A630" s="9" t="inlineStr"/>
      <c r="B630" s="2" t="inlineStr"/>
      <c r="C630" s="2" t="inlineStr"/>
      <c r="D630" s="2" t="inlineStr"/>
      <c r="E630" s="2">
        <f>IF(D630="","",IFERROR(XLOOKUP(TRIM(D630),INVENTARIO!$A$2:$A$2000,INVENTARIO!$B$2:$B$2000),"NO ENCONTRADO"))</f>
        <v/>
      </c>
      <c r="F630" s="2">
        <f>IF(D630="","",IFERROR(XLOOKUP(TRIM(D630),INVENTARIO!$A$2:$A$2000,INVENTARIO!$C$2:$C$2000),""))</f>
        <v/>
      </c>
      <c r="G630" s="2">
        <f>IF(D630="","",IF(E630="NO ENCONTRADO","CODIGO NO EXISTE",IF(COUNTIF($D$2:D630,D630)&gt;1,"DUPLICADO",IF(C630="","OK SIN PEDIDO",IF(COUNTIFS(PEDIDO_ITEMS!$A$2:$A$501,C630,PEDIDO_ITEMS!$B$2:$B$501,E630)=0,"NO PEDIDO",IF(COUNTIFS($C$2:C630,C630,$E$2:E630,E630)&gt;SUMIFS(PEDIDO_ITEMS!$C$2:$C$501,PEDIDO_ITEMS!$A$2:$A$501,C630,PEDIDO_ITEMS!$B$2:$B$501,E630),"EXCEDE PEDIDO","OK"))))))</f>
        <v/>
      </c>
    </row>
    <row r="631">
      <c r="A631" s="9" t="inlineStr"/>
      <c r="B631" s="2" t="inlineStr"/>
      <c r="C631" s="2" t="inlineStr"/>
      <c r="D631" s="2" t="inlineStr"/>
      <c r="E631" s="2">
        <f>IF(D631="","",IFERROR(XLOOKUP(TRIM(D631),INVENTARIO!$A$2:$A$2000,INVENTARIO!$B$2:$B$2000),"NO ENCONTRADO"))</f>
        <v/>
      </c>
      <c r="F631" s="2">
        <f>IF(D631="","",IFERROR(XLOOKUP(TRIM(D631),INVENTARIO!$A$2:$A$2000,INVENTARIO!$C$2:$C$2000),""))</f>
        <v/>
      </c>
      <c r="G631" s="2">
        <f>IF(D631="","",IF(E631="NO ENCONTRADO","CODIGO NO EXISTE",IF(COUNTIF($D$2:D631,D631)&gt;1,"DUPLICADO",IF(C631="","OK SIN PEDIDO",IF(COUNTIFS(PEDIDO_ITEMS!$A$2:$A$501,C631,PEDIDO_ITEMS!$B$2:$B$501,E631)=0,"NO PEDIDO",IF(COUNTIFS($C$2:C631,C631,$E$2:E631,E631)&gt;SUMIFS(PEDIDO_ITEMS!$C$2:$C$501,PEDIDO_ITEMS!$A$2:$A$501,C631,PEDIDO_ITEMS!$B$2:$B$501,E631),"EXCEDE PEDIDO","OK"))))))</f>
        <v/>
      </c>
    </row>
    <row r="632">
      <c r="A632" s="9" t="inlineStr"/>
      <c r="B632" s="2" t="inlineStr"/>
      <c r="C632" s="2" t="inlineStr"/>
      <c r="D632" s="2" t="inlineStr"/>
      <c r="E632" s="2">
        <f>IF(D632="","",IFERROR(XLOOKUP(TRIM(D632),INVENTARIO!$A$2:$A$2000,INVENTARIO!$B$2:$B$2000),"NO ENCONTRADO"))</f>
        <v/>
      </c>
      <c r="F632" s="2">
        <f>IF(D632="","",IFERROR(XLOOKUP(TRIM(D632),INVENTARIO!$A$2:$A$2000,INVENTARIO!$C$2:$C$2000),""))</f>
        <v/>
      </c>
      <c r="G632" s="2">
        <f>IF(D632="","",IF(E632="NO ENCONTRADO","CODIGO NO EXISTE",IF(COUNTIF($D$2:D632,D632)&gt;1,"DUPLICADO",IF(C632="","OK SIN PEDIDO",IF(COUNTIFS(PEDIDO_ITEMS!$A$2:$A$501,C632,PEDIDO_ITEMS!$B$2:$B$501,E632)=0,"NO PEDIDO",IF(COUNTIFS($C$2:C632,C632,$E$2:E632,E632)&gt;SUMIFS(PEDIDO_ITEMS!$C$2:$C$501,PEDIDO_ITEMS!$A$2:$A$501,C632,PEDIDO_ITEMS!$B$2:$B$501,E632),"EXCEDE PEDIDO","OK"))))))</f>
        <v/>
      </c>
    </row>
    <row r="633">
      <c r="A633" s="9" t="inlineStr"/>
      <c r="B633" s="2" t="inlineStr"/>
      <c r="C633" s="2" t="inlineStr"/>
      <c r="D633" s="2" t="inlineStr"/>
      <c r="E633" s="2">
        <f>IF(D633="","",IFERROR(XLOOKUP(TRIM(D633),INVENTARIO!$A$2:$A$2000,INVENTARIO!$B$2:$B$2000),"NO ENCONTRADO"))</f>
        <v/>
      </c>
      <c r="F633" s="2">
        <f>IF(D633="","",IFERROR(XLOOKUP(TRIM(D633),INVENTARIO!$A$2:$A$2000,INVENTARIO!$C$2:$C$2000),""))</f>
        <v/>
      </c>
      <c r="G633" s="2">
        <f>IF(D633="","",IF(E633="NO ENCONTRADO","CODIGO NO EXISTE",IF(COUNTIF($D$2:D633,D633)&gt;1,"DUPLICADO",IF(C633="","OK SIN PEDIDO",IF(COUNTIFS(PEDIDO_ITEMS!$A$2:$A$501,C633,PEDIDO_ITEMS!$B$2:$B$501,E633)=0,"NO PEDIDO",IF(COUNTIFS($C$2:C633,C633,$E$2:E633,E633)&gt;SUMIFS(PEDIDO_ITEMS!$C$2:$C$501,PEDIDO_ITEMS!$A$2:$A$501,C633,PEDIDO_ITEMS!$B$2:$B$501,E633),"EXCEDE PEDIDO","OK"))))))</f>
        <v/>
      </c>
    </row>
    <row r="634">
      <c r="A634" s="9" t="inlineStr"/>
      <c r="B634" s="2" t="inlineStr"/>
      <c r="C634" s="2" t="inlineStr"/>
      <c r="D634" s="2" t="inlineStr"/>
      <c r="E634" s="2">
        <f>IF(D634="","",IFERROR(XLOOKUP(TRIM(D634),INVENTARIO!$A$2:$A$2000,INVENTARIO!$B$2:$B$2000),"NO ENCONTRADO"))</f>
        <v/>
      </c>
      <c r="F634" s="2">
        <f>IF(D634="","",IFERROR(XLOOKUP(TRIM(D634),INVENTARIO!$A$2:$A$2000,INVENTARIO!$C$2:$C$2000),""))</f>
        <v/>
      </c>
      <c r="G634" s="2">
        <f>IF(D634="","",IF(E634="NO ENCONTRADO","CODIGO NO EXISTE",IF(COUNTIF($D$2:D634,D634)&gt;1,"DUPLICADO",IF(C634="","OK SIN PEDIDO",IF(COUNTIFS(PEDIDO_ITEMS!$A$2:$A$501,C634,PEDIDO_ITEMS!$B$2:$B$501,E634)=0,"NO PEDIDO",IF(COUNTIFS($C$2:C634,C634,$E$2:E634,E634)&gt;SUMIFS(PEDIDO_ITEMS!$C$2:$C$501,PEDIDO_ITEMS!$A$2:$A$501,C634,PEDIDO_ITEMS!$B$2:$B$501,E634),"EXCEDE PEDIDO","OK"))))))</f>
        <v/>
      </c>
    </row>
    <row r="635">
      <c r="A635" s="9" t="inlineStr"/>
      <c r="B635" s="2" t="inlineStr"/>
      <c r="C635" s="2" t="inlineStr"/>
      <c r="D635" s="2" t="inlineStr"/>
      <c r="E635" s="2">
        <f>IF(D635="","",IFERROR(XLOOKUP(TRIM(D635),INVENTARIO!$A$2:$A$2000,INVENTARIO!$B$2:$B$2000),"NO ENCONTRADO"))</f>
        <v/>
      </c>
      <c r="F635" s="2">
        <f>IF(D635="","",IFERROR(XLOOKUP(TRIM(D635),INVENTARIO!$A$2:$A$2000,INVENTARIO!$C$2:$C$2000),""))</f>
        <v/>
      </c>
      <c r="G635" s="2">
        <f>IF(D635="","",IF(E635="NO ENCONTRADO","CODIGO NO EXISTE",IF(COUNTIF($D$2:D635,D635)&gt;1,"DUPLICADO",IF(C635="","OK SIN PEDIDO",IF(COUNTIFS(PEDIDO_ITEMS!$A$2:$A$501,C635,PEDIDO_ITEMS!$B$2:$B$501,E635)=0,"NO PEDIDO",IF(COUNTIFS($C$2:C635,C635,$E$2:E635,E635)&gt;SUMIFS(PEDIDO_ITEMS!$C$2:$C$501,PEDIDO_ITEMS!$A$2:$A$501,C635,PEDIDO_ITEMS!$B$2:$B$501,E635),"EXCEDE PEDIDO","OK"))))))</f>
        <v/>
      </c>
    </row>
    <row r="636">
      <c r="A636" s="9" t="inlineStr"/>
      <c r="B636" s="2" t="inlineStr"/>
      <c r="C636" s="2" t="inlineStr"/>
      <c r="D636" s="2" t="inlineStr"/>
      <c r="E636" s="2">
        <f>IF(D636="","",IFERROR(XLOOKUP(TRIM(D636),INVENTARIO!$A$2:$A$2000,INVENTARIO!$B$2:$B$2000),"NO ENCONTRADO"))</f>
        <v/>
      </c>
      <c r="F636" s="2">
        <f>IF(D636="","",IFERROR(XLOOKUP(TRIM(D636),INVENTARIO!$A$2:$A$2000,INVENTARIO!$C$2:$C$2000),""))</f>
        <v/>
      </c>
      <c r="G636" s="2">
        <f>IF(D636="","",IF(E636="NO ENCONTRADO","CODIGO NO EXISTE",IF(COUNTIF($D$2:D636,D636)&gt;1,"DUPLICADO",IF(C636="","OK SIN PEDIDO",IF(COUNTIFS(PEDIDO_ITEMS!$A$2:$A$501,C636,PEDIDO_ITEMS!$B$2:$B$501,E636)=0,"NO PEDIDO",IF(COUNTIFS($C$2:C636,C636,$E$2:E636,E636)&gt;SUMIFS(PEDIDO_ITEMS!$C$2:$C$501,PEDIDO_ITEMS!$A$2:$A$501,C636,PEDIDO_ITEMS!$B$2:$B$501,E636),"EXCEDE PEDIDO","OK"))))))</f>
        <v/>
      </c>
    </row>
    <row r="637">
      <c r="A637" s="9" t="inlineStr"/>
      <c r="B637" s="2" t="inlineStr"/>
      <c r="C637" s="2" t="inlineStr"/>
      <c r="D637" s="2" t="inlineStr"/>
      <c r="E637" s="2">
        <f>IF(D637="","",IFERROR(XLOOKUP(TRIM(D637),INVENTARIO!$A$2:$A$2000,INVENTARIO!$B$2:$B$2000),"NO ENCONTRADO"))</f>
        <v/>
      </c>
      <c r="F637" s="2">
        <f>IF(D637="","",IFERROR(XLOOKUP(TRIM(D637),INVENTARIO!$A$2:$A$2000,INVENTARIO!$C$2:$C$2000),""))</f>
        <v/>
      </c>
      <c r="G637" s="2">
        <f>IF(D637="","",IF(E637="NO ENCONTRADO","CODIGO NO EXISTE",IF(COUNTIF($D$2:D637,D637)&gt;1,"DUPLICADO",IF(C637="","OK SIN PEDIDO",IF(COUNTIFS(PEDIDO_ITEMS!$A$2:$A$501,C637,PEDIDO_ITEMS!$B$2:$B$501,E637)=0,"NO PEDIDO",IF(COUNTIFS($C$2:C637,C637,$E$2:E637,E637)&gt;SUMIFS(PEDIDO_ITEMS!$C$2:$C$501,PEDIDO_ITEMS!$A$2:$A$501,C637,PEDIDO_ITEMS!$B$2:$B$501,E637),"EXCEDE PEDIDO","OK"))))))</f>
        <v/>
      </c>
    </row>
    <row r="638">
      <c r="A638" s="9" t="inlineStr"/>
      <c r="B638" s="2" t="inlineStr"/>
      <c r="C638" s="2" t="inlineStr"/>
      <c r="D638" s="2" t="inlineStr"/>
      <c r="E638" s="2">
        <f>IF(D638="","",IFERROR(XLOOKUP(TRIM(D638),INVENTARIO!$A$2:$A$2000,INVENTARIO!$B$2:$B$2000),"NO ENCONTRADO"))</f>
        <v/>
      </c>
      <c r="F638" s="2">
        <f>IF(D638="","",IFERROR(XLOOKUP(TRIM(D638),INVENTARIO!$A$2:$A$2000,INVENTARIO!$C$2:$C$2000),""))</f>
        <v/>
      </c>
      <c r="G638" s="2">
        <f>IF(D638="","",IF(E638="NO ENCONTRADO","CODIGO NO EXISTE",IF(COUNTIF($D$2:D638,D638)&gt;1,"DUPLICADO",IF(C638="","OK SIN PEDIDO",IF(COUNTIFS(PEDIDO_ITEMS!$A$2:$A$501,C638,PEDIDO_ITEMS!$B$2:$B$501,E638)=0,"NO PEDIDO",IF(COUNTIFS($C$2:C638,C638,$E$2:E638,E638)&gt;SUMIFS(PEDIDO_ITEMS!$C$2:$C$501,PEDIDO_ITEMS!$A$2:$A$501,C638,PEDIDO_ITEMS!$B$2:$B$501,E638),"EXCEDE PEDIDO","OK"))))))</f>
        <v/>
      </c>
    </row>
    <row r="639">
      <c r="A639" s="9" t="inlineStr"/>
      <c r="B639" s="2" t="inlineStr"/>
      <c r="C639" s="2" t="inlineStr"/>
      <c r="D639" s="2" t="inlineStr"/>
      <c r="E639" s="2">
        <f>IF(D639="","",IFERROR(XLOOKUP(TRIM(D639),INVENTARIO!$A$2:$A$2000,INVENTARIO!$B$2:$B$2000),"NO ENCONTRADO"))</f>
        <v/>
      </c>
      <c r="F639" s="2">
        <f>IF(D639="","",IFERROR(XLOOKUP(TRIM(D639),INVENTARIO!$A$2:$A$2000,INVENTARIO!$C$2:$C$2000),""))</f>
        <v/>
      </c>
      <c r="G639" s="2">
        <f>IF(D639="","",IF(E639="NO ENCONTRADO","CODIGO NO EXISTE",IF(COUNTIF($D$2:D639,D639)&gt;1,"DUPLICADO",IF(C639="","OK SIN PEDIDO",IF(COUNTIFS(PEDIDO_ITEMS!$A$2:$A$501,C639,PEDIDO_ITEMS!$B$2:$B$501,E639)=0,"NO PEDIDO",IF(COUNTIFS($C$2:C639,C639,$E$2:E639,E639)&gt;SUMIFS(PEDIDO_ITEMS!$C$2:$C$501,PEDIDO_ITEMS!$A$2:$A$501,C639,PEDIDO_ITEMS!$B$2:$B$501,E639),"EXCEDE PEDIDO","OK"))))))</f>
        <v/>
      </c>
    </row>
    <row r="640">
      <c r="A640" s="9" t="inlineStr"/>
      <c r="B640" s="2" t="inlineStr"/>
      <c r="C640" s="2" t="inlineStr"/>
      <c r="D640" s="2" t="inlineStr"/>
      <c r="E640" s="2">
        <f>IF(D640="","",IFERROR(XLOOKUP(TRIM(D640),INVENTARIO!$A$2:$A$2000,INVENTARIO!$B$2:$B$2000),"NO ENCONTRADO"))</f>
        <v/>
      </c>
      <c r="F640" s="2">
        <f>IF(D640="","",IFERROR(XLOOKUP(TRIM(D640),INVENTARIO!$A$2:$A$2000,INVENTARIO!$C$2:$C$2000),""))</f>
        <v/>
      </c>
      <c r="G640" s="2">
        <f>IF(D640="","",IF(E640="NO ENCONTRADO","CODIGO NO EXISTE",IF(COUNTIF($D$2:D640,D640)&gt;1,"DUPLICADO",IF(C640="","OK SIN PEDIDO",IF(COUNTIFS(PEDIDO_ITEMS!$A$2:$A$501,C640,PEDIDO_ITEMS!$B$2:$B$501,E640)=0,"NO PEDIDO",IF(COUNTIFS($C$2:C640,C640,$E$2:E640,E640)&gt;SUMIFS(PEDIDO_ITEMS!$C$2:$C$501,PEDIDO_ITEMS!$A$2:$A$501,C640,PEDIDO_ITEMS!$B$2:$B$501,E640),"EXCEDE PEDIDO","OK"))))))</f>
        <v/>
      </c>
    </row>
    <row r="641">
      <c r="A641" s="9" t="inlineStr"/>
      <c r="B641" s="2" t="inlineStr"/>
      <c r="C641" s="2" t="inlineStr"/>
      <c r="D641" s="2" t="inlineStr"/>
      <c r="E641" s="2">
        <f>IF(D641="","",IFERROR(XLOOKUP(TRIM(D641),INVENTARIO!$A$2:$A$2000,INVENTARIO!$B$2:$B$2000),"NO ENCONTRADO"))</f>
        <v/>
      </c>
      <c r="F641" s="2">
        <f>IF(D641="","",IFERROR(XLOOKUP(TRIM(D641),INVENTARIO!$A$2:$A$2000,INVENTARIO!$C$2:$C$2000),""))</f>
        <v/>
      </c>
      <c r="G641" s="2">
        <f>IF(D641="","",IF(E641="NO ENCONTRADO","CODIGO NO EXISTE",IF(COUNTIF($D$2:D641,D641)&gt;1,"DUPLICADO",IF(C641="","OK SIN PEDIDO",IF(COUNTIFS(PEDIDO_ITEMS!$A$2:$A$501,C641,PEDIDO_ITEMS!$B$2:$B$501,E641)=0,"NO PEDIDO",IF(COUNTIFS($C$2:C641,C641,$E$2:E641,E641)&gt;SUMIFS(PEDIDO_ITEMS!$C$2:$C$501,PEDIDO_ITEMS!$A$2:$A$501,C641,PEDIDO_ITEMS!$B$2:$B$501,E641),"EXCEDE PEDIDO","OK"))))))</f>
        <v/>
      </c>
    </row>
    <row r="642">
      <c r="A642" s="9" t="inlineStr"/>
      <c r="B642" s="2" t="inlineStr"/>
      <c r="C642" s="2" t="inlineStr"/>
      <c r="D642" s="2" t="inlineStr"/>
      <c r="E642" s="2">
        <f>IF(D642="","",IFERROR(XLOOKUP(TRIM(D642),INVENTARIO!$A$2:$A$2000,INVENTARIO!$B$2:$B$2000),"NO ENCONTRADO"))</f>
        <v/>
      </c>
      <c r="F642" s="2">
        <f>IF(D642="","",IFERROR(XLOOKUP(TRIM(D642),INVENTARIO!$A$2:$A$2000,INVENTARIO!$C$2:$C$2000),""))</f>
        <v/>
      </c>
      <c r="G642" s="2">
        <f>IF(D642="","",IF(E642="NO ENCONTRADO","CODIGO NO EXISTE",IF(COUNTIF($D$2:D642,D642)&gt;1,"DUPLICADO",IF(C642="","OK SIN PEDIDO",IF(COUNTIFS(PEDIDO_ITEMS!$A$2:$A$501,C642,PEDIDO_ITEMS!$B$2:$B$501,E642)=0,"NO PEDIDO",IF(COUNTIFS($C$2:C642,C642,$E$2:E642,E642)&gt;SUMIFS(PEDIDO_ITEMS!$C$2:$C$501,PEDIDO_ITEMS!$A$2:$A$501,C642,PEDIDO_ITEMS!$B$2:$B$501,E642),"EXCEDE PEDIDO","OK"))))))</f>
        <v/>
      </c>
    </row>
    <row r="643">
      <c r="A643" s="9" t="inlineStr"/>
      <c r="B643" s="2" t="inlineStr"/>
      <c r="C643" s="2" t="inlineStr"/>
      <c r="D643" s="2" t="inlineStr"/>
      <c r="E643" s="2">
        <f>IF(D643="","",IFERROR(XLOOKUP(TRIM(D643),INVENTARIO!$A$2:$A$2000,INVENTARIO!$B$2:$B$2000),"NO ENCONTRADO"))</f>
        <v/>
      </c>
      <c r="F643" s="2">
        <f>IF(D643="","",IFERROR(XLOOKUP(TRIM(D643),INVENTARIO!$A$2:$A$2000,INVENTARIO!$C$2:$C$2000),""))</f>
        <v/>
      </c>
      <c r="G643" s="2">
        <f>IF(D643="","",IF(E643="NO ENCONTRADO","CODIGO NO EXISTE",IF(COUNTIF($D$2:D643,D643)&gt;1,"DUPLICADO",IF(C643="","OK SIN PEDIDO",IF(COUNTIFS(PEDIDO_ITEMS!$A$2:$A$501,C643,PEDIDO_ITEMS!$B$2:$B$501,E643)=0,"NO PEDIDO",IF(COUNTIFS($C$2:C643,C643,$E$2:E643,E643)&gt;SUMIFS(PEDIDO_ITEMS!$C$2:$C$501,PEDIDO_ITEMS!$A$2:$A$501,C643,PEDIDO_ITEMS!$B$2:$B$501,E643),"EXCEDE PEDIDO","OK"))))))</f>
        <v/>
      </c>
    </row>
    <row r="644">
      <c r="A644" s="9" t="inlineStr"/>
      <c r="B644" s="2" t="inlineStr"/>
      <c r="C644" s="2" t="inlineStr"/>
      <c r="D644" s="2" t="inlineStr"/>
      <c r="E644" s="2">
        <f>IF(D644="","",IFERROR(XLOOKUP(TRIM(D644),INVENTARIO!$A$2:$A$2000,INVENTARIO!$B$2:$B$2000),"NO ENCONTRADO"))</f>
        <v/>
      </c>
      <c r="F644" s="2">
        <f>IF(D644="","",IFERROR(XLOOKUP(TRIM(D644),INVENTARIO!$A$2:$A$2000,INVENTARIO!$C$2:$C$2000),""))</f>
        <v/>
      </c>
      <c r="G644" s="2">
        <f>IF(D644="","",IF(E644="NO ENCONTRADO","CODIGO NO EXISTE",IF(COUNTIF($D$2:D644,D644)&gt;1,"DUPLICADO",IF(C644="","OK SIN PEDIDO",IF(COUNTIFS(PEDIDO_ITEMS!$A$2:$A$501,C644,PEDIDO_ITEMS!$B$2:$B$501,E644)=0,"NO PEDIDO",IF(COUNTIFS($C$2:C644,C644,$E$2:E644,E644)&gt;SUMIFS(PEDIDO_ITEMS!$C$2:$C$501,PEDIDO_ITEMS!$A$2:$A$501,C644,PEDIDO_ITEMS!$B$2:$B$501,E644),"EXCEDE PEDIDO","OK"))))))</f>
        <v/>
      </c>
    </row>
    <row r="645">
      <c r="A645" s="9" t="inlineStr"/>
      <c r="B645" s="2" t="inlineStr"/>
      <c r="C645" s="2" t="inlineStr"/>
      <c r="D645" s="2" t="inlineStr"/>
      <c r="E645" s="2">
        <f>IF(D645="","",IFERROR(XLOOKUP(TRIM(D645),INVENTARIO!$A$2:$A$2000,INVENTARIO!$B$2:$B$2000),"NO ENCONTRADO"))</f>
        <v/>
      </c>
      <c r="F645" s="2">
        <f>IF(D645="","",IFERROR(XLOOKUP(TRIM(D645),INVENTARIO!$A$2:$A$2000,INVENTARIO!$C$2:$C$2000),""))</f>
        <v/>
      </c>
      <c r="G645" s="2">
        <f>IF(D645="","",IF(E645="NO ENCONTRADO","CODIGO NO EXISTE",IF(COUNTIF($D$2:D645,D645)&gt;1,"DUPLICADO",IF(C645="","OK SIN PEDIDO",IF(COUNTIFS(PEDIDO_ITEMS!$A$2:$A$501,C645,PEDIDO_ITEMS!$B$2:$B$501,E645)=0,"NO PEDIDO",IF(COUNTIFS($C$2:C645,C645,$E$2:E645,E645)&gt;SUMIFS(PEDIDO_ITEMS!$C$2:$C$501,PEDIDO_ITEMS!$A$2:$A$501,C645,PEDIDO_ITEMS!$B$2:$B$501,E645),"EXCEDE PEDIDO","OK"))))))</f>
        <v/>
      </c>
    </row>
    <row r="646">
      <c r="A646" s="9" t="inlineStr"/>
      <c r="B646" s="2" t="inlineStr"/>
      <c r="C646" s="2" t="inlineStr"/>
      <c r="D646" s="2" t="inlineStr"/>
      <c r="E646" s="2">
        <f>IF(D646="","",IFERROR(XLOOKUP(TRIM(D646),INVENTARIO!$A$2:$A$2000,INVENTARIO!$B$2:$B$2000),"NO ENCONTRADO"))</f>
        <v/>
      </c>
      <c r="F646" s="2">
        <f>IF(D646="","",IFERROR(XLOOKUP(TRIM(D646),INVENTARIO!$A$2:$A$2000,INVENTARIO!$C$2:$C$2000),""))</f>
        <v/>
      </c>
      <c r="G646" s="2">
        <f>IF(D646="","",IF(E646="NO ENCONTRADO","CODIGO NO EXISTE",IF(COUNTIF($D$2:D646,D646)&gt;1,"DUPLICADO",IF(C646="","OK SIN PEDIDO",IF(COUNTIFS(PEDIDO_ITEMS!$A$2:$A$501,C646,PEDIDO_ITEMS!$B$2:$B$501,E646)=0,"NO PEDIDO",IF(COUNTIFS($C$2:C646,C646,$E$2:E646,E646)&gt;SUMIFS(PEDIDO_ITEMS!$C$2:$C$501,PEDIDO_ITEMS!$A$2:$A$501,C646,PEDIDO_ITEMS!$B$2:$B$501,E646),"EXCEDE PEDIDO","OK"))))))</f>
        <v/>
      </c>
    </row>
    <row r="647">
      <c r="A647" s="9" t="inlineStr"/>
      <c r="B647" s="2" t="inlineStr"/>
      <c r="C647" s="2" t="inlineStr"/>
      <c r="D647" s="2" t="inlineStr"/>
      <c r="E647" s="2">
        <f>IF(D647="","",IFERROR(XLOOKUP(TRIM(D647),INVENTARIO!$A$2:$A$2000,INVENTARIO!$B$2:$B$2000),"NO ENCONTRADO"))</f>
        <v/>
      </c>
      <c r="F647" s="2">
        <f>IF(D647="","",IFERROR(XLOOKUP(TRIM(D647),INVENTARIO!$A$2:$A$2000,INVENTARIO!$C$2:$C$2000),""))</f>
        <v/>
      </c>
      <c r="G647" s="2">
        <f>IF(D647="","",IF(E647="NO ENCONTRADO","CODIGO NO EXISTE",IF(COUNTIF($D$2:D647,D647)&gt;1,"DUPLICADO",IF(C647="","OK SIN PEDIDO",IF(COUNTIFS(PEDIDO_ITEMS!$A$2:$A$501,C647,PEDIDO_ITEMS!$B$2:$B$501,E647)=0,"NO PEDIDO",IF(COUNTIFS($C$2:C647,C647,$E$2:E647,E647)&gt;SUMIFS(PEDIDO_ITEMS!$C$2:$C$501,PEDIDO_ITEMS!$A$2:$A$501,C647,PEDIDO_ITEMS!$B$2:$B$501,E647),"EXCEDE PEDIDO","OK"))))))</f>
        <v/>
      </c>
    </row>
    <row r="648">
      <c r="A648" s="9" t="inlineStr"/>
      <c r="B648" s="2" t="inlineStr"/>
      <c r="C648" s="2" t="inlineStr"/>
      <c r="D648" s="2" t="inlineStr"/>
      <c r="E648" s="2">
        <f>IF(D648="","",IFERROR(XLOOKUP(TRIM(D648),INVENTARIO!$A$2:$A$2000,INVENTARIO!$B$2:$B$2000),"NO ENCONTRADO"))</f>
        <v/>
      </c>
      <c r="F648" s="2">
        <f>IF(D648="","",IFERROR(XLOOKUP(TRIM(D648),INVENTARIO!$A$2:$A$2000,INVENTARIO!$C$2:$C$2000),""))</f>
        <v/>
      </c>
      <c r="G648" s="2">
        <f>IF(D648="","",IF(E648="NO ENCONTRADO","CODIGO NO EXISTE",IF(COUNTIF($D$2:D648,D648)&gt;1,"DUPLICADO",IF(C648="","OK SIN PEDIDO",IF(COUNTIFS(PEDIDO_ITEMS!$A$2:$A$501,C648,PEDIDO_ITEMS!$B$2:$B$501,E648)=0,"NO PEDIDO",IF(COUNTIFS($C$2:C648,C648,$E$2:E648,E648)&gt;SUMIFS(PEDIDO_ITEMS!$C$2:$C$501,PEDIDO_ITEMS!$A$2:$A$501,C648,PEDIDO_ITEMS!$B$2:$B$501,E648),"EXCEDE PEDIDO","OK"))))))</f>
        <v/>
      </c>
    </row>
    <row r="649">
      <c r="A649" s="9" t="inlineStr"/>
      <c r="B649" s="2" t="inlineStr"/>
      <c r="C649" s="2" t="inlineStr"/>
      <c r="D649" s="2" t="inlineStr"/>
      <c r="E649" s="2">
        <f>IF(D649="","",IFERROR(XLOOKUP(TRIM(D649),INVENTARIO!$A$2:$A$2000,INVENTARIO!$B$2:$B$2000),"NO ENCONTRADO"))</f>
        <v/>
      </c>
      <c r="F649" s="2">
        <f>IF(D649="","",IFERROR(XLOOKUP(TRIM(D649),INVENTARIO!$A$2:$A$2000,INVENTARIO!$C$2:$C$2000),""))</f>
        <v/>
      </c>
      <c r="G649" s="2">
        <f>IF(D649="","",IF(E649="NO ENCONTRADO","CODIGO NO EXISTE",IF(COUNTIF($D$2:D649,D649)&gt;1,"DUPLICADO",IF(C649="","OK SIN PEDIDO",IF(COUNTIFS(PEDIDO_ITEMS!$A$2:$A$501,C649,PEDIDO_ITEMS!$B$2:$B$501,E649)=0,"NO PEDIDO",IF(COUNTIFS($C$2:C649,C649,$E$2:E649,E649)&gt;SUMIFS(PEDIDO_ITEMS!$C$2:$C$501,PEDIDO_ITEMS!$A$2:$A$501,C649,PEDIDO_ITEMS!$B$2:$B$501,E649),"EXCEDE PEDIDO","OK"))))))</f>
        <v/>
      </c>
    </row>
    <row r="650">
      <c r="A650" s="9" t="inlineStr"/>
      <c r="B650" s="2" t="inlineStr"/>
      <c r="C650" s="2" t="inlineStr"/>
      <c r="D650" s="2" t="inlineStr"/>
      <c r="E650" s="2">
        <f>IF(D650="","",IFERROR(XLOOKUP(TRIM(D650),INVENTARIO!$A$2:$A$2000,INVENTARIO!$B$2:$B$2000),"NO ENCONTRADO"))</f>
        <v/>
      </c>
      <c r="F650" s="2">
        <f>IF(D650="","",IFERROR(XLOOKUP(TRIM(D650),INVENTARIO!$A$2:$A$2000,INVENTARIO!$C$2:$C$2000),""))</f>
        <v/>
      </c>
      <c r="G650" s="2">
        <f>IF(D650="","",IF(E650="NO ENCONTRADO","CODIGO NO EXISTE",IF(COUNTIF($D$2:D650,D650)&gt;1,"DUPLICADO",IF(C650="","OK SIN PEDIDO",IF(COUNTIFS(PEDIDO_ITEMS!$A$2:$A$501,C650,PEDIDO_ITEMS!$B$2:$B$501,E650)=0,"NO PEDIDO",IF(COUNTIFS($C$2:C650,C650,$E$2:E650,E650)&gt;SUMIFS(PEDIDO_ITEMS!$C$2:$C$501,PEDIDO_ITEMS!$A$2:$A$501,C650,PEDIDO_ITEMS!$B$2:$B$501,E650),"EXCEDE PEDIDO","OK"))))))</f>
        <v/>
      </c>
    </row>
    <row r="651">
      <c r="A651" s="9" t="inlineStr"/>
      <c r="B651" s="2" t="inlineStr"/>
      <c r="C651" s="2" t="inlineStr"/>
      <c r="D651" s="2" t="inlineStr"/>
      <c r="E651" s="2">
        <f>IF(D651="","",IFERROR(XLOOKUP(TRIM(D651),INVENTARIO!$A$2:$A$2000,INVENTARIO!$B$2:$B$2000),"NO ENCONTRADO"))</f>
        <v/>
      </c>
      <c r="F651" s="2">
        <f>IF(D651="","",IFERROR(XLOOKUP(TRIM(D651),INVENTARIO!$A$2:$A$2000,INVENTARIO!$C$2:$C$2000),""))</f>
        <v/>
      </c>
      <c r="G651" s="2">
        <f>IF(D651="","",IF(E651="NO ENCONTRADO","CODIGO NO EXISTE",IF(COUNTIF($D$2:D651,D651)&gt;1,"DUPLICADO",IF(C651="","OK SIN PEDIDO",IF(COUNTIFS(PEDIDO_ITEMS!$A$2:$A$501,C651,PEDIDO_ITEMS!$B$2:$B$501,E651)=0,"NO PEDIDO",IF(COUNTIFS($C$2:C651,C651,$E$2:E651,E651)&gt;SUMIFS(PEDIDO_ITEMS!$C$2:$C$501,PEDIDO_ITEMS!$A$2:$A$501,C651,PEDIDO_ITEMS!$B$2:$B$501,E651),"EXCEDE PEDIDO","OK"))))))</f>
        <v/>
      </c>
    </row>
    <row r="652">
      <c r="A652" s="9" t="inlineStr"/>
      <c r="B652" s="2" t="inlineStr"/>
      <c r="C652" s="2" t="inlineStr"/>
      <c r="D652" s="2" t="inlineStr"/>
      <c r="E652" s="2">
        <f>IF(D652="","",IFERROR(XLOOKUP(TRIM(D652),INVENTARIO!$A$2:$A$2000,INVENTARIO!$B$2:$B$2000),"NO ENCONTRADO"))</f>
        <v/>
      </c>
      <c r="F652" s="2">
        <f>IF(D652="","",IFERROR(XLOOKUP(TRIM(D652),INVENTARIO!$A$2:$A$2000,INVENTARIO!$C$2:$C$2000),""))</f>
        <v/>
      </c>
      <c r="G652" s="2">
        <f>IF(D652="","",IF(E652="NO ENCONTRADO","CODIGO NO EXISTE",IF(COUNTIF($D$2:D652,D652)&gt;1,"DUPLICADO",IF(C652="","OK SIN PEDIDO",IF(COUNTIFS(PEDIDO_ITEMS!$A$2:$A$501,C652,PEDIDO_ITEMS!$B$2:$B$501,E652)=0,"NO PEDIDO",IF(COUNTIFS($C$2:C652,C652,$E$2:E652,E652)&gt;SUMIFS(PEDIDO_ITEMS!$C$2:$C$501,PEDIDO_ITEMS!$A$2:$A$501,C652,PEDIDO_ITEMS!$B$2:$B$501,E652),"EXCEDE PEDIDO","OK"))))))</f>
        <v/>
      </c>
    </row>
    <row r="653">
      <c r="A653" s="9" t="inlineStr"/>
      <c r="B653" s="2" t="inlineStr"/>
      <c r="C653" s="2" t="inlineStr"/>
      <c r="D653" s="2" t="inlineStr"/>
      <c r="E653" s="2">
        <f>IF(D653="","",IFERROR(XLOOKUP(TRIM(D653),INVENTARIO!$A$2:$A$2000,INVENTARIO!$B$2:$B$2000),"NO ENCONTRADO"))</f>
        <v/>
      </c>
      <c r="F653" s="2">
        <f>IF(D653="","",IFERROR(XLOOKUP(TRIM(D653),INVENTARIO!$A$2:$A$2000,INVENTARIO!$C$2:$C$2000),""))</f>
        <v/>
      </c>
      <c r="G653" s="2">
        <f>IF(D653="","",IF(E653="NO ENCONTRADO","CODIGO NO EXISTE",IF(COUNTIF($D$2:D653,D653)&gt;1,"DUPLICADO",IF(C653="","OK SIN PEDIDO",IF(COUNTIFS(PEDIDO_ITEMS!$A$2:$A$501,C653,PEDIDO_ITEMS!$B$2:$B$501,E653)=0,"NO PEDIDO",IF(COUNTIFS($C$2:C653,C653,$E$2:E653,E653)&gt;SUMIFS(PEDIDO_ITEMS!$C$2:$C$501,PEDIDO_ITEMS!$A$2:$A$501,C653,PEDIDO_ITEMS!$B$2:$B$501,E653),"EXCEDE PEDIDO","OK"))))))</f>
        <v/>
      </c>
    </row>
    <row r="654">
      <c r="A654" s="9" t="inlineStr"/>
      <c r="B654" s="2" t="inlineStr"/>
      <c r="C654" s="2" t="inlineStr"/>
      <c r="D654" s="2" t="inlineStr"/>
      <c r="E654" s="2">
        <f>IF(D654="","",IFERROR(XLOOKUP(TRIM(D654),INVENTARIO!$A$2:$A$2000,INVENTARIO!$B$2:$B$2000),"NO ENCONTRADO"))</f>
        <v/>
      </c>
      <c r="F654" s="2">
        <f>IF(D654="","",IFERROR(XLOOKUP(TRIM(D654),INVENTARIO!$A$2:$A$2000,INVENTARIO!$C$2:$C$2000),""))</f>
        <v/>
      </c>
      <c r="G654" s="2">
        <f>IF(D654="","",IF(E654="NO ENCONTRADO","CODIGO NO EXISTE",IF(COUNTIF($D$2:D654,D654)&gt;1,"DUPLICADO",IF(C654="","OK SIN PEDIDO",IF(COUNTIFS(PEDIDO_ITEMS!$A$2:$A$501,C654,PEDIDO_ITEMS!$B$2:$B$501,E654)=0,"NO PEDIDO",IF(COUNTIFS($C$2:C654,C654,$E$2:E654,E654)&gt;SUMIFS(PEDIDO_ITEMS!$C$2:$C$501,PEDIDO_ITEMS!$A$2:$A$501,C654,PEDIDO_ITEMS!$B$2:$B$501,E654),"EXCEDE PEDIDO","OK"))))))</f>
        <v/>
      </c>
    </row>
    <row r="655">
      <c r="A655" s="9" t="inlineStr"/>
      <c r="B655" s="2" t="inlineStr"/>
      <c r="C655" s="2" t="inlineStr"/>
      <c r="D655" s="2" t="inlineStr"/>
      <c r="E655" s="2">
        <f>IF(D655="","",IFERROR(XLOOKUP(TRIM(D655),INVENTARIO!$A$2:$A$2000,INVENTARIO!$B$2:$B$2000),"NO ENCONTRADO"))</f>
        <v/>
      </c>
      <c r="F655" s="2">
        <f>IF(D655="","",IFERROR(XLOOKUP(TRIM(D655),INVENTARIO!$A$2:$A$2000,INVENTARIO!$C$2:$C$2000),""))</f>
        <v/>
      </c>
      <c r="G655" s="2">
        <f>IF(D655="","",IF(E655="NO ENCONTRADO","CODIGO NO EXISTE",IF(COUNTIF($D$2:D655,D655)&gt;1,"DUPLICADO",IF(C655="","OK SIN PEDIDO",IF(COUNTIFS(PEDIDO_ITEMS!$A$2:$A$501,C655,PEDIDO_ITEMS!$B$2:$B$501,E655)=0,"NO PEDIDO",IF(COUNTIFS($C$2:C655,C655,$E$2:E655,E655)&gt;SUMIFS(PEDIDO_ITEMS!$C$2:$C$501,PEDIDO_ITEMS!$A$2:$A$501,C655,PEDIDO_ITEMS!$B$2:$B$501,E655),"EXCEDE PEDIDO","OK"))))))</f>
        <v/>
      </c>
    </row>
    <row r="656">
      <c r="A656" s="9" t="inlineStr"/>
      <c r="B656" s="2" t="inlineStr"/>
      <c r="C656" s="2" t="inlineStr"/>
      <c r="D656" s="2" t="inlineStr"/>
      <c r="E656" s="2">
        <f>IF(D656="","",IFERROR(XLOOKUP(TRIM(D656),INVENTARIO!$A$2:$A$2000,INVENTARIO!$B$2:$B$2000),"NO ENCONTRADO"))</f>
        <v/>
      </c>
      <c r="F656" s="2">
        <f>IF(D656="","",IFERROR(XLOOKUP(TRIM(D656),INVENTARIO!$A$2:$A$2000,INVENTARIO!$C$2:$C$2000),""))</f>
        <v/>
      </c>
      <c r="G656" s="2">
        <f>IF(D656="","",IF(E656="NO ENCONTRADO","CODIGO NO EXISTE",IF(COUNTIF($D$2:D656,D656)&gt;1,"DUPLICADO",IF(C656="","OK SIN PEDIDO",IF(COUNTIFS(PEDIDO_ITEMS!$A$2:$A$501,C656,PEDIDO_ITEMS!$B$2:$B$501,E656)=0,"NO PEDIDO",IF(COUNTIFS($C$2:C656,C656,$E$2:E656,E656)&gt;SUMIFS(PEDIDO_ITEMS!$C$2:$C$501,PEDIDO_ITEMS!$A$2:$A$501,C656,PEDIDO_ITEMS!$B$2:$B$501,E656),"EXCEDE PEDIDO","OK"))))))</f>
        <v/>
      </c>
    </row>
    <row r="657">
      <c r="A657" s="9" t="inlineStr"/>
      <c r="B657" s="2" t="inlineStr"/>
      <c r="C657" s="2" t="inlineStr"/>
      <c r="D657" s="2" t="inlineStr"/>
      <c r="E657" s="2">
        <f>IF(D657="","",IFERROR(XLOOKUP(TRIM(D657),INVENTARIO!$A$2:$A$2000,INVENTARIO!$B$2:$B$2000),"NO ENCONTRADO"))</f>
        <v/>
      </c>
      <c r="F657" s="2">
        <f>IF(D657="","",IFERROR(XLOOKUP(TRIM(D657),INVENTARIO!$A$2:$A$2000,INVENTARIO!$C$2:$C$2000),""))</f>
        <v/>
      </c>
      <c r="G657" s="2">
        <f>IF(D657="","",IF(E657="NO ENCONTRADO","CODIGO NO EXISTE",IF(COUNTIF($D$2:D657,D657)&gt;1,"DUPLICADO",IF(C657="","OK SIN PEDIDO",IF(COUNTIFS(PEDIDO_ITEMS!$A$2:$A$501,C657,PEDIDO_ITEMS!$B$2:$B$501,E657)=0,"NO PEDIDO",IF(COUNTIFS($C$2:C657,C657,$E$2:E657,E657)&gt;SUMIFS(PEDIDO_ITEMS!$C$2:$C$501,PEDIDO_ITEMS!$A$2:$A$501,C657,PEDIDO_ITEMS!$B$2:$B$501,E657),"EXCEDE PEDIDO","OK"))))))</f>
        <v/>
      </c>
    </row>
    <row r="658">
      <c r="A658" s="9" t="inlineStr"/>
      <c r="B658" s="2" t="inlineStr"/>
      <c r="C658" s="2" t="inlineStr"/>
      <c r="D658" s="2" t="inlineStr"/>
      <c r="E658" s="2">
        <f>IF(D658="","",IFERROR(XLOOKUP(TRIM(D658),INVENTARIO!$A$2:$A$2000,INVENTARIO!$B$2:$B$2000),"NO ENCONTRADO"))</f>
        <v/>
      </c>
      <c r="F658" s="2">
        <f>IF(D658="","",IFERROR(XLOOKUP(TRIM(D658),INVENTARIO!$A$2:$A$2000,INVENTARIO!$C$2:$C$2000),""))</f>
        <v/>
      </c>
      <c r="G658" s="2">
        <f>IF(D658="","",IF(E658="NO ENCONTRADO","CODIGO NO EXISTE",IF(COUNTIF($D$2:D658,D658)&gt;1,"DUPLICADO",IF(C658="","OK SIN PEDIDO",IF(COUNTIFS(PEDIDO_ITEMS!$A$2:$A$501,C658,PEDIDO_ITEMS!$B$2:$B$501,E658)=0,"NO PEDIDO",IF(COUNTIFS($C$2:C658,C658,$E$2:E658,E658)&gt;SUMIFS(PEDIDO_ITEMS!$C$2:$C$501,PEDIDO_ITEMS!$A$2:$A$501,C658,PEDIDO_ITEMS!$B$2:$B$501,E658),"EXCEDE PEDIDO","OK"))))))</f>
        <v/>
      </c>
    </row>
    <row r="659">
      <c r="A659" s="9" t="inlineStr"/>
      <c r="B659" s="2" t="inlineStr"/>
      <c r="C659" s="2" t="inlineStr"/>
      <c r="D659" s="2" t="inlineStr"/>
      <c r="E659" s="2">
        <f>IF(D659="","",IFERROR(XLOOKUP(TRIM(D659),INVENTARIO!$A$2:$A$2000,INVENTARIO!$B$2:$B$2000),"NO ENCONTRADO"))</f>
        <v/>
      </c>
      <c r="F659" s="2">
        <f>IF(D659="","",IFERROR(XLOOKUP(TRIM(D659),INVENTARIO!$A$2:$A$2000,INVENTARIO!$C$2:$C$2000),""))</f>
        <v/>
      </c>
      <c r="G659" s="2">
        <f>IF(D659="","",IF(E659="NO ENCONTRADO","CODIGO NO EXISTE",IF(COUNTIF($D$2:D659,D659)&gt;1,"DUPLICADO",IF(C659="","OK SIN PEDIDO",IF(COUNTIFS(PEDIDO_ITEMS!$A$2:$A$501,C659,PEDIDO_ITEMS!$B$2:$B$501,E659)=0,"NO PEDIDO",IF(COUNTIFS($C$2:C659,C659,$E$2:E659,E659)&gt;SUMIFS(PEDIDO_ITEMS!$C$2:$C$501,PEDIDO_ITEMS!$A$2:$A$501,C659,PEDIDO_ITEMS!$B$2:$B$501,E659),"EXCEDE PEDIDO","OK"))))))</f>
        <v/>
      </c>
    </row>
    <row r="660">
      <c r="A660" s="9" t="inlineStr"/>
      <c r="B660" s="2" t="inlineStr"/>
      <c r="C660" s="2" t="inlineStr"/>
      <c r="D660" s="2" t="inlineStr"/>
      <c r="E660" s="2">
        <f>IF(D660="","",IFERROR(XLOOKUP(TRIM(D660),INVENTARIO!$A$2:$A$2000,INVENTARIO!$B$2:$B$2000),"NO ENCONTRADO"))</f>
        <v/>
      </c>
      <c r="F660" s="2">
        <f>IF(D660="","",IFERROR(XLOOKUP(TRIM(D660),INVENTARIO!$A$2:$A$2000,INVENTARIO!$C$2:$C$2000),""))</f>
        <v/>
      </c>
      <c r="G660" s="2">
        <f>IF(D660="","",IF(E660="NO ENCONTRADO","CODIGO NO EXISTE",IF(COUNTIF($D$2:D660,D660)&gt;1,"DUPLICADO",IF(C660="","OK SIN PEDIDO",IF(COUNTIFS(PEDIDO_ITEMS!$A$2:$A$501,C660,PEDIDO_ITEMS!$B$2:$B$501,E660)=0,"NO PEDIDO",IF(COUNTIFS($C$2:C660,C660,$E$2:E660,E660)&gt;SUMIFS(PEDIDO_ITEMS!$C$2:$C$501,PEDIDO_ITEMS!$A$2:$A$501,C660,PEDIDO_ITEMS!$B$2:$B$501,E660),"EXCEDE PEDIDO","OK"))))))</f>
        <v/>
      </c>
    </row>
    <row r="661">
      <c r="A661" s="9" t="inlineStr"/>
      <c r="B661" s="2" t="inlineStr"/>
      <c r="C661" s="2" t="inlineStr"/>
      <c r="D661" s="2" t="inlineStr"/>
      <c r="E661" s="2">
        <f>IF(D661="","",IFERROR(XLOOKUP(TRIM(D661),INVENTARIO!$A$2:$A$2000,INVENTARIO!$B$2:$B$2000),"NO ENCONTRADO"))</f>
        <v/>
      </c>
      <c r="F661" s="2">
        <f>IF(D661="","",IFERROR(XLOOKUP(TRIM(D661),INVENTARIO!$A$2:$A$2000,INVENTARIO!$C$2:$C$2000),""))</f>
        <v/>
      </c>
      <c r="G661" s="2">
        <f>IF(D661="","",IF(E661="NO ENCONTRADO","CODIGO NO EXISTE",IF(COUNTIF($D$2:D661,D661)&gt;1,"DUPLICADO",IF(C661="","OK SIN PEDIDO",IF(COUNTIFS(PEDIDO_ITEMS!$A$2:$A$501,C661,PEDIDO_ITEMS!$B$2:$B$501,E661)=0,"NO PEDIDO",IF(COUNTIFS($C$2:C661,C661,$E$2:E661,E661)&gt;SUMIFS(PEDIDO_ITEMS!$C$2:$C$501,PEDIDO_ITEMS!$A$2:$A$501,C661,PEDIDO_ITEMS!$B$2:$B$501,E661),"EXCEDE PEDIDO","OK"))))))</f>
        <v/>
      </c>
    </row>
    <row r="662">
      <c r="A662" s="9" t="inlineStr"/>
      <c r="B662" s="2" t="inlineStr"/>
      <c r="C662" s="2" t="inlineStr"/>
      <c r="D662" s="2" t="inlineStr"/>
      <c r="E662" s="2">
        <f>IF(D662="","",IFERROR(XLOOKUP(TRIM(D662),INVENTARIO!$A$2:$A$2000,INVENTARIO!$B$2:$B$2000),"NO ENCONTRADO"))</f>
        <v/>
      </c>
      <c r="F662" s="2">
        <f>IF(D662="","",IFERROR(XLOOKUP(TRIM(D662),INVENTARIO!$A$2:$A$2000,INVENTARIO!$C$2:$C$2000),""))</f>
        <v/>
      </c>
      <c r="G662" s="2">
        <f>IF(D662="","",IF(E662="NO ENCONTRADO","CODIGO NO EXISTE",IF(COUNTIF($D$2:D662,D662)&gt;1,"DUPLICADO",IF(C662="","OK SIN PEDIDO",IF(COUNTIFS(PEDIDO_ITEMS!$A$2:$A$501,C662,PEDIDO_ITEMS!$B$2:$B$501,E662)=0,"NO PEDIDO",IF(COUNTIFS($C$2:C662,C662,$E$2:E662,E662)&gt;SUMIFS(PEDIDO_ITEMS!$C$2:$C$501,PEDIDO_ITEMS!$A$2:$A$501,C662,PEDIDO_ITEMS!$B$2:$B$501,E662),"EXCEDE PEDIDO","OK"))))))</f>
        <v/>
      </c>
    </row>
    <row r="663">
      <c r="A663" s="9" t="inlineStr"/>
      <c r="B663" s="2" t="inlineStr"/>
      <c r="C663" s="2" t="inlineStr"/>
      <c r="D663" s="2" t="inlineStr"/>
      <c r="E663" s="2">
        <f>IF(D663="","",IFERROR(XLOOKUP(TRIM(D663),INVENTARIO!$A$2:$A$2000,INVENTARIO!$B$2:$B$2000),"NO ENCONTRADO"))</f>
        <v/>
      </c>
      <c r="F663" s="2">
        <f>IF(D663="","",IFERROR(XLOOKUP(TRIM(D663),INVENTARIO!$A$2:$A$2000,INVENTARIO!$C$2:$C$2000),""))</f>
        <v/>
      </c>
      <c r="G663" s="2">
        <f>IF(D663="","",IF(E663="NO ENCONTRADO","CODIGO NO EXISTE",IF(COUNTIF($D$2:D663,D663)&gt;1,"DUPLICADO",IF(C663="","OK SIN PEDIDO",IF(COUNTIFS(PEDIDO_ITEMS!$A$2:$A$501,C663,PEDIDO_ITEMS!$B$2:$B$501,E663)=0,"NO PEDIDO",IF(COUNTIFS($C$2:C663,C663,$E$2:E663,E663)&gt;SUMIFS(PEDIDO_ITEMS!$C$2:$C$501,PEDIDO_ITEMS!$A$2:$A$501,C663,PEDIDO_ITEMS!$B$2:$B$501,E663),"EXCEDE PEDIDO","OK"))))))</f>
        <v/>
      </c>
    </row>
    <row r="664">
      <c r="A664" s="9" t="inlineStr"/>
      <c r="B664" s="2" t="inlineStr"/>
      <c r="C664" s="2" t="inlineStr"/>
      <c r="D664" s="2" t="inlineStr"/>
      <c r="E664" s="2">
        <f>IF(D664="","",IFERROR(XLOOKUP(TRIM(D664),INVENTARIO!$A$2:$A$2000,INVENTARIO!$B$2:$B$2000),"NO ENCONTRADO"))</f>
        <v/>
      </c>
      <c r="F664" s="2">
        <f>IF(D664="","",IFERROR(XLOOKUP(TRIM(D664),INVENTARIO!$A$2:$A$2000,INVENTARIO!$C$2:$C$2000),""))</f>
        <v/>
      </c>
      <c r="G664" s="2">
        <f>IF(D664="","",IF(E664="NO ENCONTRADO","CODIGO NO EXISTE",IF(COUNTIF($D$2:D664,D664)&gt;1,"DUPLICADO",IF(C664="","OK SIN PEDIDO",IF(COUNTIFS(PEDIDO_ITEMS!$A$2:$A$501,C664,PEDIDO_ITEMS!$B$2:$B$501,E664)=0,"NO PEDIDO",IF(COUNTIFS($C$2:C664,C664,$E$2:E664,E664)&gt;SUMIFS(PEDIDO_ITEMS!$C$2:$C$501,PEDIDO_ITEMS!$A$2:$A$501,C664,PEDIDO_ITEMS!$B$2:$B$501,E664),"EXCEDE PEDIDO","OK"))))))</f>
        <v/>
      </c>
    </row>
    <row r="665">
      <c r="A665" s="9" t="inlineStr"/>
      <c r="B665" s="2" t="inlineStr"/>
      <c r="C665" s="2" t="inlineStr"/>
      <c r="D665" s="2" t="inlineStr"/>
      <c r="E665" s="2">
        <f>IF(D665="","",IFERROR(XLOOKUP(TRIM(D665),INVENTARIO!$A$2:$A$2000,INVENTARIO!$B$2:$B$2000),"NO ENCONTRADO"))</f>
        <v/>
      </c>
      <c r="F665" s="2">
        <f>IF(D665="","",IFERROR(XLOOKUP(TRIM(D665),INVENTARIO!$A$2:$A$2000,INVENTARIO!$C$2:$C$2000),""))</f>
        <v/>
      </c>
      <c r="G665" s="2">
        <f>IF(D665="","",IF(E665="NO ENCONTRADO","CODIGO NO EXISTE",IF(COUNTIF($D$2:D665,D665)&gt;1,"DUPLICADO",IF(C665="","OK SIN PEDIDO",IF(COUNTIFS(PEDIDO_ITEMS!$A$2:$A$501,C665,PEDIDO_ITEMS!$B$2:$B$501,E665)=0,"NO PEDIDO",IF(COUNTIFS($C$2:C665,C665,$E$2:E665,E665)&gt;SUMIFS(PEDIDO_ITEMS!$C$2:$C$501,PEDIDO_ITEMS!$A$2:$A$501,C665,PEDIDO_ITEMS!$B$2:$B$501,E665),"EXCEDE PEDIDO","OK"))))))</f>
        <v/>
      </c>
    </row>
    <row r="666">
      <c r="A666" s="9" t="inlineStr"/>
      <c r="B666" s="2" t="inlineStr"/>
      <c r="C666" s="2" t="inlineStr"/>
      <c r="D666" s="2" t="inlineStr"/>
      <c r="E666" s="2">
        <f>IF(D666="","",IFERROR(XLOOKUP(TRIM(D666),INVENTARIO!$A$2:$A$2000,INVENTARIO!$B$2:$B$2000),"NO ENCONTRADO"))</f>
        <v/>
      </c>
      <c r="F666" s="2">
        <f>IF(D666="","",IFERROR(XLOOKUP(TRIM(D666),INVENTARIO!$A$2:$A$2000,INVENTARIO!$C$2:$C$2000),""))</f>
        <v/>
      </c>
      <c r="G666" s="2">
        <f>IF(D666="","",IF(E666="NO ENCONTRADO","CODIGO NO EXISTE",IF(COUNTIF($D$2:D666,D666)&gt;1,"DUPLICADO",IF(C666="","OK SIN PEDIDO",IF(COUNTIFS(PEDIDO_ITEMS!$A$2:$A$501,C666,PEDIDO_ITEMS!$B$2:$B$501,E666)=0,"NO PEDIDO",IF(COUNTIFS($C$2:C666,C666,$E$2:E666,E666)&gt;SUMIFS(PEDIDO_ITEMS!$C$2:$C$501,PEDIDO_ITEMS!$A$2:$A$501,C666,PEDIDO_ITEMS!$B$2:$B$501,E666),"EXCEDE PEDIDO","OK"))))))</f>
        <v/>
      </c>
    </row>
    <row r="667">
      <c r="A667" s="9" t="inlineStr"/>
      <c r="B667" s="2" t="inlineStr"/>
      <c r="C667" s="2" t="inlineStr"/>
      <c r="D667" s="2" t="inlineStr"/>
      <c r="E667" s="2">
        <f>IF(D667="","",IFERROR(XLOOKUP(TRIM(D667),INVENTARIO!$A$2:$A$2000,INVENTARIO!$B$2:$B$2000),"NO ENCONTRADO"))</f>
        <v/>
      </c>
      <c r="F667" s="2">
        <f>IF(D667="","",IFERROR(XLOOKUP(TRIM(D667),INVENTARIO!$A$2:$A$2000,INVENTARIO!$C$2:$C$2000),""))</f>
        <v/>
      </c>
      <c r="G667" s="2">
        <f>IF(D667="","",IF(E667="NO ENCONTRADO","CODIGO NO EXISTE",IF(COUNTIF($D$2:D667,D667)&gt;1,"DUPLICADO",IF(C667="","OK SIN PEDIDO",IF(COUNTIFS(PEDIDO_ITEMS!$A$2:$A$501,C667,PEDIDO_ITEMS!$B$2:$B$501,E667)=0,"NO PEDIDO",IF(COUNTIFS($C$2:C667,C667,$E$2:E667,E667)&gt;SUMIFS(PEDIDO_ITEMS!$C$2:$C$501,PEDIDO_ITEMS!$A$2:$A$501,C667,PEDIDO_ITEMS!$B$2:$B$501,E667),"EXCEDE PEDIDO","OK"))))))</f>
        <v/>
      </c>
    </row>
    <row r="668">
      <c r="A668" s="9" t="inlineStr"/>
      <c r="B668" s="2" t="inlineStr"/>
      <c r="C668" s="2" t="inlineStr"/>
      <c r="D668" s="2" t="inlineStr"/>
      <c r="E668" s="2">
        <f>IF(D668="","",IFERROR(XLOOKUP(TRIM(D668),INVENTARIO!$A$2:$A$2000,INVENTARIO!$B$2:$B$2000),"NO ENCONTRADO"))</f>
        <v/>
      </c>
      <c r="F668" s="2">
        <f>IF(D668="","",IFERROR(XLOOKUP(TRIM(D668),INVENTARIO!$A$2:$A$2000,INVENTARIO!$C$2:$C$2000),""))</f>
        <v/>
      </c>
      <c r="G668" s="2">
        <f>IF(D668="","",IF(E668="NO ENCONTRADO","CODIGO NO EXISTE",IF(COUNTIF($D$2:D668,D668)&gt;1,"DUPLICADO",IF(C668="","OK SIN PEDIDO",IF(COUNTIFS(PEDIDO_ITEMS!$A$2:$A$501,C668,PEDIDO_ITEMS!$B$2:$B$501,E668)=0,"NO PEDIDO",IF(COUNTIFS($C$2:C668,C668,$E$2:E668,E668)&gt;SUMIFS(PEDIDO_ITEMS!$C$2:$C$501,PEDIDO_ITEMS!$A$2:$A$501,C668,PEDIDO_ITEMS!$B$2:$B$501,E668),"EXCEDE PEDIDO","OK"))))))</f>
        <v/>
      </c>
    </row>
    <row r="669">
      <c r="A669" s="9" t="inlineStr"/>
      <c r="B669" s="2" t="inlineStr"/>
      <c r="C669" s="2" t="inlineStr"/>
      <c r="D669" s="2" t="inlineStr"/>
      <c r="E669" s="2">
        <f>IF(D669="","",IFERROR(XLOOKUP(TRIM(D669),INVENTARIO!$A$2:$A$2000,INVENTARIO!$B$2:$B$2000),"NO ENCONTRADO"))</f>
        <v/>
      </c>
      <c r="F669" s="2">
        <f>IF(D669="","",IFERROR(XLOOKUP(TRIM(D669),INVENTARIO!$A$2:$A$2000,INVENTARIO!$C$2:$C$2000),""))</f>
        <v/>
      </c>
      <c r="G669" s="2">
        <f>IF(D669="","",IF(E669="NO ENCONTRADO","CODIGO NO EXISTE",IF(COUNTIF($D$2:D669,D669)&gt;1,"DUPLICADO",IF(C669="","OK SIN PEDIDO",IF(COUNTIFS(PEDIDO_ITEMS!$A$2:$A$501,C669,PEDIDO_ITEMS!$B$2:$B$501,E669)=0,"NO PEDIDO",IF(COUNTIFS($C$2:C669,C669,$E$2:E669,E669)&gt;SUMIFS(PEDIDO_ITEMS!$C$2:$C$501,PEDIDO_ITEMS!$A$2:$A$501,C669,PEDIDO_ITEMS!$B$2:$B$501,E669),"EXCEDE PEDIDO","OK"))))))</f>
        <v/>
      </c>
    </row>
    <row r="670">
      <c r="A670" s="9" t="inlineStr"/>
      <c r="B670" s="2" t="inlineStr"/>
      <c r="C670" s="2" t="inlineStr"/>
      <c r="D670" s="2" t="inlineStr"/>
      <c r="E670" s="2">
        <f>IF(D670="","",IFERROR(XLOOKUP(TRIM(D670),INVENTARIO!$A$2:$A$2000,INVENTARIO!$B$2:$B$2000),"NO ENCONTRADO"))</f>
        <v/>
      </c>
      <c r="F670" s="2">
        <f>IF(D670="","",IFERROR(XLOOKUP(TRIM(D670),INVENTARIO!$A$2:$A$2000,INVENTARIO!$C$2:$C$2000),""))</f>
        <v/>
      </c>
      <c r="G670" s="2">
        <f>IF(D670="","",IF(E670="NO ENCONTRADO","CODIGO NO EXISTE",IF(COUNTIF($D$2:D670,D670)&gt;1,"DUPLICADO",IF(C670="","OK SIN PEDIDO",IF(COUNTIFS(PEDIDO_ITEMS!$A$2:$A$501,C670,PEDIDO_ITEMS!$B$2:$B$501,E670)=0,"NO PEDIDO",IF(COUNTIFS($C$2:C670,C670,$E$2:E670,E670)&gt;SUMIFS(PEDIDO_ITEMS!$C$2:$C$501,PEDIDO_ITEMS!$A$2:$A$501,C670,PEDIDO_ITEMS!$B$2:$B$501,E670),"EXCEDE PEDIDO","OK"))))))</f>
        <v/>
      </c>
    </row>
    <row r="671">
      <c r="A671" s="9" t="inlineStr"/>
      <c r="B671" s="2" t="inlineStr"/>
      <c r="C671" s="2" t="inlineStr"/>
      <c r="D671" s="2" t="inlineStr"/>
      <c r="E671" s="2">
        <f>IF(D671="","",IFERROR(XLOOKUP(TRIM(D671),INVENTARIO!$A$2:$A$2000,INVENTARIO!$B$2:$B$2000),"NO ENCONTRADO"))</f>
        <v/>
      </c>
      <c r="F671" s="2">
        <f>IF(D671="","",IFERROR(XLOOKUP(TRIM(D671),INVENTARIO!$A$2:$A$2000,INVENTARIO!$C$2:$C$2000),""))</f>
        <v/>
      </c>
      <c r="G671" s="2">
        <f>IF(D671="","",IF(E671="NO ENCONTRADO","CODIGO NO EXISTE",IF(COUNTIF($D$2:D671,D671)&gt;1,"DUPLICADO",IF(C671="","OK SIN PEDIDO",IF(COUNTIFS(PEDIDO_ITEMS!$A$2:$A$501,C671,PEDIDO_ITEMS!$B$2:$B$501,E671)=0,"NO PEDIDO",IF(COUNTIFS($C$2:C671,C671,$E$2:E671,E671)&gt;SUMIFS(PEDIDO_ITEMS!$C$2:$C$501,PEDIDO_ITEMS!$A$2:$A$501,C671,PEDIDO_ITEMS!$B$2:$B$501,E671),"EXCEDE PEDIDO","OK"))))))</f>
        <v/>
      </c>
    </row>
    <row r="672">
      <c r="A672" s="9" t="inlineStr"/>
      <c r="B672" s="2" t="inlineStr"/>
      <c r="C672" s="2" t="inlineStr"/>
      <c r="D672" s="2" t="inlineStr"/>
      <c r="E672" s="2">
        <f>IF(D672="","",IFERROR(XLOOKUP(TRIM(D672),INVENTARIO!$A$2:$A$2000,INVENTARIO!$B$2:$B$2000),"NO ENCONTRADO"))</f>
        <v/>
      </c>
      <c r="F672" s="2">
        <f>IF(D672="","",IFERROR(XLOOKUP(TRIM(D672),INVENTARIO!$A$2:$A$2000,INVENTARIO!$C$2:$C$2000),""))</f>
        <v/>
      </c>
      <c r="G672" s="2">
        <f>IF(D672="","",IF(E672="NO ENCONTRADO","CODIGO NO EXISTE",IF(COUNTIF($D$2:D672,D672)&gt;1,"DUPLICADO",IF(C672="","OK SIN PEDIDO",IF(COUNTIFS(PEDIDO_ITEMS!$A$2:$A$501,C672,PEDIDO_ITEMS!$B$2:$B$501,E672)=0,"NO PEDIDO",IF(COUNTIFS($C$2:C672,C672,$E$2:E672,E672)&gt;SUMIFS(PEDIDO_ITEMS!$C$2:$C$501,PEDIDO_ITEMS!$A$2:$A$501,C672,PEDIDO_ITEMS!$B$2:$B$501,E672),"EXCEDE PEDIDO","OK"))))))</f>
        <v/>
      </c>
    </row>
    <row r="673">
      <c r="A673" s="9" t="inlineStr"/>
      <c r="B673" s="2" t="inlineStr"/>
      <c r="C673" s="2" t="inlineStr"/>
      <c r="D673" s="2" t="inlineStr"/>
      <c r="E673" s="2">
        <f>IF(D673="","",IFERROR(XLOOKUP(TRIM(D673),INVENTARIO!$A$2:$A$2000,INVENTARIO!$B$2:$B$2000),"NO ENCONTRADO"))</f>
        <v/>
      </c>
      <c r="F673" s="2">
        <f>IF(D673="","",IFERROR(XLOOKUP(TRIM(D673),INVENTARIO!$A$2:$A$2000,INVENTARIO!$C$2:$C$2000),""))</f>
        <v/>
      </c>
      <c r="G673" s="2">
        <f>IF(D673="","",IF(E673="NO ENCONTRADO","CODIGO NO EXISTE",IF(COUNTIF($D$2:D673,D673)&gt;1,"DUPLICADO",IF(C673="","OK SIN PEDIDO",IF(COUNTIFS(PEDIDO_ITEMS!$A$2:$A$501,C673,PEDIDO_ITEMS!$B$2:$B$501,E673)=0,"NO PEDIDO",IF(COUNTIFS($C$2:C673,C673,$E$2:E673,E673)&gt;SUMIFS(PEDIDO_ITEMS!$C$2:$C$501,PEDIDO_ITEMS!$A$2:$A$501,C673,PEDIDO_ITEMS!$B$2:$B$501,E673),"EXCEDE PEDIDO","OK"))))))</f>
        <v/>
      </c>
    </row>
    <row r="674">
      <c r="A674" s="9" t="inlineStr"/>
      <c r="B674" s="2" t="inlineStr"/>
      <c r="C674" s="2" t="inlineStr"/>
      <c r="D674" s="2" t="inlineStr"/>
      <c r="E674" s="2">
        <f>IF(D674="","",IFERROR(XLOOKUP(TRIM(D674),INVENTARIO!$A$2:$A$2000,INVENTARIO!$B$2:$B$2000),"NO ENCONTRADO"))</f>
        <v/>
      </c>
      <c r="F674" s="2">
        <f>IF(D674="","",IFERROR(XLOOKUP(TRIM(D674),INVENTARIO!$A$2:$A$2000,INVENTARIO!$C$2:$C$2000),""))</f>
        <v/>
      </c>
      <c r="G674" s="2">
        <f>IF(D674="","",IF(E674="NO ENCONTRADO","CODIGO NO EXISTE",IF(COUNTIF($D$2:D674,D674)&gt;1,"DUPLICADO",IF(C674="","OK SIN PEDIDO",IF(COUNTIFS(PEDIDO_ITEMS!$A$2:$A$501,C674,PEDIDO_ITEMS!$B$2:$B$501,E674)=0,"NO PEDIDO",IF(COUNTIFS($C$2:C674,C674,$E$2:E674,E674)&gt;SUMIFS(PEDIDO_ITEMS!$C$2:$C$501,PEDIDO_ITEMS!$A$2:$A$501,C674,PEDIDO_ITEMS!$B$2:$B$501,E674),"EXCEDE PEDIDO","OK"))))))</f>
        <v/>
      </c>
    </row>
    <row r="675">
      <c r="A675" s="9" t="inlineStr"/>
      <c r="B675" s="2" t="inlineStr"/>
      <c r="C675" s="2" t="inlineStr"/>
      <c r="D675" s="2" t="inlineStr"/>
      <c r="E675" s="2">
        <f>IF(D675="","",IFERROR(XLOOKUP(TRIM(D675),INVENTARIO!$A$2:$A$2000,INVENTARIO!$B$2:$B$2000),"NO ENCONTRADO"))</f>
        <v/>
      </c>
      <c r="F675" s="2">
        <f>IF(D675="","",IFERROR(XLOOKUP(TRIM(D675),INVENTARIO!$A$2:$A$2000,INVENTARIO!$C$2:$C$2000),""))</f>
        <v/>
      </c>
      <c r="G675" s="2">
        <f>IF(D675="","",IF(E675="NO ENCONTRADO","CODIGO NO EXISTE",IF(COUNTIF($D$2:D675,D675)&gt;1,"DUPLICADO",IF(C675="","OK SIN PEDIDO",IF(COUNTIFS(PEDIDO_ITEMS!$A$2:$A$501,C675,PEDIDO_ITEMS!$B$2:$B$501,E675)=0,"NO PEDIDO",IF(COUNTIFS($C$2:C675,C675,$E$2:E675,E675)&gt;SUMIFS(PEDIDO_ITEMS!$C$2:$C$501,PEDIDO_ITEMS!$A$2:$A$501,C675,PEDIDO_ITEMS!$B$2:$B$501,E675),"EXCEDE PEDIDO","OK"))))))</f>
        <v/>
      </c>
    </row>
    <row r="676">
      <c r="A676" s="9" t="inlineStr"/>
      <c r="B676" s="2" t="inlineStr"/>
      <c r="C676" s="2" t="inlineStr"/>
      <c r="D676" s="2" t="inlineStr"/>
      <c r="E676" s="2">
        <f>IF(D676="","",IFERROR(XLOOKUP(TRIM(D676),INVENTARIO!$A$2:$A$2000,INVENTARIO!$B$2:$B$2000),"NO ENCONTRADO"))</f>
        <v/>
      </c>
      <c r="F676" s="2">
        <f>IF(D676="","",IFERROR(XLOOKUP(TRIM(D676),INVENTARIO!$A$2:$A$2000,INVENTARIO!$C$2:$C$2000),""))</f>
        <v/>
      </c>
      <c r="G676" s="2">
        <f>IF(D676="","",IF(E676="NO ENCONTRADO","CODIGO NO EXISTE",IF(COUNTIF($D$2:D676,D676)&gt;1,"DUPLICADO",IF(C676="","OK SIN PEDIDO",IF(COUNTIFS(PEDIDO_ITEMS!$A$2:$A$501,C676,PEDIDO_ITEMS!$B$2:$B$501,E676)=0,"NO PEDIDO",IF(COUNTIFS($C$2:C676,C676,$E$2:E676,E676)&gt;SUMIFS(PEDIDO_ITEMS!$C$2:$C$501,PEDIDO_ITEMS!$A$2:$A$501,C676,PEDIDO_ITEMS!$B$2:$B$501,E676),"EXCEDE PEDIDO","OK"))))))</f>
        <v/>
      </c>
    </row>
    <row r="677">
      <c r="A677" s="9" t="inlineStr"/>
      <c r="B677" s="2" t="inlineStr"/>
      <c r="C677" s="2" t="inlineStr"/>
      <c r="D677" s="2" t="inlineStr"/>
      <c r="E677" s="2">
        <f>IF(D677="","",IFERROR(XLOOKUP(TRIM(D677),INVENTARIO!$A$2:$A$2000,INVENTARIO!$B$2:$B$2000),"NO ENCONTRADO"))</f>
        <v/>
      </c>
      <c r="F677" s="2">
        <f>IF(D677="","",IFERROR(XLOOKUP(TRIM(D677),INVENTARIO!$A$2:$A$2000,INVENTARIO!$C$2:$C$2000),""))</f>
        <v/>
      </c>
      <c r="G677" s="2">
        <f>IF(D677="","",IF(E677="NO ENCONTRADO","CODIGO NO EXISTE",IF(COUNTIF($D$2:D677,D677)&gt;1,"DUPLICADO",IF(C677="","OK SIN PEDIDO",IF(COUNTIFS(PEDIDO_ITEMS!$A$2:$A$501,C677,PEDIDO_ITEMS!$B$2:$B$501,E677)=0,"NO PEDIDO",IF(COUNTIFS($C$2:C677,C677,$E$2:E677,E677)&gt;SUMIFS(PEDIDO_ITEMS!$C$2:$C$501,PEDIDO_ITEMS!$A$2:$A$501,C677,PEDIDO_ITEMS!$B$2:$B$501,E677),"EXCEDE PEDIDO","OK"))))))</f>
        <v/>
      </c>
    </row>
    <row r="678">
      <c r="A678" s="9" t="inlineStr"/>
      <c r="B678" s="2" t="inlineStr"/>
      <c r="C678" s="2" t="inlineStr"/>
      <c r="D678" s="2" t="inlineStr"/>
      <c r="E678" s="2">
        <f>IF(D678="","",IFERROR(XLOOKUP(TRIM(D678),INVENTARIO!$A$2:$A$2000,INVENTARIO!$B$2:$B$2000),"NO ENCONTRADO"))</f>
        <v/>
      </c>
      <c r="F678" s="2">
        <f>IF(D678="","",IFERROR(XLOOKUP(TRIM(D678),INVENTARIO!$A$2:$A$2000,INVENTARIO!$C$2:$C$2000),""))</f>
        <v/>
      </c>
      <c r="G678" s="2">
        <f>IF(D678="","",IF(E678="NO ENCONTRADO","CODIGO NO EXISTE",IF(COUNTIF($D$2:D678,D678)&gt;1,"DUPLICADO",IF(C678="","OK SIN PEDIDO",IF(COUNTIFS(PEDIDO_ITEMS!$A$2:$A$501,C678,PEDIDO_ITEMS!$B$2:$B$501,E678)=0,"NO PEDIDO",IF(COUNTIFS($C$2:C678,C678,$E$2:E678,E678)&gt;SUMIFS(PEDIDO_ITEMS!$C$2:$C$501,PEDIDO_ITEMS!$A$2:$A$501,C678,PEDIDO_ITEMS!$B$2:$B$501,E678),"EXCEDE PEDIDO","OK"))))))</f>
        <v/>
      </c>
    </row>
    <row r="679">
      <c r="A679" s="9" t="inlineStr"/>
      <c r="B679" s="2" t="inlineStr"/>
      <c r="C679" s="2" t="inlineStr"/>
      <c r="D679" s="2" t="inlineStr"/>
      <c r="E679" s="2">
        <f>IF(D679="","",IFERROR(XLOOKUP(TRIM(D679),INVENTARIO!$A$2:$A$2000,INVENTARIO!$B$2:$B$2000),"NO ENCONTRADO"))</f>
        <v/>
      </c>
      <c r="F679" s="2">
        <f>IF(D679="","",IFERROR(XLOOKUP(TRIM(D679),INVENTARIO!$A$2:$A$2000,INVENTARIO!$C$2:$C$2000),""))</f>
        <v/>
      </c>
      <c r="G679" s="2">
        <f>IF(D679="","",IF(E679="NO ENCONTRADO","CODIGO NO EXISTE",IF(COUNTIF($D$2:D679,D679)&gt;1,"DUPLICADO",IF(C679="","OK SIN PEDIDO",IF(COUNTIFS(PEDIDO_ITEMS!$A$2:$A$501,C679,PEDIDO_ITEMS!$B$2:$B$501,E679)=0,"NO PEDIDO",IF(COUNTIFS($C$2:C679,C679,$E$2:E679,E679)&gt;SUMIFS(PEDIDO_ITEMS!$C$2:$C$501,PEDIDO_ITEMS!$A$2:$A$501,C679,PEDIDO_ITEMS!$B$2:$B$501,E679),"EXCEDE PEDIDO","OK"))))))</f>
        <v/>
      </c>
    </row>
    <row r="680">
      <c r="A680" s="9" t="inlineStr"/>
      <c r="B680" s="2" t="inlineStr"/>
      <c r="C680" s="2" t="inlineStr"/>
      <c r="D680" s="2" t="inlineStr"/>
      <c r="E680" s="2">
        <f>IF(D680="","",IFERROR(XLOOKUP(TRIM(D680),INVENTARIO!$A$2:$A$2000,INVENTARIO!$B$2:$B$2000),"NO ENCONTRADO"))</f>
        <v/>
      </c>
      <c r="F680" s="2">
        <f>IF(D680="","",IFERROR(XLOOKUP(TRIM(D680),INVENTARIO!$A$2:$A$2000,INVENTARIO!$C$2:$C$2000),""))</f>
        <v/>
      </c>
      <c r="G680" s="2">
        <f>IF(D680="","",IF(E680="NO ENCONTRADO","CODIGO NO EXISTE",IF(COUNTIF($D$2:D680,D680)&gt;1,"DUPLICADO",IF(C680="","OK SIN PEDIDO",IF(COUNTIFS(PEDIDO_ITEMS!$A$2:$A$501,C680,PEDIDO_ITEMS!$B$2:$B$501,E680)=0,"NO PEDIDO",IF(COUNTIFS($C$2:C680,C680,$E$2:E680,E680)&gt;SUMIFS(PEDIDO_ITEMS!$C$2:$C$501,PEDIDO_ITEMS!$A$2:$A$501,C680,PEDIDO_ITEMS!$B$2:$B$501,E680),"EXCEDE PEDIDO","OK"))))))</f>
        <v/>
      </c>
    </row>
    <row r="681">
      <c r="A681" s="9" t="inlineStr"/>
      <c r="B681" s="2" t="inlineStr"/>
      <c r="C681" s="2" t="inlineStr"/>
      <c r="D681" s="2" t="inlineStr"/>
      <c r="E681" s="2">
        <f>IF(D681="","",IFERROR(XLOOKUP(TRIM(D681),INVENTARIO!$A$2:$A$2000,INVENTARIO!$B$2:$B$2000),"NO ENCONTRADO"))</f>
        <v/>
      </c>
      <c r="F681" s="2">
        <f>IF(D681="","",IFERROR(XLOOKUP(TRIM(D681),INVENTARIO!$A$2:$A$2000,INVENTARIO!$C$2:$C$2000),""))</f>
        <v/>
      </c>
      <c r="G681" s="2">
        <f>IF(D681="","",IF(E681="NO ENCONTRADO","CODIGO NO EXISTE",IF(COUNTIF($D$2:D681,D681)&gt;1,"DUPLICADO",IF(C681="","OK SIN PEDIDO",IF(COUNTIFS(PEDIDO_ITEMS!$A$2:$A$501,C681,PEDIDO_ITEMS!$B$2:$B$501,E681)=0,"NO PEDIDO",IF(COUNTIFS($C$2:C681,C681,$E$2:E681,E681)&gt;SUMIFS(PEDIDO_ITEMS!$C$2:$C$501,PEDIDO_ITEMS!$A$2:$A$501,C681,PEDIDO_ITEMS!$B$2:$B$501,E681),"EXCEDE PEDIDO","OK"))))))</f>
        <v/>
      </c>
    </row>
    <row r="682">
      <c r="A682" s="9" t="inlineStr"/>
      <c r="B682" s="2" t="inlineStr"/>
      <c r="C682" s="2" t="inlineStr"/>
      <c r="D682" s="2" t="inlineStr"/>
      <c r="E682" s="2">
        <f>IF(D682="","",IFERROR(XLOOKUP(TRIM(D682),INVENTARIO!$A$2:$A$2000,INVENTARIO!$B$2:$B$2000),"NO ENCONTRADO"))</f>
        <v/>
      </c>
      <c r="F682" s="2">
        <f>IF(D682="","",IFERROR(XLOOKUP(TRIM(D682),INVENTARIO!$A$2:$A$2000,INVENTARIO!$C$2:$C$2000),""))</f>
        <v/>
      </c>
      <c r="G682" s="2">
        <f>IF(D682="","",IF(E682="NO ENCONTRADO","CODIGO NO EXISTE",IF(COUNTIF($D$2:D682,D682)&gt;1,"DUPLICADO",IF(C682="","OK SIN PEDIDO",IF(COUNTIFS(PEDIDO_ITEMS!$A$2:$A$501,C682,PEDIDO_ITEMS!$B$2:$B$501,E682)=0,"NO PEDIDO",IF(COUNTIFS($C$2:C682,C682,$E$2:E682,E682)&gt;SUMIFS(PEDIDO_ITEMS!$C$2:$C$501,PEDIDO_ITEMS!$A$2:$A$501,C682,PEDIDO_ITEMS!$B$2:$B$501,E682),"EXCEDE PEDIDO","OK"))))))</f>
        <v/>
      </c>
    </row>
    <row r="683">
      <c r="A683" s="9" t="inlineStr"/>
      <c r="B683" s="2" t="inlineStr"/>
      <c r="C683" s="2" t="inlineStr"/>
      <c r="D683" s="2" t="inlineStr"/>
      <c r="E683" s="2">
        <f>IF(D683="","",IFERROR(XLOOKUP(TRIM(D683),INVENTARIO!$A$2:$A$2000,INVENTARIO!$B$2:$B$2000),"NO ENCONTRADO"))</f>
        <v/>
      </c>
      <c r="F683" s="2">
        <f>IF(D683="","",IFERROR(XLOOKUP(TRIM(D683),INVENTARIO!$A$2:$A$2000,INVENTARIO!$C$2:$C$2000),""))</f>
        <v/>
      </c>
      <c r="G683" s="2">
        <f>IF(D683="","",IF(E683="NO ENCONTRADO","CODIGO NO EXISTE",IF(COUNTIF($D$2:D683,D683)&gt;1,"DUPLICADO",IF(C683="","OK SIN PEDIDO",IF(COUNTIFS(PEDIDO_ITEMS!$A$2:$A$501,C683,PEDIDO_ITEMS!$B$2:$B$501,E683)=0,"NO PEDIDO",IF(COUNTIFS($C$2:C683,C683,$E$2:E683,E683)&gt;SUMIFS(PEDIDO_ITEMS!$C$2:$C$501,PEDIDO_ITEMS!$A$2:$A$501,C683,PEDIDO_ITEMS!$B$2:$B$501,E683),"EXCEDE PEDIDO","OK"))))))</f>
        <v/>
      </c>
    </row>
    <row r="684">
      <c r="A684" s="9" t="inlineStr"/>
      <c r="B684" s="2" t="inlineStr"/>
      <c r="C684" s="2" t="inlineStr"/>
      <c r="D684" s="2" t="inlineStr"/>
      <c r="E684" s="2">
        <f>IF(D684="","",IFERROR(XLOOKUP(TRIM(D684),INVENTARIO!$A$2:$A$2000,INVENTARIO!$B$2:$B$2000),"NO ENCONTRADO"))</f>
        <v/>
      </c>
      <c r="F684" s="2">
        <f>IF(D684="","",IFERROR(XLOOKUP(TRIM(D684),INVENTARIO!$A$2:$A$2000,INVENTARIO!$C$2:$C$2000),""))</f>
        <v/>
      </c>
      <c r="G684" s="2">
        <f>IF(D684="","",IF(E684="NO ENCONTRADO","CODIGO NO EXISTE",IF(COUNTIF($D$2:D684,D684)&gt;1,"DUPLICADO",IF(C684="","OK SIN PEDIDO",IF(COUNTIFS(PEDIDO_ITEMS!$A$2:$A$501,C684,PEDIDO_ITEMS!$B$2:$B$501,E684)=0,"NO PEDIDO",IF(COUNTIFS($C$2:C684,C684,$E$2:E684,E684)&gt;SUMIFS(PEDIDO_ITEMS!$C$2:$C$501,PEDIDO_ITEMS!$A$2:$A$501,C684,PEDIDO_ITEMS!$B$2:$B$501,E684),"EXCEDE PEDIDO","OK"))))))</f>
        <v/>
      </c>
    </row>
    <row r="685">
      <c r="A685" s="9" t="inlineStr"/>
      <c r="B685" s="2" t="inlineStr"/>
      <c r="C685" s="2" t="inlineStr"/>
      <c r="D685" s="2" t="inlineStr"/>
      <c r="E685" s="2">
        <f>IF(D685="","",IFERROR(XLOOKUP(TRIM(D685),INVENTARIO!$A$2:$A$2000,INVENTARIO!$B$2:$B$2000),"NO ENCONTRADO"))</f>
        <v/>
      </c>
      <c r="F685" s="2">
        <f>IF(D685="","",IFERROR(XLOOKUP(TRIM(D685),INVENTARIO!$A$2:$A$2000,INVENTARIO!$C$2:$C$2000),""))</f>
        <v/>
      </c>
      <c r="G685" s="2">
        <f>IF(D685="","",IF(E685="NO ENCONTRADO","CODIGO NO EXISTE",IF(COUNTIF($D$2:D685,D685)&gt;1,"DUPLICADO",IF(C685="","OK SIN PEDIDO",IF(COUNTIFS(PEDIDO_ITEMS!$A$2:$A$501,C685,PEDIDO_ITEMS!$B$2:$B$501,E685)=0,"NO PEDIDO",IF(COUNTIFS($C$2:C685,C685,$E$2:E685,E685)&gt;SUMIFS(PEDIDO_ITEMS!$C$2:$C$501,PEDIDO_ITEMS!$A$2:$A$501,C685,PEDIDO_ITEMS!$B$2:$B$501,E685),"EXCEDE PEDIDO","OK"))))))</f>
        <v/>
      </c>
    </row>
    <row r="686">
      <c r="A686" s="9" t="inlineStr"/>
      <c r="B686" s="2" t="inlineStr"/>
      <c r="C686" s="2" t="inlineStr"/>
      <c r="D686" s="2" t="inlineStr"/>
      <c r="E686" s="2">
        <f>IF(D686="","",IFERROR(XLOOKUP(TRIM(D686),INVENTARIO!$A$2:$A$2000,INVENTARIO!$B$2:$B$2000),"NO ENCONTRADO"))</f>
        <v/>
      </c>
      <c r="F686" s="2">
        <f>IF(D686="","",IFERROR(XLOOKUP(TRIM(D686),INVENTARIO!$A$2:$A$2000,INVENTARIO!$C$2:$C$2000),""))</f>
        <v/>
      </c>
      <c r="G686" s="2">
        <f>IF(D686="","",IF(E686="NO ENCONTRADO","CODIGO NO EXISTE",IF(COUNTIF($D$2:D686,D686)&gt;1,"DUPLICADO",IF(C686="","OK SIN PEDIDO",IF(COUNTIFS(PEDIDO_ITEMS!$A$2:$A$501,C686,PEDIDO_ITEMS!$B$2:$B$501,E686)=0,"NO PEDIDO",IF(COUNTIFS($C$2:C686,C686,$E$2:E686,E686)&gt;SUMIFS(PEDIDO_ITEMS!$C$2:$C$501,PEDIDO_ITEMS!$A$2:$A$501,C686,PEDIDO_ITEMS!$B$2:$B$501,E686),"EXCEDE PEDIDO","OK"))))))</f>
        <v/>
      </c>
    </row>
    <row r="687">
      <c r="A687" s="9" t="inlineStr"/>
      <c r="B687" s="2" t="inlineStr"/>
      <c r="C687" s="2" t="inlineStr"/>
      <c r="D687" s="2" t="inlineStr"/>
      <c r="E687" s="2">
        <f>IF(D687="","",IFERROR(XLOOKUP(TRIM(D687),INVENTARIO!$A$2:$A$2000,INVENTARIO!$B$2:$B$2000),"NO ENCONTRADO"))</f>
        <v/>
      </c>
      <c r="F687" s="2">
        <f>IF(D687="","",IFERROR(XLOOKUP(TRIM(D687),INVENTARIO!$A$2:$A$2000,INVENTARIO!$C$2:$C$2000),""))</f>
        <v/>
      </c>
      <c r="G687" s="2">
        <f>IF(D687="","",IF(E687="NO ENCONTRADO","CODIGO NO EXISTE",IF(COUNTIF($D$2:D687,D687)&gt;1,"DUPLICADO",IF(C687="","OK SIN PEDIDO",IF(COUNTIFS(PEDIDO_ITEMS!$A$2:$A$501,C687,PEDIDO_ITEMS!$B$2:$B$501,E687)=0,"NO PEDIDO",IF(COUNTIFS($C$2:C687,C687,$E$2:E687,E687)&gt;SUMIFS(PEDIDO_ITEMS!$C$2:$C$501,PEDIDO_ITEMS!$A$2:$A$501,C687,PEDIDO_ITEMS!$B$2:$B$501,E687),"EXCEDE PEDIDO","OK"))))))</f>
        <v/>
      </c>
    </row>
    <row r="688">
      <c r="A688" s="9" t="inlineStr"/>
      <c r="B688" s="2" t="inlineStr"/>
      <c r="C688" s="2" t="inlineStr"/>
      <c r="D688" s="2" t="inlineStr"/>
      <c r="E688" s="2">
        <f>IF(D688="","",IFERROR(XLOOKUP(TRIM(D688),INVENTARIO!$A$2:$A$2000,INVENTARIO!$B$2:$B$2000),"NO ENCONTRADO"))</f>
        <v/>
      </c>
      <c r="F688" s="2">
        <f>IF(D688="","",IFERROR(XLOOKUP(TRIM(D688),INVENTARIO!$A$2:$A$2000,INVENTARIO!$C$2:$C$2000),""))</f>
        <v/>
      </c>
      <c r="G688" s="2">
        <f>IF(D688="","",IF(E688="NO ENCONTRADO","CODIGO NO EXISTE",IF(COUNTIF($D$2:D688,D688)&gt;1,"DUPLICADO",IF(C688="","OK SIN PEDIDO",IF(COUNTIFS(PEDIDO_ITEMS!$A$2:$A$501,C688,PEDIDO_ITEMS!$B$2:$B$501,E688)=0,"NO PEDIDO",IF(COUNTIFS($C$2:C688,C688,$E$2:E688,E688)&gt;SUMIFS(PEDIDO_ITEMS!$C$2:$C$501,PEDIDO_ITEMS!$A$2:$A$501,C688,PEDIDO_ITEMS!$B$2:$B$501,E688),"EXCEDE PEDIDO","OK"))))))</f>
        <v/>
      </c>
    </row>
    <row r="689">
      <c r="A689" s="9" t="inlineStr"/>
      <c r="B689" s="2" t="inlineStr"/>
      <c r="C689" s="2" t="inlineStr"/>
      <c r="D689" s="2" t="inlineStr"/>
      <c r="E689" s="2">
        <f>IF(D689="","",IFERROR(XLOOKUP(TRIM(D689),INVENTARIO!$A$2:$A$2000,INVENTARIO!$B$2:$B$2000),"NO ENCONTRADO"))</f>
        <v/>
      </c>
      <c r="F689" s="2">
        <f>IF(D689="","",IFERROR(XLOOKUP(TRIM(D689),INVENTARIO!$A$2:$A$2000,INVENTARIO!$C$2:$C$2000),""))</f>
        <v/>
      </c>
      <c r="G689" s="2">
        <f>IF(D689="","",IF(E689="NO ENCONTRADO","CODIGO NO EXISTE",IF(COUNTIF($D$2:D689,D689)&gt;1,"DUPLICADO",IF(C689="","OK SIN PEDIDO",IF(COUNTIFS(PEDIDO_ITEMS!$A$2:$A$501,C689,PEDIDO_ITEMS!$B$2:$B$501,E689)=0,"NO PEDIDO",IF(COUNTIFS($C$2:C689,C689,$E$2:E689,E689)&gt;SUMIFS(PEDIDO_ITEMS!$C$2:$C$501,PEDIDO_ITEMS!$A$2:$A$501,C689,PEDIDO_ITEMS!$B$2:$B$501,E689),"EXCEDE PEDIDO","OK"))))))</f>
        <v/>
      </c>
    </row>
    <row r="690">
      <c r="A690" s="9" t="inlineStr"/>
      <c r="B690" s="2" t="inlineStr"/>
      <c r="C690" s="2" t="inlineStr"/>
      <c r="D690" s="2" t="inlineStr"/>
      <c r="E690" s="2">
        <f>IF(D690="","",IFERROR(XLOOKUP(TRIM(D690),INVENTARIO!$A$2:$A$2000,INVENTARIO!$B$2:$B$2000),"NO ENCONTRADO"))</f>
        <v/>
      </c>
      <c r="F690" s="2">
        <f>IF(D690="","",IFERROR(XLOOKUP(TRIM(D690),INVENTARIO!$A$2:$A$2000,INVENTARIO!$C$2:$C$2000),""))</f>
        <v/>
      </c>
      <c r="G690" s="2">
        <f>IF(D690="","",IF(E690="NO ENCONTRADO","CODIGO NO EXISTE",IF(COUNTIF($D$2:D690,D690)&gt;1,"DUPLICADO",IF(C690="","OK SIN PEDIDO",IF(COUNTIFS(PEDIDO_ITEMS!$A$2:$A$501,C690,PEDIDO_ITEMS!$B$2:$B$501,E690)=0,"NO PEDIDO",IF(COUNTIFS($C$2:C690,C690,$E$2:E690,E690)&gt;SUMIFS(PEDIDO_ITEMS!$C$2:$C$501,PEDIDO_ITEMS!$A$2:$A$501,C690,PEDIDO_ITEMS!$B$2:$B$501,E690),"EXCEDE PEDIDO","OK"))))))</f>
        <v/>
      </c>
    </row>
    <row r="691">
      <c r="A691" s="9" t="inlineStr"/>
      <c r="B691" s="2" t="inlineStr"/>
      <c r="C691" s="2" t="inlineStr"/>
      <c r="D691" s="2" t="inlineStr"/>
      <c r="E691" s="2">
        <f>IF(D691="","",IFERROR(XLOOKUP(TRIM(D691),INVENTARIO!$A$2:$A$2000,INVENTARIO!$B$2:$B$2000),"NO ENCONTRADO"))</f>
        <v/>
      </c>
      <c r="F691" s="2">
        <f>IF(D691="","",IFERROR(XLOOKUP(TRIM(D691),INVENTARIO!$A$2:$A$2000,INVENTARIO!$C$2:$C$2000),""))</f>
        <v/>
      </c>
      <c r="G691" s="2">
        <f>IF(D691="","",IF(E691="NO ENCONTRADO","CODIGO NO EXISTE",IF(COUNTIF($D$2:D691,D691)&gt;1,"DUPLICADO",IF(C691="","OK SIN PEDIDO",IF(COUNTIFS(PEDIDO_ITEMS!$A$2:$A$501,C691,PEDIDO_ITEMS!$B$2:$B$501,E691)=0,"NO PEDIDO",IF(COUNTIFS($C$2:C691,C691,$E$2:E691,E691)&gt;SUMIFS(PEDIDO_ITEMS!$C$2:$C$501,PEDIDO_ITEMS!$A$2:$A$501,C691,PEDIDO_ITEMS!$B$2:$B$501,E691),"EXCEDE PEDIDO","OK"))))))</f>
        <v/>
      </c>
    </row>
    <row r="692">
      <c r="A692" s="9" t="inlineStr"/>
      <c r="B692" s="2" t="inlineStr"/>
      <c r="C692" s="2" t="inlineStr"/>
      <c r="D692" s="2" t="inlineStr"/>
      <c r="E692" s="2">
        <f>IF(D692="","",IFERROR(XLOOKUP(TRIM(D692),INVENTARIO!$A$2:$A$2000,INVENTARIO!$B$2:$B$2000),"NO ENCONTRADO"))</f>
        <v/>
      </c>
      <c r="F692" s="2">
        <f>IF(D692="","",IFERROR(XLOOKUP(TRIM(D692),INVENTARIO!$A$2:$A$2000,INVENTARIO!$C$2:$C$2000),""))</f>
        <v/>
      </c>
      <c r="G692" s="2">
        <f>IF(D692="","",IF(E692="NO ENCONTRADO","CODIGO NO EXISTE",IF(COUNTIF($D$2:D692,D692)&gt;1,"DUPLICADO",IF(C692="","OK SIN PEDIDO",IF(COUNTIFS(PEDIDO_ITEMS!$A$2:$A$501,C692,PEDIDO_ITEMS!$B$2:$B$501,E692)=0,"NO PEDIDO",IF(COUNTIFS($C$2:C692,C692,$E$2:E692,E692)&gt;SUMIFS(PEDIDO_ITEMS!$C$2:$C$501,PEDIDO_ITEMS!$A$2:$A$501,C692,PEDIDO_ITEMS!$B$2:$B$501,E692),"EXCEDE PEDIDO","OK"))))))</f>
        <v/>
      </c>
    </row>
    <row r="693">
      <c r="A693" s="9" t="inlineStr"/>
      <c r="B693" s="2" t="inlineStr"/>
      <c r="C693" s="2" t="inlineStr"/>
      <c r="D693" s="2" t="inlineStr"/>
      <c r="E693" s="2">
        <f>IF(D693="","",IFERROR(XLOOKUP(TRIM(D693),INVENTARIO!$A$2:$A$2000,INVENTARIO!$B$2:$B$2000),"NO ENCONTRADO"))</f>
        <v/>
      </c>
      <c r="F693" s="2">
        <f>IF(D693="","",IFERROR(XLOOKUP(TRIM(D693),INVENTARIO!$A$2:$A$2000,INVENTARIO!$C$2:$C$2000),""))</f>
        <v/>
      </c>
      <c r="G693" s="2">
        <f>IF(D693="","",IF(E693="NO ENCONTRADO","CODIGO NO EXISTE",IF(COUNTIF($D$2:D693,D693)&gt;1,"DUPLICADO",IF(C693="","OK SIN PEDIDO",IF(COUNTIFS(PEDIDO_ITEMS!$A$2:$A$501,C693,PEDIDO_ITEMS!$B$2:$B$501,E693)=0,"NO PEDIDO",IF(COUNTIFS($C$2:C693,C693,$E$2:E693,E693)&gt;SUMIFS(PEDIDO_ITEMS!$C$2:$C$501,PEDIDO_ITEMS!$A$2:$A$501,C693,PEDIDO_ITEMS!$B$2:$B$501,E693),"EXCEDE PEDIDO","OK"))))))</f>
        <v/>
      </c>
    </row>
    <row r="694">
      <c r="A694" s="9" t="inlineStr"/>
      <c r="B694" s="2" t="inlineStr"/>
      <c r="C694" s="2" t="inlineStr"/>
      <c r="D694" s="2" t="inlineStr"/>
      <c r="E694" s="2">
        <f>IF(D694="","",IFERROR(XLOOKUP(TRIM(D694),INVENTARIO!$A$2:$A$2000,INVENTARIO!$B$2:$B$2000),"NO ENCONTRADO"))</f>
        <v/>
      </c>
      <c r="F694" s="2">
        <f>IF(D694="","",IFERROR(XLOOKUP(TRIM(D694),INVENTARIO!$A$2:$A$2000,INVENTARIO!$C$2:$C$2000),""))</f>
        <v/>
      </c>
      <c r="G694" s="2">
        <f>IF(D694="","",IF(E694="NO ENCONTRADO","CODIGO NO EXISTE",IF(COUNTIF($D$2:D694,D694)&gt;1,"DUPLICADO",IF(C694="","OK SIN PEDIDO",IF(COUNTIFS(PEDIDO_ITEMS!$A$2:$A$501,C694,PEDIDO_ITEMS!$B$2:$B$501,E694)=0,"NO PEDIDO",IF(COUNTIFS($C$2:C694,C694,$E$2:E694,E694)&gt;SUMIFS(PEDIDO_ITEMS!$C$2:$C$501,PEDIDO_ITEMS!$A$2:$A$501,C694,PEDIDO_ITEMS!$B$2:$B$501,E694),"EXCEDE PEDIDO","OK"))))))</f>
        <v/>
      </c>
    </row>
    <row r="695">
      <c r="A695" s="9" t="inlineStr"/>
      <c r="B695" s="2" t="inlineStr"/>
      <c r="C695" s="2" t="inlineStr"/>
      <c r="D695" s="2" t="inlineStr"/>
      <c r="E695" s="2">
        <f>IF(D695="","",IFERROR(XLOOKUP(TRIM(D695),INVENTARIO!$A$2:$A$2000,INVENTARIO!$B$2:$B$2000),"NO ENCONTRADO"))</f>
        <v/>
      </c>
      <c r="F695" s="2">
        <f>IF(D695="","",IFERROR(XLOOKUP(TRIM(D695),INVENTARIO!$A$2:$A$2000,INVENTARIO!$C$2:$C$2000),""))</f>
        <v/>
      </c>
      <c r="G695" s="2">
        <f>IF(D695="","",IF(E695="NO ENCONTRADO","CODIGO NO EXISTE",IF(COUNTIF($D$2:D695,D695)&gt;1,"DUPLICADO",IF(C695="","OK SIN PEDIDO",IF(COUNTIFS(PEDIDO_ITEMS!$A$2:$A$501,C695,PEDIDO_ITEMS!$B$2:$B$501,E695)=0,"NO PEDIDO",IF(COUNTIFS($C$2:C695,C695,$E$2:E695,E695)&gt;SUMIFS(PEDIDO_ITEMS!$C$2:$C$501,PEDIDO_ITEMS!$A$2:$A$501,C695,PEDIDO_ITEMS!$B$2:$B$501,E695),"EXCEDE PEDIDO","OK"))))))</f>
        <v/>
      </c>
    </row>
    <row r="696">
      <c r="A696" s="9" t="inlineStr"/>
      <c r="B696" s="2" t="inlineStr"/>
      <c r="C696" s="2" t="inlineStr"/>
      <c r="D696" s="2" t="inlineStr"/>
      <c r="E696" s="2">
        <f>IF(D696="","",IFERROR(XLOOKUP(TRIM(D696),INVENTARIO!$A$2:$A$2000,INVENTARIO!$B$2:$B$2000),"NO ENCONTRADO"))</f>
        <v/>
      </c>
      <c r="F696" s="2">
        <f>IF(D696="","",IFERROR(XLOOKUP(TRIM(D696),INVENTARIO!$A$2:$A$2000,INVENTARIO!$C$2:$C$2000),""))</f>
        <v/>
      </c>
      <c r="G696" s="2">
        <f>IF(D696="","",IF(E696="NO ENCONTRADO","CODIGO NO EXISTE",IF(COUNTIF($D$2:D696,D696)&gt;1,"DUPLICADO",IF(C696="","OK SIN PEDIDO",IF(COUNTIFS(PEDIDO_ITEMS!$A$2:$A$501,C696,PEDIDO_ITEMS!$B$2:$B$501,E696)=0,"NO PEDIDO",IF(COUNTIFS($C$2:C696,C696,$E$2:E696,E696)&gt;SUMIFS(PEDIDO_ITEMS!$C$2:$C$501,PEDIDO_ITEMS!$A$2:$A$501,C696,PEDIDO_ITEMS!$B$2:$B$501,E696),"EXCEDE PEDIDO","OK"))))))</f>
        <v/>
      </c>
    </row>
    <row r="697">
      <c r="A697" s="9" t="inlineStr"/>
      <c r="B697" s="2" t="inlineStr"/>
      <c r="C697" s="2" t="inlineStr"/>
      <c r="D697" s="2" t="inlineStr"/>
      <c r="E697" s="2">
        <f>IF(D697="","",IFERROR(XLOOKUP(TRIM(D697),INVENTARIO!$A$2:$A$2000,INVENTARIO!$B$2:$B$2000),"NO ENCONTRADO"))</f>
        <v/>
      </c>
      <c r="F697" s="2">
        <f>IF(D697="","",IFERROR(XLOOKUP(TRIM(D697),INVENTARIO!$A$2:$A$2000,INVENTARIO!$C$2:$C$2000),""))</f>
        <v/>
      </c>
      <c r="G697" s="2">
        <f>IF(D697="","",IF(E697="NO ENCONTRADO","CODIGO NO EXISTE",IF(COUNTIF($D$2:D697,D697)&gt;1,"DUPLICADO",IF(C697="","OK SIN PEDIDO",IF(COUNTIFS(PEDIDO_ITEMS!$A$2:$A$501,C697,PEDIDO_ITEMS!$B$2:$B$501,E697)=0,"NO PEDIDO",IF(COUNTIFS($C$2:C697,C697,$E$2:E697,E697)&gt;SUMIFS(PEDIDO_ITEMS!$C$2:$C$501,PEDIDO_ITEMS!$A$2:$A$501,C697,PEDIDO_ITEMS!$B$2:$B$501,E697),"EXCEDE PEDIDO","OK"))))))</f>
        <v/>
      </c>
    </row>
    <row r="698">
      <c r="A698" s="9" t="inlineStr"/>
      <c r="B698" s="2" t="inlineStr"/>
      <c r="C698" s="2" t="inlineStr"/>
      <c r="D698" s="2" t="inlineStr"/>
      <c r="E698" s="2">
        <f>IF(D698="","",IFERROR(XLOOKUP(TRIM(D698),INVENTARIO!$A$2:$A$2000,INVENTARIO!$B$2:$B$2000),"NO ENCONTRADO"))</f>
        <v/>
      </c>
      <c r="F698" s="2">
        <f>IF(D698="","",IFERROR(XLOOKUP(TRIM(D698),INVENTARIO!$A$2:$A$2000,INVENTARIO!$C$2:$C$2000),""))</f>
        <v/>
      </c>
      <c r="G698" s="2">
        <f>IF(D698="","",IF(E698="NO ENCONTRADO","CODIGO NO EXISTE",IF(COUNTIF($D$2:D698,D698)&gt;1,"DUPLICADO",IF(C698="","OK SIN PEDIDO",IF(COUNTIFS(PEDIDO_ITEMS!$A$2:$A$501,C698,PEDIDO_ITEMS!$B$2:$B$501,E698)=0,"NO PEDIDO",IF(COUNTIFS($C$2:C698,C698,$E$2:E698,E698)&gt;SUMIFS(PEDIDO_ITEMS!$C$2:$C$501,PEDIDO_ITEMS!$A$2:$A$501,C698,PEDIDO_ITEMS!$B$2:$B$501,E698),"EXCEDE PEDIDO","OK"))))))</f>
        <v/>
      </c>
    </row>
    <row r="699">
      <c r="A699" s="9" t="inlineStr"/>
      <c r="B699" s="2" t="inlineStr"/>
      <c r="C699" s="2" t="inlineStr"/>
      <c r="D699" s="2" t="inlineStr"/>
      <c r="E699" s="2">
        <f>IF(D699="","",IFERROR(XLOOKUP(TRIM(D699),INVENTARIO!$A$2:$A$2000,INVENTARIO!$B$2:$B$2000),"NO ENCONTRADO"))</f>
        <v/>
      </c>
      <c r="F699" s="2">
        <f>IF(D699="","",IFERROR(XLOOKUP(TRIM(D699),INVENTARIO!$A$2:$A$2000,INVENTARIO!$C$2:$C$2000),""))</f>
        <v/>
      </c>
      <c r="G699" s="2">
        <f>IF(D699="","",IF(E699="NO ENCONTRADO","CODIGO NO EXISTE",IF(COUNTIF($D$2:D699,D699)&gt;1,"DUPLICADO",IF(C699="","OK SIN PEDIDO",IF(COUNTIFS(PEDIDO_ITEMS!$A$2:$A$501,C699,PEDIDO_ITEMS!$B$2:$B$501,E699)=0,"NO PEDIDO",IF(COUNTIFS($C$2:C699,C699,$E$2:E699,E699)&gt;SUMIFS(PEDIDO_ITEMS!$C$2:$C$501,PEDIDO_ITEMS!$A$2:$A$501,C699,PEDIDO_ITEMS!$B$2:$B$501,E699),"EXCEDE PEDIDO","OK"))))))</f>
        <v/>
      </c>
    </row>
    <row r="700">
      <c r="A700" s="9" t="inlineStr"/>
      <c r="B700" s="2" t="inlineStr"/>
      <c r="C700" s="2" t="inlineStr"/>
      <c r="D700" s="2" t="inlineStr"/>
      <c r="E700" s="2">
        <f>IF(D700="","",IFERROR(XLOOKUP(TRIM(D700),INVENTARIO!$A$2:$A$2000,INVENTARIO!$B$2:$B$2000),"NO ENCONTRADO"))</f>
        <v/>
      </c>
      <c r="F700" s="2">
        <f>IF(D700="","",IFERROR(XLOOKUP(TRIM(D700),INVENTARIO!$A$2:$A$2000,INVENTARIO!$C$2:$C$2000),""))</f>
        <v/>
      </c>
      <c r="G700" s="2">
        <f>IF(D700="","",IF(E700="NO ENCONTRADO","CODIGO NO EXISTE",IF(COUNTIF($D$2:D700,D700)&gt;1,"DUPLICADO",IF(C700="","OK SIN PEDIDO",IF(COUNTIFS(PEDIDO_ITEMS!$A$2:$A$501,C700,PEDIDO_ITEMS!$B$2:$B$501,E700)=0,"NO PEDIDO",IF(COUNTIFS($C$2:C700,C700,$E$2:E700,E700)&gt;SUMIFS(PEDIDO_ITEMS!$C$2:$C$501,PEDIDO_ITEMS!$A$2:$A$501,C700,PEDIDO_ITEMS!$B$2:$B$501,E700),"EXCEDE PEDIDO","OK"))))))</f>
        <v/>
      </c>
    </row>
    <row r="701">
      <c r="A701" s="9" t="inlineStr"/>
      <c r="B701" s="2" t="inlineStr"/>
      <c r="C701" s="2" t="inlineStr"/>
      <c r="D701" s="2" t="inlineStr"/>
      <c r="E701" s="2">
        <f>IF(D701="","",IFERROR(XLOOKUP(TRIM(D701),INVENTARIO!$A$2:$A$2000,INVENTARIO!$B$2:$B$2000),"NO ENCONTRADO"))</f>
        <v/>
      </c>
      <c r="F701" s="2">
        <f>IF(D701="","",IFERROR(XLOOKUP(TRIM(D701),INVENTARIO!$A$2:$A$2000,INVENTARIO!$C$2:$C$2000),""))</f>
        <v/>
      </c>
      <c r="G701" s="2">
        <f>IF(D701="","",IF(E701="NO ENCONTRADO","CODIGO NO EXISTE",IF(COUNTIF($D$2:D701,D701)&gt;1,"DUPLICADO",IF(C701="","OK SIN PEDIDO",IF(COUNTIFS(PEDIDO_ITEMS!$A$2:$A$501,C701,PEDIDO_ITEMS!$B$2:$B$501,E701)=0,"NO PEDIDO",IF(COUNTIFS($C$2:C701,C701,$E$2:E701,E701)&gt;SUMIFS(PEDIDO_ITEMS!$C$2:$C$501,PEDIDO_ITEMS!$A$2:$A$501,C701,PEDIDO_ITEMS!$B$2:$B$501,E701),"EXCEDE PEDIDO","OK"))))))</f>
        <v/>
      </c>
    </row>
    <row r="702">
      <c r="A702" s="9" t="inlineStr"/>
      <c r="B702" s="2" t="inlineStr"/>
      <c r="C702" s="2" t="inlineStr"/>
      <c r="D702" s="2" t="inlineStr"/>
      <c r="E702" s="2">
        <f>IF(D702="","",IFERROR(XLOOKUP(TRIM(D702),INVENTARIO!$A$2:$A$2000,INVENTARIO!$B$2:$B$2000),"NO ENCONTRADO"))</f>
        <v/>
      </c>
      <c r="F702" s="2">
        <f>IF(D702="","",IFERROR(XLOOKUP(TRIM(D702),INVENTARIO!$A$2:$A$2000,INVENTARIO!$C$2:$C$2000),""))</f>
        <v/>
      </c>
      <c r="G702" s="2">
        <f>IF(D702="","",IF(E702="NO ENCONTRADO","CODIGO NO EXISTE",IF(COUNTIF($D$2:D702,D702)&gt;1,"DUPLICADO",IF(C702="","OK SIN PEDIDO",IF(COUNTIFS(PEDIDO_ITEMS!$A$2:$A$501,C702,PEDIDO_ITEMS!$B$2:$B$501,E702)=0,"NO PEDIDO",IF(COUNTIFS($C$2:C702,C702,$E$2:E702,E702)&gt;SUMIFS(PEDIDO_ITEMS!$C$2:$C$501,PEDIDO_ITEMS!$A$2:$A$501,C702,PEDIDO_ITEMS!$B$2:$B$501,E702),"EXCEDE PEDIDO","OK"))))))</f>
        <v/>
      </c>
    </row>
    <row r="703">
      <c r="A703" s="9" t="inlineStr"/>
      <c r="B703" s="2" t="inlineStr"/>
      <c r="C703" s="2" t="inlineStr"/>
      <c r="D703" s="2" t="inlineStr"/>
      <c r="E703" s="2">
        <f>IF(D703="","",IFERROR(XLOOKUP(TRIM(D703),INVENTARIO!$A$2:$A$2000,INVENTARIO!$B$2:$B$2000),"NO ENCONTRADO"))</f>
        <v/>
      </c>
      <c r="F703" s="2">
        <f>IF(D703="","",IFERROR(XLOOKUP(TRIM(D703),INVENTARIO!$A$2:$A$2000,INVENTARIO!$C$2:$C$2000),""))</f>
        <v/>
      </c>
      <c r="G703" s="2">
        <f>IF(D703="","",IF(E703="NO ENCONTRADO","CODIGO NO EXISTE",IF(COUNTIF($D$2:D703,D703)&gt;1,"DUPLICADO",IF(C703="","OK SIN PEDIDO",IF(COUNTIFS(PEDIDO_ITEMS!$A$2:$A$501,C703,PEDIDO_ITEMS!$B$2:$B$501,E703)=0,"NO PEDIDO",IF(COUNTIFS($C$2:C703,C703,$E$2:E703,E703)&gt;SUMIFS(PEDIDO_ITEMS!$C$2:$C$501,PEDIDO_ITEMS!$A$2:$A$501,C703,PEDIDO_ITEMS!$B$2:$B$501,E703),"EXCEDE PEDIDO","OK"))))))</f>
        <v/>
      </c>
    </row>
    <row r="704">
      <c r="A704" s="9" t="inlineStr"/>
      <c r="B704" s="2" t="inlineStr"/>
      <c r="C704" s="2" t="inlineStr"/>
      <c r="D704" s="2" t="inlineStr"/>
      <c r="E704" s="2">
        <f>IF(D704="","",IFERROR(XLOOKUP(TRIM(D704),INVENTARIO!$A$2:$A$2000,INVENTARIO!$B$2:$B$2000),"NO ENCONTRADO"))</f>
        <v/>
      </c>
      <c r="F704" s="2">
        <f>IF(D704="","",IFERROR(XLOOKUP(TRIM(D704),INVENTARIO!$A$2:$A$2000,INVENTARIO!$C$2:$C$2000),""))</f>
        <v/>
      </c>
      <c r="G704" s="2">
        <f>IF(D704="","",IF(E704="NO ENCONTRADO","CODIGO NO EXISTE",IF(COUNTIF($D$2:D704,D704)&gt;1,"DUPLICADO",IF(C704="","OK SIN PEDIDO",IF(COUNTIFS(PEDIDO_ITEMS!$A$2:$A$501,C704,PEDIDO_ITEMS!$B$2:$B$501,E704)=0,"NO PEDIDO",IF(COUNTIFS($C$2:C704,C704,$E$2:E704,E704)&gt;SUMIFS(PEDIDO_ITEMS!$C$2:$C$501,PEDIDO_ITEMS!$A$2:$A$501,C704,PEDIDO_ITEMS!$B$2:$B$501,E704),"EXCEDE PEDIDO","OK"))))))</f>
        <v/>
      </c>
    </row>
    <row r="705">
      <c r="A705" s="9" t="inlineStr"/>
      <c r="B705" s="2" t="inlineStr"/>
      <c r="C705" s="2" t="inlineStr"/>
      <c r="D705" s="2" t="inlineStr"/>
      <c r="E705" s="2">
        <f>IF(D705="","",IFERROR(XLOOKUP(TRIM(D705),INVENTARIO!$A$2:$A$2000,INVENTARIO!$B$2:$B$2000),"NO ENCONTRADO"))</f>
        <v/>
      </c>
      <c r="F705" s="2">
        <f>IF(D705="","",IFERROR(XLOOKUP(TRIM(D705),INVENTARIO!$A$2:$A$2000,INVENTARIO!$C$2:$C$2000),""))</f>
        <v/>
      </c>
      <c r="G705" s="2">
        <f>IF(D705="","",IF(E705="NO ENCONTRADO","CODIGO NO EXISTE",IF(COUNTIF($D$2:D705,D705)&gt;1,"DUPLICADO",IF(C705="","OK SIN PEDIDO",IF(COUNTIFS(PEDIDO_ITEMS!$A$2:$A$501,C705,PEDIDO_ITEMS!$B$2:$B$501,E705)=0,"NO PEDIDO",IF(COUNTIFS($C$2:C705,C705,$E$2:E705,E705)&gt;SUMIFS(PEDIDO_ITEMS!$C$2:$C$501,PEDIDO_ITEMS!$A$2:$A$501,C705,PEDIDO_ITEMS!$B$2:$B$501,E705),"EXCEDE PEDIDO","OK"))))))</f>
        <v/>
      </c>
    </row>
    <row r="706">
      <c r="A706" s="9" t="inlineStr"/>
      <c r="B706" s="2" t="inlineStr"/>
      <c r="C706" s="2" t="inlineStr"/>
      <c r="D706" s="2" t="inlineStr"/>
      <c r="E706" s="2">
        <f>IF(D706="","",IFERROR(XLOOKUP(TRIM(D706),INVENTARIO!$A$2:$A$2000,INVENTARIO!$B$2:$B$2000),"NO ENCONTRADO"))</f>
        <v/>
      </c>
      <c r="F706" s="2">
        <f>IF(D706="","",IFERROR(XLOOKUP(TRIM(D706),INVENTARIO!$A$2:$A$2000,INVENTARIO!$C$2:$C$2000),""))</f>
        <v/>
      </c>
      <c r="G706" s="2">
        <f>IF(D706="","",IF(E706="NO ENCONTRADO","CODIGO NO EXISTE",IF(COUNTIF($D$2:D706,D706)&gt;1,"DUPLICADO",IF(C706="","OK SIN PEDIDO",IF(COUNTIFS(PEDIDO_ITEMS!$A$2:$A$501,C706,PEDIDO_ITEMS!$B$2:$B$501,E706)=0,"NO PEDIDO",IF(COUNTIFS($C$2:C706,C706,$E$2:E706,E706)&gt;SUMIFS(PEDIDO_ITEMS!$C$2:$C$501,PEDIDO_ITEMS!$A$2:$A$501,C706,PEDIDO_ITEMS!$B$2:$B$501,E706),"EXCEDE PEDIDO","OK"))))))</f>
        <v/>
      </c>
    </row>
    <row r="707">
      <c r="A707" s="9" t="inlineStr"/>
      <c r="B707" s="2" t="inlineStr"/>
      <c r="C707" s="2" t="inlineStr"/>
      <c r="D707" s="2" t="inlineStr"/>
      <c r="E707" s="2">
        <f>IF(D707="","",IFERROR(XLOOKUP(TRIM(D707),INVENTARIO!$A$2:$A$2000,INVENTARIO!$B$2:$B$2000),"NO ENCONTRADO"))</f>
        <v/>
      </c>
      <c r="F707" s="2">
        <f>IF(D707="","",IFERROR(XLOOKUP(TRIM(D707),INVENTARIO!$A$2:$A$2000,INVENTARIO!$C$2:$C$2000),""))</f>
        <v/>
      </c>
      <c r="G707" s="2">
        <f>IF(D707="","",IF(E707="NO ENCONTRADO","CODIGO NO EXISTE",IF(COUNTIF($D$2:D707,D707)&gt;1,"DUPLICADO",IF(C707="","OK SIN PEDIDO",IF(COUNTIFS(PEDIDO_ITEMS!$A$2:$A$501,C707,PEDIDO_ITEMS!$B$2:$B$501,E707)=0,"NO PEDIDO",IF(COUNTIFS($C$2:C707,C707,$E$2:E707,E707)&gt;SUMIFS(PEDIDO_ITEMS!$C$2:$C$501,PEDIDO_ITEMS!$A$2:$A$501,C707,PEDIDO_ITEMS!$B$2:$B$501,E707),"EXCEDE PEDIDO","OK"))))))</f>
        <v/>
      </c>
    </row>
    <row r="708">
      <c r="A708" s="9" t="inlineStr"/>
      <c r="B708" s="2" t="inlineStr"/>
      <c r="C708" s="2" t="inlineStr"/>
      <c r="D708" s="2" t="inlineStr"/>
      <c r="E708" s="2">
        <f>IF(D708="","",IFERROR(XLOOKUP(TRIM(D708),INVENTARIO!$A$2:$A$2000,INVENTARIO!$B$2:$B$2000),"NO ENCONTRADO"))</f>
        <v/>
      </c>
      <c r="F708" s="2">
        <f>IF(D708="","",IFERROR(XLOOKUP(TRIM(D708),INVENTARIO!$A$2:$A$2000,INVENTARIO!$C$2:$C$2000),""))</f>
        <v/>
      </c>
      <c r="G708" s="2">
        <f>IF(D708="","",IF(E708="NO ENCONTRADO","CODIGO NO EXISTE",IF(COUNTIF($D$2:D708,D708)&gt;1,"DUPLICADO",IF(C708="","OK SIN PEDIDO",IF(COUNTIFS(PEDIDO_ITEMS!$A$2:$A$501,C708,PEDIDO_ITEMS!$B$2:$B$501,E708)=0,"NO PEDIDO",IF(COUNTIFS($C$2:C708,C708,$E$2:E708,E708)&gt;SUMIFS(PEDIDO_ITEMS!$C$2:$C$501,PEDIDO_ITEMS!$A$2:$A$501,C708,PEDIDO_ITEMS!$B$2:$B$501,E708),"EXCEDE PEDIDO","OK"))))))</f>
        <v/>
      </c>
    </row>
    <row r="709">
      <c r="A709" s="9" t="inlineStr"/>
      <c r="B709" s="2" t="inlineStr"/>
      <c r="C709" s="2" t="inlineStr"/>
      <c r="D709" s="2" t="inlineStr"/>
      <c r="E709" s="2">
        <f>IF(D709="","",IFERROR(XLOOKUP(TRIM(D709),INVENTARIO!$A$2:$A$2000,INVENTARIO!$B$2:$B$2000),"NO ENCONTRADO"))</f>
        <v/>
      </c>
      <c r="F709" s="2">
        <f>IF(D709="","",IFERROR(XLOOKUP(TRIM(D709),INVENTARIO!$A$2:$A$2000,INVENTARIO!$C$2:$C$2000),""))</f>
        <v/>
      </c>
      <c r="G709" s="2">
        <f>IF(D709="","",IF(E709="NO ENCONTRADO","CODIGO NO EXISTE",IF(COUNTIF($D$2:D709,D709)&gt;1,"DUPLICADO",IF(C709="","OK SIN PEDIDO",IF(COUNTIFS(PEDIDO_ITEMS!$A$2:$A$501,C709,PEDIDO_ITEMS!$B$2:$B$501,E709)=0,"NO PEDIDO",IF(COUNTIFS($C$2:C709,C709,$E$2:E709,E709)&gt;SUMIFS(PEDIDO_ITEMS!$C$2:$C$501,PEDIDO_ITEMS!$A$2:$A$501,C709,PEDIDO_ITEMS!$B$2:$B$501,E709),"EXCEDE PEDIDO","OK"))))))</f>
        <v/>
      </c>
    </row>
    <row r="710">
      <c r="A710" s="9" t="inlineStr"/>
      <c r="B710" s="2" t="inlineStr"/>
      <c r="C710" s="2" t="inlineStr"/>
      <c r="D710" s="2" t="inlineStr"/>
      <c r="E710" s="2">
        <f>IF(D710="","",IFERROR(XLOOKUP(TRIM(D710),INVENTARIO!$A$2:$A$2000,INVENTARIO!$B$2:$B$2000),"NO ENCONTRADO"))</f>
        <v/>
      </c>
      <c r="F710" s="2">
        <f>IF(D710="","",IFERROR(XLOOKUP(TRIM(D710),INVENTARIO!$A$2:$A$2000,INVENTARIO!$C$2:$C$2000),""))</f>
        <v/>
      </c>
      <c r="G710" s="2">
        <f>IF(D710="","",IF(E710="NO ENCONTRADO","CODIGO NO EXISTE",IF(COUNTIF($D$2:D710,D710)&gt;1,"DUPLICADO",IF(C710="","OK SIN PEDIDO",IF(COUNTIFS(PEDIDO_ITEMS!$A$2:$A$501,C710,PEDIDO_ITEMS!$B$2:$B$501,E710)=0,"NO PEDIDO",IF(COUNTIFS($C$2:C710,C710,$E$2:E710,E710)&gt;SUMIFS(PEDIDO_ITEMS!$C$2:$C$501,PEDIDO_ITEMS!$A$2:$A$501,C710,PEDIDO_ITEMS!$B$2:$B$501,E710),"EXCEDE PEDIDO","OK"))))))</f>
        <v/>
      </c>
    </row>
    <row r="711">
      <c r="A711" s="9" t="inlineStr"/>
      <c r="B711" s="2" t="inlineStr"/>
      <c r="C711" s="2" t="inlineStr"/>
      <c r="D711" s="2" t="inlineStr"/>
      <c r="E711" s="2">
        <f>IF(D711="","",IFERROR(XLOOKUP(TRIM(D711),INVENTARIO!$A$2:$A$2000,INVENTARIO!$B$2:$B$2000),"NO ENCONTRADO"))</f>
        <v/>
      </c>
      <c r="F711" s="2">
        <f>IF(D711="","",IFERROR(XLOOKUP(TRIM(D711),INVENTARIO!$A$2:$A$2000,INVENTARIO!$C$2:$C$2000),""))</f>
        <v/>
      </c>
      <c r="G711" s="2">
        <f>IF(D711="","",IF(E711="NO ENCONTRADO","CODIGO NO EXISTE",IF(COUNTIF($D$2:D711,D711)&gt;1,"DUPLICADO",IF(C711="","OK SIN PEDIDO",IF(COUNTIFS(PEDIDO_ITEMS!$A$2:$A$501,C711,PEDIDO_ITEMS!$B$2:$B$501,E711)=0,"NO PEDIDO",IF(COUNTIFS($C$2:C711,C711,$E$2:E711,E711)&gt;SUMIFS(PEDIDO_ITEMS!$C$2:$C$501,PEDIDO_ITEMS!$A$2:$A$501,C711,PEDIDO_ITEMS!$B$2:$B$501,E711),"EXCEDE PEDIDO","OK"))))))</f>
        <v/>
      </c>
    </row>
    <row r="712">
      <c r="A712" s="9" t="inlineStr"/>
      <c r="B712" s="2" t="inlineStr"/>
      <c r="C712" s="2" t="inlineStr"/>
      <c r="D712" s="2" t="inlineStr"/>
      <c r="E712" s="2">
        <f>IF(D712="","",IFERROR(XLOOKUP(TRIM(D712),INVENTARIO!$A$2:$A$2000,INVENTARIO!$B$2:$B$2000),"NO ENCONTRADO"))</f>
        <v/>
      </c>
      <c r="F712" s="2">
        <f>IF(D712="","",IFERROR(XLOOKUP(TRIM(D712),INVENTARIO!$A$2:$A$2000,INVENTARIO!$C$2:$C$2000),""))</f>
        <v/>
      </c>
      <c r="G712" s="2">
        <f>IF(D712="","",IF(E712="NO ENCONTRADO","CODIGO NO EXISTE",IF(COUNTIF($D$2:D712,D712)&gt;1,"DUPLICADO",IF(C712="","OK SIN PEDIDO",IF(COUNTIFS(PEDIDO_ITEMS!$A$2:$A$501,C712,PEDIDO_ITEMS!$B$2:$B$501,E712)=0,"NO PEDIDO",IF(COUNTIFS($C$2:C712,C712,$E$2:E712,E712)&gt;SUMIFS(PEDIDO_ITEMS!$C$2:$C$501,PEDIDO_ITEMS!$A$2:$A$501,C712,PEDIDO_ITEMS!$B$2:$B$501,E712),"EXCEDE PEDIDO","OK"))))))</f>
        <v/>
      </c>
    </row>
    <row r="713">
      <c r="A713" s="9" t="inlineStr"/>
      <c r="B713" s="2" t="inlineStr"/>
      <c r="C713" s="2" t="inlineStr"/>
      <c r="D713" s="2" t="inlineStr"/>
      <c r="E713" s="2">
        <f>IF(D713="","",IFERROR(XLOOKUP(TRIM(D713),INVENTARIO!$A$2:$A$2000,INVENTARIO!$B$2:$B$2000),"NO ENCONTRADO"))</f>
        <v/>
      </c>
      <c r="F713" s="2">
        <f>IF(D713="","",IFERROR(XLOOKUP(TRIM(D713),INVENTARIO!$A$2:$A$2000,INVENTARIO!$C$2:$C$2000),""))</f>
        <v/>
      </c>
      <c r="G713" s="2">
        <f>IF(D713="","",IF(E713="NO ENCONTRADO","CODIGO NO EXISTE",IF(COUNTIF($D$2:D713,D713)&gt;1,"DUPLICADO",IF(C713="","OK SIN PEDIDO",IF(COUNTIFS(PEDIDO_ITEMS!$A$2:$A$501,C713,PEDIDO_ITEMS!$B$2:$B$501,E713)=0,"NO PEDIDO",IF(COUNTIFS($C$2:C713,C713,$E$2:E713,E713)&gt;SUMIFS(PEDIDO_ITEMS!$C$2:$C$501,PEDIDO_ITEMS!$A$2:$A$501,C713,PEDIDO_ITEMS!$B$2:$B$501,E713),"EXCEDE PEDIDO","OK"))))))</f>
        <v/>
      </c>
    </row>
    <row r="714">
      <c r="A714" s="9" t="inlineStr"/>
      <c r="B714" s="2" t="inlineStr"/>
      <c r="C714" s="2" t="inlineStr"/>
      <c r="D714" s="2" t="inlineStr"/>
      <c r="E714" s="2">
        <f>IF(D714="","",IFERROR(XLOOKUP(TRIM(D714),INVENTARIO!$A$2:$A$2000,INVENTARIO!$B$2:$B$2000),"NO ENCONTRADO"))</f>
        <v/>
      </c>
      <c r="F714" s="2">
        <f>IF(D714="","",IFERROR(XLOOKUP(TRIM(D714),INVENTARIO!$A$2:$A$2000,INVENTARIO!$C$2:$C$2000),""))</f>
        <v/>
      </c>
      <c r="G714" s="2">
        <f>IF(D714="","",IF(E714="NO ENCONTRADO","CODIGO NO EXISTE",IF(COUNTIF($D$2:D714,D714)&gt;1,"DUPLICADO",IF(C714="","OK SIN PEDIDO",IF(COUNTIFS(PEDIDO_ITEMS!$A$2:$A$501,C714,PEDIDO_ITEMS!$B$2:$B$501,E714)=0,"NO PEDIDO",IF(COUNTIFS($C$2:C714,C714,$E$2:E714,E714)&gt;SUMIFS(PEDIDO_ITEMS!$C$2:$C$501,PEDIDO_ITEMS!$A$2:$A$501,C714,PEDIDO_ITEMS!$B$2:$B$501,E714),"EXCEDE PEDIDO","OK"))))))</f>
        <v/>
      </c>
    </row>
    <row r="715">
      <c r="A715" s="9" t="inlineStr"/>
      <c r="B715" s="2" t="inlineStr"/>
      <c r="C715" s="2" t="inlineStr"/>
      <c r="D715" s="2" t="inlineStr"/>
      <c r="E715" s="2">
        <f>IF(D715="","",IFERROR(XLOOKUP(TRIM(D715),INVENTARIO!$A$2:$A$2000,INVENTARIO!$B$2:$B$2000),"NO ENCONTRADO"))</f>
        <v/>
      </c>
      <c r="F715" s="2">
        <f>IF(D715="","",IFERROR(XLOOKUP(TRIM(D715),INVENTARIO!$A$2:$A$2000,INVENTARIO!$C$2:$C$2000),""))</f>
        <v/>
      </c>
      <c r="G715" s="2">
        <f>IF(D715="","",IF(E715="NO ENCONTRADO","CODIGO NO EXISTE",IF(COUNTIF($D$2:D715,D715)&gt;1,"DUPLICADO",IF(C715="","OK SIN PEDIDO",IF(COUNTIFS(PEDIDO_ITEMS!$A$2:$A$501,C715,PEDIDO_ITEMS!$B$2:$B$501,E715)=0,"NO PEDIDO",IF(COUNTIFS($C$2:C715,C715,$E$2:E715,E715)&gt;SUMIFS(PEDIDO_ITEMS!$C$2:$C$501,PEDIDO_ITEMS!$A$2:$A$501,C715,PEDIDO_ITEMS!$B$2:$B$501,E715),"EXCEDE PEDIDO","OK"))))))</f>
        <v/>
      </c>
    </row>
    <row r="716">
      <c r="A716" s="9" t="inlineStr"/>
      <c r="B716" s="2" t="inlineStr"/>
      <c r="C716" s="2" t="inlineStr"/>
      <c r="D716" s="2" t="inlineStr"/>
      <c r="E716" s="2">
        <f>IF(D716="","",IFERROR(XLOOKUP(TRIM(D716),INVENTARIO!$A$2:$A$2000,INVENTARIO!$B$2:$B$2000),"NO ENCONTRADO"))</f>
        <v/>
      </c>
      <c r="F716" s="2">
        <f>IF(D716="","",IFERROR(XLOOKUP(TRIM(D716),INVENTARIO!$A$2:$A$2000,INVENTARIO!$C$2:$C$2000),""))</f>
        <v/>
      </c>
      <c r="G716" s="2">
        <f>IF(D716="","",IF(E716="NO ENCONTRADO","CODIGO NO EXISTE",IF(COUNTIF($D$2:D716,D716)&gt;1,"DUPLICADO",IF(C716="","OK SIN PEDIDO",IF(COUNTIFS(PEDIDO_ITEMS!$A$2:$A$501,C716,PEDIDO_ITEMS!$B$2:$B$501,E716)=0,"NO PEDIDO",IF(COUNTIFS($C$2:C716,C716,$E$2:E716,E716)&gt;SUMIFS(PEDIDO_ITEMS!$C$2:$C$501,PEDIDO_ITEMS!$A$2:$A$501,C716,PEDIDO_ITEMS!$B$2:$B$501,E716),"EXCEDE PEDIDO","OK"))))))</f>
        <v/>
      </c>
    </row>
    <row r="717">
      <c r="A717" s="9" t="inlineStr"/>
      <c r="B717" s="2" t="inlineStr"/>
      <c r="C717" s="2" t="inlineStr"/>
      <c r="D717" s="2" t="inlineStr"/>
      <c r="E717" s="2">
        <f>IF(D717="","",IFERROR(XLOOKUP(TRIM(D717),INVENTARIO!$A$2:$A$2000,INVENTARIO!$B$2:$B$2000),"NO ENCONTRADO"))</f>
        <v/>
      </c>
      <c r="F717" s="2">
        <f>IF(D717="","",IFERROR(XLOOKUP(TRIM(D717),INVENTARIO!$A$2:$A$2000,INVENTARIO!$C$2:$C$2000),""))</f>
        <v/>
      </c>
      <c r="G717" s="2">
        <f>IF(D717="","",IF(E717="NO ENCONTRADO","CODIGO NO EXISTE",IF(COUNTIF($D$2:D717,D717)&gt;1,"DUPLICADO",IF(C717="","OK SIN PEDIDO",IF(COUNTIFS(PEDIDO_ITEMS!$A$2:$A$501,C717,PEDIDO_ITEMS!$B$2:$B$501,E717)=0,"NO PEDIDO",IF(COUNTIFS($C$2:C717,C717,$E$2:E717,E717)&gt;SUMIFS(PEDIDO_ITEMS!$C$2:$C$501,PEDIDO_ITEMS!$A$2:$A$501,C717,PEDIDO_ITEMS!$B$2:$B$501,E717),"EXCEDE PEDIDO","OK"))))))</f>
        <v/>
      </c>
    </row>
    <row r="718">
      <c r="A718" s="9" t="inlineStr"/>
      <c r="B718" s="2" t="inlineStr"/>
      <c r="C718" s="2" t="inlineStr"/>
      <c r="D718" s="2" t="inlineStr"/>
      <c r="E718" s="2">
        <f>IF(D718="","",IFERROR(XLOOKUP(TRIM(D718),INVENTARIO!$A$2:$A$2000,INVENTARIO!$B$2:$B$2000),"NO ENCONTRADO"))</f>
        <v/>
      </c>
      <c r="F718" s="2">
        <f>IF(D718="","",IFERROR(XLOOKUP(TRIM(D718),INVENTARIO!$A$2:$A$2000,INVENTARIO!$C$2:$C$2000),""))</f>
        <v/>
      </c>
      <c r="G718" s="2">
        <f>IF(D718="","",IF(E718="NO ENCONTRADO","CODIGO NO EXISTE",IF(COUNTIF($D$2:D718,D718)&gt;1,"DUPLICADO",IF(C718="","OK SIN PEDIDO",IF(COUNTIFS(PEDIDO_ITEMS!$A$2:$A$501,C718,PEDIDO_ITEMS!$B$2:$B$501,E718)=0,"NO PEDIDO",IF(COUNTIFS($C$2:C718,C718,$E$2:E718,E718)&gt;SUMIFS(PEDIDO_ITEMS!$C$2:$C$501,PEDIDO_ITEMS!$A$2:$A$501,C718,PEDIDO_ITEMS!$B$2:$B$501,E718),"EXCEDE PEDIDO","OK"))))))</f>
        <v/>
      </c>
    </row>
    <row r="719">
      <c r="A719" s="9" t="inlineStr"/>
      <c r="B719" s="2" t="inlineStr"/>
      <c r="C719" s="2" t="inlineStr"/>
      <c r="D719" s="2" t="inlineStr"/>
      <c r="E719" s="2">
        <f>IF(D719="","",IFERROR(XLOOKUP(TRIM(D719),INVENTARIO!$A$2:$A$2000,INVENTARIO!$B$2:$B$2000),"NO ENCONTRADO"))</f>
        <v/>
      </c>
      <c r="F719" s="2">
        <f>IF(D719="","",IFERROR(XLOOKUP(TRIM(D719),INVENTARIO!$A$2:$A$2000,INVENTARIO!$C$2:$C$2000),""))</f>
        <v/>
      </c>
      <c r="G719" s="2">
        <f>IF(D719="","",IF(E719="NO ENCONTRADO","CODIGO NO EXISTE",IF(COUNTIF($D$2:D719,D719)&gt;1,"DUPLICADO",IF(C719="","OK SIN PEDIDO",IF(COUNTIFS(PEDIDO_ITEMS!$A$2:$A$501,C719,PEDIDO_ITEMS!$B$2:$B$501,E719)=0,"NO PEDIDO",IF(COUNTIFS($C$2:C719,C719,$E$2:E719,E719)&gt;SUMIFS(PEDIDO_ITEMS!$C$2:$C$501,PEDIDO_ITEMS!$A$2:$A$501,C719,PEDIDO_ITEMS!$B$2:$B$501,E719),"EXCEDE PEDIDO","OK"))))))</f>
        <v/>
      </c>
    </row>
    <row r="720">
      <c r="A720" s="9" t="inlineStr"/>
      <c r="B720" s="2" t="inlineStr"/>
      <c r="C720" s="2" t="inlineStr"/>
      <c r="D720" s="2" t="inlineStr"/>
      <c r="E720" s="2">
        <f>IF(D720="","",IFERROR(XLOOKUP(TRIM(D720),INVENTARIO!$A$2:$A$2000,INVENTARIO!$B$2:$B$2000),"NO ENCONTRADO"))</f>
        <v/>
      </c>
      <c r="F720" s="2">
        <f>IF(D720="","",IFERROR(XLOOKUP(TRIM(D720),INVENTARIO!$A$2:$A$2000,INVENTARIO!$C$2:$C$2000),""))</f>
        <v/>
      </c>
      <c r="G720" s="2">
        <f>IF(D720="","",IF(E720="NO ENCONTRADO","CODIGO NO EXISTE",IF(COUNTIF($D$2:D720,D720)&gt;1,"DUPLICADO",IF(C720="","OK SIN PEDIDO",IF(COUNTIFS(PEDIDO_ITEMS!$A$2:$A$501,C720,PEDIDO_ITEMS!$B$2:$B$501,E720)=0,"NO PEDIDO",IF(COUNTIFS($C$2:C720,C720,$E$2:E720,E720)&gt;SUMIFS(PEDIDO_ITEMS!$C$2:$C$501,PEDIDO_ITEMS!$A$2:$A$501,C720,PEDIDO_ITEMS!$B$2:$B$501,E720),"EXCEDE PEDIDO","OK"))))))</f>
        <v/>
      </c>
    </row>
    <row r="721">
      <c r="A721" s="9" t="inlineStr"/>
      <c r="B721" s="2" t="inlineStr"/>
      <c r="C721" s="2" t="inlineStr"/>
      <c r="D721" s="2" t="inlineStr"/>
      <c r="E721" s="2">
        <f>IF(D721="","",IFERROR(XLOOKUP(TRIM(D721),INVENTARIO!$A$2:$A$2000,INVENTARIO!$B$2:$B$2000),"NO ENCONTRADO"))</f>
        <v/>
      </c>
      <c r="F721" s="2">
        <f>IF(D721="","",IFERROR(XLOOKUP(TRIM(D721),INVENTARIO!$A$2:$A$2000,INVENTARIO!$C$2:$C$2000),""))</f>
        <v/>
      </c>
      <c r="G721" s="2">
        <f>IF(D721="","",IF(E721="NO ENCONTRADO","CODIGO NO EXISTE",IF(COUNTIF($D$2:D721,D721)&gt;1,"DUPLICADO",IF(C721="","OK SIN PEDIDO",IF(COUNTIFS(PEDIDO_ITEMS!$A$2:$A$501,C721,PEDIDO_ITEMS!$B$2:$B$501,E721)=0,"NO PEDIDO",IF(COUNTIFS($C$2:C721,C721,$E$2:E721,E721)&gt;SUMIFS(PEDIDO_ITEMS!$C$2:$C$501,PEDIDO_ITEMS!$A$2:$A$501,C721,PEDIDO_ITEMS!$B$2:$B$501,E721),"EXCEDE PEDIDO","OK"))))))</f>
        <v/>
      </c>
    </row>
    <row r="722">
      <c r="A722" s="9" t="inlineStr"/>
      <c r="B722" s="2" t="inlineStr"/>
      <c r="C722" s="2" t="inlineStr"/>
      <c r="D722" s="2" t="inlineStr"/>
      <c r="E722" s="2">
        <f>IF(D722="","",IFERROR(XLOOKUP(TRIM(D722),INVENTARIO!$A$2:$A$2000,INVENTARIO!$B$2:$B$2000),"NO ENCONTRADO"))</f>
        <v/>
      </c>
      <c r="F722" s="2">
        <f>IF(D722="","",IFERROR(XLOOKUP(TRIM(D722),INVENTARIO!$A$2:$A$2000,INVENTARIO!$C$2:$C$2000),""))</f>
        <v/>
      </c>
      <c r="G722" s="2">
        <f>IF(D722="","",IF(E722="NO ENCONTRADO","CODIGO NO EXISTE",IF(COUNTIF($D$2:D722,D722)&gt;1,"DUPLICADO",IF(C722="","OK SIN PEDIDO",IF(COUNTIFS(PEDIDO_ITEMS!$A$2:$A$501,C722,PEDIDO_ITEMS!$B$2:$B$501,E722)=0,"NO PEDIDO",IF(COUNTIFS($C$2:C722,C722,$E$2:E722,E722)&gt;SUMIFS(PEDIDO_ITEMS!$C$2:$C$501,PEDIDO_ITEMS!$A$2:$A$501,C722,PEDIDO_ITEMS!$B$2:$B$501,E722),"EXCEDE PEDIDO","OK"))))))</f>
        <v/>
      </c>
    </row>
    <row r="723">
      <c r="A723" s="9" t="inlineStr"/>
      <c r="B723" s="2" t="inlineStr"/>
      <c r="C723" s="2" t="inlineStr"/>
      <c r="D723" s="2" t="inlineStr"/>
      <c r="E723" s="2">
        <f>IF(D723="","",IFERROR(XLOOKUP(TRIM(D723),INVENTARIO!$A$2:$A$2000,INVENTARIO!$B$2:$B$2000),"NO ENCONTRADO"))</f>
        <v/>
      </c>
      <c r="F723" s="2">
        <f>IF(D723="","",IFERROR(XLOOKUP(TRIM(D723),INVENTARIO!$A$2:$A$2000,INVENTARIO!$C$2:$C$2000),""))</f>
        <v/>
      </c>
      <c r="G723" s="2">
        <f>IF(D723="","",IF(E723="NO ENCONTRADO","CODIGO NO EXISTE",IF(COUNTIF($D$2:D723,D723)&gt;1,"DUPLICADO",IF(C723="","OK SIN PEDIDO",IF(COUNTIFS(PEDIDO_ITEMS!$A$2:$A$501,C723,PEDIDO_ITEMS!$B$2:$B$501,E723)=0,"NO PEDIDO",IF(COUNTIFS($C$2:C723,C723,$E$2:E723,E723)&gt;SUMIFS(PEDIDO_ITEMS!$C$2:$C$501,PEDIDO_ITEMS!$A$2:$A$501,C723,PEDIDO_ITEMS!$B$2:$B$501,E723),"EXCEDE PEDIDO","OK"))))))</f>
        <v/>
      </c>
    </row>
    <row r="724">
      <c r="A724" s="9" t="inlineStr"/>
      <c r="B724" s="2" t="inlineStr"/>
      <c r="C724" s="2" t="inlineStr"/>
      <c r="D724" s="2" t="inlineStr"/>
      <c r="E724" s="2">
        <f>IF(D724="","",IFERROR(XLOOKUP(TRIM(D724),INVENTARIO!$A$2:$A$2000,INVENTARIO!$B$2:$B$2000),"NO ENCONTRADO"))</f>
        <v/>
      </c>
      <c r="F724" s="2">
        <f>IF(D724="","",IFERROR(XLOOKUP(TRIM(D724),INVENTARIO!$A$2:$A$2000,INVENTARIO!$C$2:$C$2000),""))</f>
        <v/>
      </c>
      <c r="G724" s="2">
        <f>IF(D724="","",IF(E724="NO ENCONTRADO","CODIGO NO EXISTE",IF(COUNTIF($D$2:D724,D724)&gt;1,"DUPLICADO",IF(C724="","OK SIN PEDIDO",IF(COUNTIFS(PEDIDO_ITEMS!$A$2:$A$501,C724,PEDIDO_ITEMS!$B$2:$B$501,E724)=0,"NO PEDIDO",IF(COUNTIFS($C$2:C724,C724,$E$2:E724,E724)&gt;SUMIFS(PEDIDO_ITEMS!$C$2:$C$501,PEDIDO_ITEMS!$A$2:$A$501,C724,PEDIDO_ITEMS!$B$2:$B$501,E724),"EXCEDE PEDIDO","OK"))))))</f>
        <v/>
      </c>
    </row>
    <row r="725">
      <c r="A725" s="9" t="inlineStr"/>
      <c r="B725" s="2" t="inlineStr"/>
      <c r="C725" s="2" t="inlineStr"/>
      <c r="D725" s="2" t="inlineStr"/>
      <c r="E725" s="2">
        <f>IF(D725="","",IFERROR(XLOOKUP(TRIM(D725),INVENTARIO!$A$2:$A$2000,INVENTARIO!$B$2:$B$2000),"NO ENCONTRADO"))</f>
        <v/>
      </c>
      <c r="F725" s="2">
        <f>IF(D725="","",IFERROR(XLOOKUP(TRIM(D725),INVENTARIO!$A$2:$A$2000,INVENTARIO!$C$2:$C$2000),""))</f>
        <v/>
      </c>
      <c r="G725" s="2">
        <f>IF(D725="","",IF(E725="NO ENCONTRADO","CODIGO NO EXISTE",IF(COUNTIF($D$2:D725,D725)&gt;1,"DUPLICADO",IF(C725="","OK SIN PEDIDO",IF(COUNTIFS(PEDIDO_ITEMS!$A$2:$A$501,C725,PEDIDO_ITEMS!$B$2:$B$501,E725)=0,"NO PEDIDO",IF(COUNTIFS($C$2:C725,C725,$E$2:E725,E725)&gt;SUMIFS(PEDIDO_ITEMS!$C$2:$C$501,PEDIDO_ITEMS!$A$2:$A$501,C725,PEDIDO_ITEMS!$B$2:$B$501,E725),"EXCEDE PEDIDO","OK"))))))</f>
        <v/>
      </c>
    </row>
    <row r="726">
      <c r="A726" s="9" t="inlineStr"/>
      <c r="B726" s="2" t="inlineStr"/>
      <c r="C726" s="2" t="inlineStr"/>
      <c r="D726" s="2" t="inlineStr"/>
      <c r="E726" s="2">
        <f>IF(D726="","",IFERROR(XLOOKUP(TRIM(D726),INVENTARIO!$A$2:$A$2000,INVENTARIO!$B$2:$B$2000),"NO ENCONTRADO"))</f>
        <v/>
      </c>
      <c r="F726" s="2">
        <f>IF(D726="","",IFERROR(XLOOKUP(TRIM(D726),INVENTARIO!$A$2:$A$2000,INVENTARIO!$C$2:$C$2000),""))</f>
        <v/>
      </c>
      <c r="G726" s="2">
        <f>IF(D726="","",IF(E726="NO ENCONTRADO","CODIGO NO EXISTE",IF(COUNTIF($D$2:D726,D726)&gt;1,"DUPLICADO",IF(C726="","OK SIN PEDIDO",IF(COUNTIFS(PEDIDO_ITEMS!$A$2:$A$501,C726,PEDIDO_ITEMS!$B$2:$B$501,E726)=0,"NO PEDIDO",IF(COUNTIFS($C$2:C726,C726,$E$2:E726,E726)&gt;SUMIFS(PEDIDO_ITEMS!$C$2:$C$501,PEDIDO_ITEMS!$A$2:$A$501,C726,PEDIDO_ITEMS!$B$2:$B$501,E726),"EXCEDE PEDIDO","OK"))))))</f>
        <v/>
      </c>
    </row>
    <row r="727">
      <c r="A727" s="9" t="inlineStr"/>
      <c r="B727" s="2" t="inlineStr"/>
      <c r="C727" s="2" t="inlineStr"/>
      <c r="D727" s="2" t="inlineStr"/>
      <c r="E727" s="2">
        <f>IF(D727="","",IFERROR(XLOOKUP(TRIM(D727),INVENTARIO!$A$2:$A$2000,INVENTARIO!$B$2:$B$2000),"NO ENCONTRADO"))</f>
        <v/>
      </c>
      <c r="F727" s="2">
        <f>IF(D727="","",IFERROR(XLOOKUP(TRIM(D727),INVENTARIO!$A$2:$A$2000,INVENTARIO!$C$2:$C$2000),""))</f>
        <v/>
      </c>
      <c r="G727" s="2">
        <f>IF(D727="","",IF(E727="NO ENCONTRADO","CODIGO NO EXISTE",IF(COUNTIF($D$2:D727,D727)&gt;1,"DUPLICADO",IF(C727="","OK SIN PEDIDO",IF(COUNTIFS(PEDIDO_ITEMS!$A$2:$A$501,C727,PEDIDO_ITEMS!$B$2:$B$501,E727)=0,"NO PEDIDO",IF(COUNTIFS($C$2:C727,C727,$E$2:E727,E727)&gt;SUMIFS(PEDIDO_ITEMS!$C$2:$C$501,PEDIDO_ITEMS!$A$2:$A$501,C727,PEDIDO_ITEMS!$B$2:$B$501,E727),"EXCEDE PEDIDO","OK"))))))</f>
        <v/>
      </c>
    </row>
    <row r="728">
      <c r="A728" s="9" t="inlineStr"/>
      <c r="B728" s="2" t="inlineStr"/>
      <c r="C728" s="2" t="inlineStr"/>
      <c r="D728" s="2" t="inlineStr"/>
      <c r="E728" s="2">
        <f>IF(D728="","",IFERROR(XLOOKUP(TRIM(D728),INVENTARIO!$A$2:$A$2000,INVENTARIO!$B$2:$B$2000),"NO ENCONTRADO"))</f>
        <v/>
      </c>
      <c r="F728" s="2">
        <f>IF(D728="","",IFERROR(XLOOKUP(TRIM(D728),INVENTARIO!$A$2:$A$2000,INVENTARIO!$C$2:$C$2000),""))</f>
        <v/>
      </c>
      <c r="G728" s="2">
        <f>IF(D728="","",IF(E728="NO ENCONTRADO","CODIGO NO EXISTE",IF(COUNTIF($D$2:D728,D728)&gt;1,"DUPLICADO",IF(C728="","OK SIN PEDIDO",IF(COUNTIFS(PEDIDO_ITEMS!$A$2:$A$501,C728,PEDIDO_ITEMS!$B$2:$B$501,E728)=0,"NO PEDIDO",IF(COUNTIFS($C$2:C728,C728,$E$2:E728,E728)&gt;SUMIFS(PEDIDO_ITEMS!$C$2:$C$501,PEDIDO_ITEMS!$A$2:$A$501,C728,PEDIDO_ITEMS!$B$2:$B$501,E728),"EXCEDE PEDIDO","OK"))))))</f>
        <v/>
      </c>
    </row>
    <row r="729">
      <c r="A729" s="9" t="inlineStr"/>
      <c r="B729" s="2" t="inlineStr"/>
      <c r="C729" s="2" t="inlineStr"/>
      <c r="D729" s="2" t="inlineStr"/>
      <c r="E729" s="2">
        <f>IF(D729="","",IFERROR(XLOOKUP(TRIM(D729),INVENTARIO!$A$2:$A$2000,INVENTARIO!$B$2:$B$2000),"NO ENCONTRADO"))</f>
        <v/>
      </c>
      <c r="F729" s="2">
        <f>IF(D729="","",IFERROR(XLOOKUP(TRIM(D729),INVENTARIO!$A$2:$A$2000,INVENTARIO!$C$2:$C$2000),""))</f>
        <v/>
      </c>
      <c r="G729" s="2">
        <f>IF(D729="","",IF(E729="NO ENCONTRADO","CODIGO NO EXISTE",IF(COUNTIF($D$2:D729,D729)&gt;1,"DUPLICADO",IF(C729="","OK SIN PEDIDO",IF(COUNTIFS(PEDIDO_ITEMS!$A$2:$A$501,C729,PEDIDO_ITEMS!$B$2:$B$501,E729)=0,"NO PEDIDO",IF(COUNTIFS($C$2:C729,C729,$E$2:E729,E729)&gt;SUMIFS(PEDIDO_ITEMS!$C$2:$C$501,PEDIDO_ITEMS!$A$2:$A$501,C729,PEDIDO_ITEMS!$B$2:$B$501,E729),"EXCEDE PEDIDO","OK"))))))</f>
        <v/>
      </c>
    </row>
    <row r="730">
      <c r="A730" s="9" t="inlineStr"/>
      <c r="B730" s="2" t="inlineStr"/>
      <c r="C730" s="2" t="inlineStr"/>
      <c r="D730" s="2" t="inlineStr"/>
      <c r="E730" s="2">
        <f>IF(D730="","",IFERROR(XLOOKUP(TRIM(D730),INVENTARIO!$A$2:$A$2000,INVENTARIO!$B$2:$B$2000),"NO ENCONTRADO"))</f>
        <v/>
      </c>
      <c r="F730" s="2">
        <f>IF(D730="","",IFERROR(XLOOKUP(TRIM(D730),INVENTARIO!$A$2:$A$2000,INVENTARIO!$C$2:$C$2000),""))</f>
        <v/>
      </c>
      <c r="G730" s="2">
        <f>IF(D730="","",IF(E730="NO ENCONTRADO","CODIGO NO EXISTE",IF(COUNTIF($D$2:D730,D730)&gt;1,"DUPLICADO",IF(C730="","OK SIN PEDIDO",IF(COUNTIFS(PEDIDO_ITEMS!$A$2:$A$501,C730,PEDIDO_ITEMS!$B$2:$B$501,E730)=0,"NO PEDIDO",IF(COUNTIFS($C$2:C730,C730,$E$2:E730,E730)&gt;SUMIFS(PEDIDO_ITEMS!$C$2:$C$501,PEDIDO_ITEMS!$A$2:$A$501,C730,PEDIDO_ITEMS!$B$2:$B$501,E730),"EXCEDE PEDIDO","OK"))))))</f>
        <v/>
      </c>
    </row>
    <row r="731">
      <c r="A731" s="9" t="inlineStr"/>
      <c r="B731" s="2" t="inlineStr"/>
      <c r="C731" s="2" t="inlineStr"/>
      <c r="D731" s="2" t="inlineStr"/>
      <c r="E731" s="2">
        <f>IF(D731="","",IFERROR(XLOOKUP(TRIM(D731),INVENTARIO!$A$2:$A$2000,INVENTARIO!$B$2:$B$2000),"NO ENCONTRADO"))</f>
        <v/>
      </c>
      <c r="F731" s="2">
        <f>IF(D731="","",IFERROR(XLOOKUP(TRIM(D731),INVENTARIO!$A$2:$A$2000,INVENTARIO!$C$2:$C$2000),""))</f>
        <v/>
      </c>
      <c r="G731" s="2">
        <f>IF(D731="","",IF(E731="NO ENCONTRADO","CODIGO NO EXISTE",IF(COUNTIF($D$2:D731,D731)&gt;1,"DUPLICADO",IF(C731="","OK SIN PEDIDO",IF(COUNTIFS(PEDIDO_ITEMS!$A$2:$A$501,C731,PEDIDO_ITEMS!$B$2:$B$501,E731)=0,"NO PEDIDO",IF(COUNTIFS($C$2:C731,C731,$E$2:E731,E731)&gt;SUMIFS(PEDIDO_ITEMS!$C$2:$C$501,PEDIDO_ITEMS!$A$2:$A$501,C731,PEDIDO_ITEMS!$B$2:$B$501,E731),"EXCEDE PEDIDO","OK"))))))</f>
        <v/>
      </c>
    </row>
    <row r="732">
      <c r="A732" s="9" t="inlineStr"/>
      <c r="B732" s="2" t="inlineStr"/>
      <c r="C732" s="2" t="inlineStr"/>
      <c r="D732" s="2" t="inlineStr"/>
      <c r="E732" s="2">
        <f>IF(D732="","",IFERROR(XLOOKUP(TRIM(D732),INVENTARIO!$A$2:$A$2000,INVENTARIO!$B$2:$B$2000),"NO ENCONTRADO"))</f>
        <v/>
      </c>
      <c r="F732" s="2">
        <f>IF(D732="","",IFERROR(XLOOKUP(TRIM(D732),INVENTARIO!$A$2:$A$2000,INVENTARIO!$C$2:$C$2000),""))</f>
        <v/>
      </c>
      <c r="G732" s="2">
        <f>IF(D732="","",IF(E732="NO ENCONTRADO","CODIGO NO EXISTE",IF(COUNTIF($D$2:D732,D732)&gt;1,"DUPLICADO",IF(C732="","OK SIN PEDIDO",IF(COUNTIFS(PEDIDO_ITEMS!$A$2:$A$501,C732,PEDIDO_ITEMS!$B$2:$B$501,E732)=0,"NO PEDIDO",IF(COUNTIFS($C$2:C732,C732,$E$2:E732,E732)&gt;SUMIFS(PEDIDO_ITEMS!$C$2:$C$501,PEDIDO_ITEMS!$A$2:$A$501,C732,PEDIDO_ITEMS!$B$2:$B$501,E732),"EXCEDE PEDIDO","OK"))))))</f>
        <v/>
      </c>
    </row>
    <row r="733">
      <c r="A733" s="9" t="inlineStr"/>
      <c r="B733" s="2" t="inlineStr"/>
      <c r="C733" s="2" t="inlineStr"/>
      <c r="D733" s="2" t="inlineStr"/>
      <c r="E733" s="2">
        <f>IF(D733="","",IFERROR(XLOOKUP(TRIM(D733),INVENTARIO!$A$2:$A$2000,INVENTARIO!$B$2:$B$2000),"NO ENCONTRADO"))</f>
        <v/>
      </c>
      <c r="F733" s="2">
        <f>IF(D733="","",IFERROR(XLOOKUP(TRIM(D733),INVENTARIO!$A$2:$A$2000,INVENTARIO!$C$2:$C$2000),""))</f>
        <v/>
      </c>
      <c r="G733" s="2">
        <f>IF(D733="","",IF(E733="NO ENCONTRADO","CODIGO NO EXISTE",IF(COUNTIF($D$2:D733,D733)&gt;1,"DUPLICADO",IF(C733="","OK SIN PEDIDO",IF(COUNTIFS(PEDIDO_ITEMS!$A$2:$A$501,C733,PEDIDO_ITEMS!$B$2:$B$501,E733)=0,"NO PEDIDO",IF(COUNTIFS($C$2:C733,C733,$E$2:E733,E733)&gt;SUMIFS(PEDIDO_ITEMS!$C$2:$C$501,PEDIDO_ITEMS!$A$2:$A$501,C733,PEDIDO_ITEMS!$B$2:$B$501,E733),"EXCEDE PEDIDO","OK"))))))</f>
        <v/>
      </c>
    </row>
    <row r="734">
      <c r="A734" s="9" t="inlineStr"/>
      <c r="B734" s="2" t="inlineStr"/>
      <c r="C734" s="2" t="inlineStr"/>
      <c r="D734" s="2" t="inlineStr"/>
      <c r="E734" s="2">
        <f>IF(D734="","",IFERROR(XLOOKUP(TRIM(D734),INVENTARIO!$A$2:$A$2000,INVENTARIO!$B$2:$B$2000),"NO ENCONTRADO"))</f>
        <v/>
      </c>
      <c r="F734" s="2">
        <f>IF(D734="","",IFERROR(XLOOKUP(TRIM(D734),INVENTARIO!$A$2:$A$2000,INVENTARIO!$C$2:$C$2000),""))</f>
        <v/>
      </c>
      <c r="G734" s="2">
        <f>IF(D734="","",IF(E734="NO ENCONTRADO","CODIGO NO EXISTE",IF(COUNTIF($D$2:D734,D734)&gt;1,"DUPLICADO",IF(C734="","OK SIN PEDIDO",IF(COUNTIFS(PEDIDO_ITEMS!$A$2:$A$501,C734,PEDIDO_ITEMS!$B$2:$B$501,E734)=0,"NO PEDIDO",IF(COUNTIFS($C$2:C734,C734,$E$2:E734,E734)&gt;SUMIFS(PEDIDO_ITEMS!$C$2:$C$501,PEDIDO_ITEMS!$A$2:$A$501,C734,PEDIDO_ITEMS!$B$2:$B$501,E734),"EXCEDE PEDIDO","OK"))))))</f>
        <v/>
      </c>
    </row>
    <row r="735">
      <c r="A735" s="9" t="inlineStr"/>
      <c r="B735" s="2" t="inlineStr"/>
      <c r="C735" s="2" t="inlineStr"/>
      <c r="D735" s="2" t="inlineStr"/>
      <c r="E735" s="2">
        <f>IF(D735="","",IFERROR(XLOOKUP(TRIM(D735),INVENTARIO!$A$2:$A$2000,INVENTARIO!$B$2:$B$2000),"NO ENCONTRADO"))</f>
        <v/>
      </c>
      <c r="F735" s="2">
        <f>IF(D735="","",IFERROR(XLOOKUP(TRIM(D735),INVENTARIO!$A$2:$A$2000,INVENTARIO!$C$2:$C$2000),""))</f>
        <v/>
      </c>
      <c r="G735" s="2">
        <f>IF(D735="","",IF(E735="NO ENCONTRADO","CODIGO NO EXISTE",IF(COUNTIF($D$2:D735,D735)&gt;1,"DUPLICADO",IF(C735="","OK SIN PEDIDO",IF(COUNTIFS(PEDIDO_ITEMS!$A$2:$A$501,C735,PEDIDO_ITEMS!$B$2:$B$501,E735)=0,"NO PEDIDO",IF(COUNTIFS($C$2:C735,C735,$E$2:E735,E735)&gt;SUMIFS(PEDIDO_ITEMS!$C$2:$C$501,PEDIDO_ITEMS!$A$2:$A$501,C735,PEDIDO_ITEMS!$B$2:$B$501,E735),"EXCEDE PEDIDO","OK"))))))</f>
        <v/>
      </c>
    </row>
    <row r="736">
      <c r="A736" s="9" t="inlineStr"/>
      <c r="B736" s="2" t="inlineStr"/>
      <c r="C736" s="2" t="inlineStr"/>
      <c r="D736" s="2" t="inlineStr"/>
      <c r="E736" s="2">
        <f>IF(D736="","",IFERROR(XLOOKUP(TRIM(D736),INVENTARIO!$A$2:$A$2000,INVENTARIO!$B$2:$B$2000),"NO ENCONTRADO"))</f>
        <v/>
      </c>
      <c r="F736" s="2">
        <f>IF(D736="","",IFERROR(XLOOKUP(TRIM(D736),INVENTARIO!$A$2:$A$2000,INVENTARIO!$C$2:$C$2000),""))</f>
        <v/>
      </c>
      <c r="G736" s="2">
        <f>IF(D736="","",IF(E736="NO ENCONTRADO","CODIGO NO EXISTE",IF(COUNTIF($D$2:D736,D736)&gt;1,"DUPLICADO",IF(C736="","OK SIN PEDIDO",IF(COUNTIFS(PEDIDO_ITEMS!$A$2:$A$501,C736,PEDIDO_ITEMS!$B$2:$B$501,E736)=0,"NO PEDIDO",IF(COUNTIFS($C$2:C736,C736,$E$2:E736,E736)&gt;SUMIFS(PEDIDO_ITEMS!$C$2:$C$501,PEDIDO_ITEMS!$A$2:$A$501,C736,PEDIDO_ITEMS!$B$2:$B$501,E736),"EXCEDE PEDIDO","OK"))))))</f>
        <v/>
      </c>
    </row>
    <row r="737">
      <c r="A737" s="9" t="inlineStr"/>
      <c r="B737" s="2" t="inlineStr"/>
      <c r="C737" s="2" t="inlineStr"/>
      <c r="D737" s="2" t="inlineStr"/>
      <c r="E737" s="2">
        <f>IF(D737="","",IFERROR(XLOOKUP(TRIM(D737),INVENTARIO!$A$2:$A$2000,INVENTARIO!$B$2:$B$2000),"NO ENCONTRADO"))</f>
        <v/>
      </c>
      <c r="F737" s="2">
        <f>IF(D737="","",IFERROR(XLOOKUP(TRIM(D737),INVENTARIO!$A$2:$A$2000,INVENTARIO!$C$2:$C$2000),""))</f>
        <v/>
      </c>
      <c r="G737" s="2">
        <f>IF(D737="","",IF(E737="NO ENCONTRADO","CODIGO NO EXISTE",IF(COUNTIF($D$2:D737,D737)&gt;1,"DUPLICADO",IF(C737="","OK SIN PEDIDO",IF(COUNTIFS(PEDIDO_ITEMS!$A$2:$A$501,C737,PEDIDO_ITEMS!$B$2:$B$501,E737)=0,"NO PEDIDO",IF(COUNTIFS($C$2:C737,C737,$E$2:E737,E737)&gt;SUMIFS(PEDIDO_ITEMS!$C$2:$C$501,PEDIDO_ITEMS!$A$2:$A$501,C737,PEDIDO_ITEMS!$B$2:$B$501,E737),"EXCEDE PEDIDO","OK"))))))</f>
        <v/>
      </c>
    </row>
    <row r="738">
      <c r="A738" s="9" t="inlineStr"/>
      <c r="B738" s="2" t="inlineStr"/>
      <c r="C738" s="2" t="inlineStr"/>
      <c r="D738" s="2" t="inlineStr"/>
      <c r="E738" s="2">
        <f>IF(D738="","",IFERROR(XLOOKUP(TRIM(D738),INVENTARIO!$A$2:$A$2000,INVENTARIO!$B$2:$B$2000),"NO ENCONTRADO"))</f>
        <v/>
      </c>
      <c r="F738" s="2">
        <f>IF(D738="","",IFERROR(XLOOKUP(TRIM(D738),INVENTARIO!$A$2:$A$2000,INVENTARIO!$C$2:$C$2000),""))</f>
        <v/>
      </c>
      <c r="G738" s="2">
        <f>IF(D738="","",IF(E738="NO ENCONTRADO","CODIGO NO EXISTE",IF(COUNTIF($D$2:D738,D738)&gt;1,"DUPLICADO",IF(C738="","OK SIN PEDIDO",IF(COUNTIFS(PEDIDO_ITEMS!$A$2:$A$501,C738,PEDIDO_ITEMS!$B$2:$B$501,E738)=0,"NO PEDIDO",IF(COUNTIFS($C$2:C738,C738,$E$2:E738,E738)&gt;SUMIFS(PEDIDO_ITEMS!$C$2:$C$501,PEDIDO_ITEMS!$A$2:$A$501,C738,PEDIDO_ITEMS!$B$2:$B$501,E738),"EXCEDE PEDIDO","OK"))))))</f>
        <v/>
      </c>
    </row>
    <row r="739">
      <c r="A739" s="9" t="inlineStr"/>
      <c r="B739" s="2" t="inlineStr"/>
      <c r="C739" s="2" t="inlineStr"/>
      <c r="D739" s="2" t="inlineStr"/>
      <c r="E739" s="2">
        <f>IF(D739="","",IFERROR(XLOOKUP(TRIM(D739),INVENTARIO!$A$2:$A$2000,INVENTARIO!$B$2:$B$2000),"NO ENCONTRADO"))</f>
        <v/>
      </c>
      <c r="F739" s="2">
        <f>IF(D739="","",IFERROR(XLOOKUP(TRIM(D739),INVENTARIO!$A$2:$A$2000,INVENTARIO!$C$2:$C$2000),""))</f>
        <v/>
      </c>
      <c r="G739" s="2">
        <f>IF(D739="","",IF(E739="NO ENCONTRADO","CODIGO NO EXISTE",IF(COUNTIF($D$2:D739,D739)&gt;1,"DUPLICADO",IF(C739="","OK SIN PEDIDO",IF(COUNTIFS(PEDIDO_ITEMS!$A$2:$A$501,C739,PEDIDO_ITEMS!$B$2:$B$501,E739)=0,"NO PEDIDO",IF(COUNTIFS($C$2:C739,C739,$E$2:E739,E739)&gt;SUMIFS(PEDIDO_ITEMS!$C$2:$C$501,PEDIDO_ITEMS!$A$2:$A$501,C739,PEDIDO_ITEMS!$B$2:$B$501,E739),"EXCEDE PEDIDO","OK"))))))</f>
        <v/>
      </c>
    </row>
    <row r="740">
      <c r="A740" s="9" t="inlineStr"/>
      <c r="B740" s="2" t="inlineStr"/>
      <c r="C740" s="2" t="inlineStr"/>
      <c r="D740" s="2" t="inlineStr"/>
      <c r="E740" s="2">
        <f>IF(D740="","",IFERROR(XLOOKUP(TRIM(D740),INVENTARIO!$A$2:$A$2000,INVENTARIO!$B$2:$B$2000),"NO ENCONTRADO"))</f>
        <v/>
      </c>
      <c r="F740" s="2">
        <f>IF(D740="","",IFERROR(XLOOKUP(TRIM(D740),INVENTARIO!$A$2:$A$2000,INVENTARIO!$C$2:$C$2000),""))</f>
        <v/>
      </c>
      <c r="G740" s="2">
        <f>IF(D740="","",IF(E740="NO ENCONTRADO","CODIGO NO EXISTE",IF(COUNTIF($D$2:D740,D740)&gt;1,"DUPLICADO",IF(C740="","OK SIN PEDIDO",IF(COUNTIFS(PEDIDO_ITEMS!$A$2:$A$501,C740,PEDIDO_ITEMS!$B$2:$B$501,E740)=0,"NO PEDIDO",IF(COUNTIFS($C$2:C740,C740,$E$2:E740,E740)&gt;SUMIFS(PEDIDO_ITEMS!$C$2:$C$501,PEDIDO_ITEMS!$A$2:$A$501,C740,PEDIDO_ITEMS!$B$2:$B$501,E740),"EXCEDE PEDIDO","OK"))))))</f>
        <v/>
      </c>
    </row>
    <row r="741">
      <c r="A741" s="9" t="inlineStr"/>
      <c r="B741" s="2" t="inlineStr"/>
      <c r="C741" s="2" t="inlineStr"/>
      <c r="D741" s="2" t="inlineStr"/>
      <c r="E741" s="2">
        <f>IF(D741="","",IFERROR(XLOOKUP(TRIM(D741),INVENTARIO!$A$2:$A$2000,INVENTARIO!$B$2:$B$2000),"NO ENCONTRADO"))</f>
        <v/>
      </c>
      <c r="F741" s="2">
        <f>IF(D741="","",IFERROR(XLOOKUP(TRIM(D741),INVENTARIO!$A$2:$A$2000,INVENTARIO!$C$2:$C$2000),""))</f>
        <v/>
      </c>
      <c r="G741" s="2">
        <f>IF(D741="","",IF(E741="NO ENCONTRADO","CODIGO NO EXISTE",IF(COUNTIF($D$2:D741,D741)&gt;1,"DUPLICADO",IF(C741="","OK SIN PEDIDO",IF(COUNTIFS(PEDIDO_ITEMS!$A$2:$A$501,C741,PEDIDO_ITEMS!$B$2:$B$501,E741)=0,"NO PEDIDO",IF(COUNTIFS($C$2:C741,C741,$E$2:E741,E741)&gt;SUMIFS(PEDIDO_ITEMS!$C$2:$C$501,PEDIDO_ITEMS!$A$2:$A$501,C741,PEDIDO_ITEMS!$B$2:$B$501,E741),"EXCEDE PEDIDO","OK"))))))</f>
        <v/>
      </c>
    </row>
    <row r="742">
      <c r="A742" s="9" t="inlineStr"/>
      <c r="B742" s="2" t="inlineStr"/>
      <c r="C742" s="2" t="inlineStr"/>
      <c r="D742" s="2" t="inlineStr"/>
      <c r="E742" s="2">
        <f>IF(D742="","",IFERROR(XLOOKUP(TRIM(D742),INVENTARIO!$A$2:$A$2000,INVENTARIO!$B$2:$B$2000),"NO ENCONTRADO"))</f>
        <v/>
      </c>
      <c r="F742" s="2">
        <f>IF(D742="","",IFERROR(XLOOKUP(TRIM(D742),INVENTARIO!$A$2:$A$2000,INVENTARIO!$C$2:$C$2000),""))</f>
        <v/>
      </c>
      <c r="G742" s="2">
        <f>IF(D742="","",IF(E742="NO ENCONTRADO","CODIGO NO EXISTE",IF(COUNTIF($D$2:D742,D742)&gt;1,"DUPLICADO",IF(C742="","OK SIN PEDIDO",IF(COUNTIFS(PEDIDO_ITEMS!$A$2:$A$501,C742,PEDIDO_ITEMS!$B$2:$B$501,E742)=0,"NO PEDIDO",IF(COUNTIFS($C$2:C742,C742,$E$2:E742,E742)&gt;SUMIFS(PEDIDO_ITEMS!$C$2:$C$501,PEDIDO_ITEMS!$A$2:$A$501,C742,PEDIDO_ITEMS!$B$2:$B$501,E742),"EXCEDE PEDIDO","OK"))))))</f>
        <v/>
      </c>
    </row>
    <row r="743">
      <c r="A743" s="9" t="inlineStr"/>
      <c r="B743" s="2" t="inlineStr"/>
      <c r="C743" s="2" t="inlineStr"/>
      <c r="D743" s="2" t="inlineStr"/>
      <c r="E743" s="2">
        <f>IF(D743="","",IFERROR(XLOOKUP(TRIM(D743),INVENTARIO!$A$2:$A$2000,INVENTARIO!$B$2:$B$2000),"NO ENCONTRADO"))</f>
        <v/>
      </c>
      <c r="F743" s="2">
        <f>IF(D743="","",IFERROR(XLOOKUP(TRIM(D743),INVENTARIO!$A$2:$A$2000,INVENTARIO!$C$2:$C$2000),""))</f>
        <v/>
      </c>
      <c r="G743" s="2">
        <f>IF(D743="","",IF(E743="NO ENCONTRADO","CODIGO NO EXISTE",IF(COUNTIF($D$2:D743,D743)&gt;1,"DUPLICADO",IF(C743="","OK SIN PEDIDO",IF(COUNTIFS(PEDIDO_ITEMS!$A$2:$A$501,C743,PEDIDO_ITEMS!$B$2:$B$501,E743)=0,"NO PEDIDO",IF(COUNTIFS($C$2:C743,C743,$E$2:E743,E743)&gt;SUMIFS(PEDIDO_ITEMS!$C$2:$C$501,PEDIDO_ITEMS!$A$2:$A$501,C743,PEDIDO_ITEMS!$B$2:$B$501,E743),"EXCEDE PEDIDO","OK"))))))</f>
        <v/>
      </c>
    </row>
    <row r="744">
      <c r="A744" s="9" t="inlineStr"/>
      <c r="B744" s="2" t="inlineStr"/>
      <c r="C744" s="2" t="inlineStr"/>
      <c r="D744" s="2" t="inlineStr"/>
      <c r="E744" s="2">
        <f>IF(D744="","",IFERROR(XLOOKUP(TRIM(D744),INVENTARIO!$A$2:$A$2000,INVENTARIO!$B$2:$B$2000),"NO ENCONTRADO"))</f>
        <v/>
      </c>
      <c r="F744" s="2">
        <f>IF(D744="","",IFERROR(XLOOKUP(TRIM(D744),INVENTARIO!$A$2:$A$2000,INVENTARIO!$C$2:$C$2000),""))</f>
        <v/>
      </c>
      <c r="G744" s="2">
        <f>IF(D744="","",IF(E744="NO ENCONTRADO","CODIGO NO EXISTE",IF(COUNTIF($D$2:D744,D744)&gt;1,"DUPLICADO",IF(C744="","OK SIN PEDIDO",IF(COUNTIFS(PEDIDO_ITEMS!$A$2:$A$501,C744,PEDIDO_ITEMS!$B$2:$B$501,E744)=0,"NO PEDIDO",IF(COUNTIFS($C$2:C744,C744,$E$2:E744,E744)&gt;SUMIFS(PEDIDO_ITEMS!$C$2:$C$501,PEDIDO_ITEMS!$A$2:$A$501,C744,PEDIDO_ITEMS!$B$2:$B$501,E744),"EXCEDE PEDIDO","OK"))))))</f>
        <v/>
      </c>
    </row>
    <row r="745">
      <c r="A745" s="9" t="inlineStr"/>
      <c r="B745" s="2" t="inlineStr"/>
      <c r="C745" s="2" t="inlineStr"/>
      <c r="D745" s="2" t="inlineStr"/>
      <c r="E745" s="2">
        <f>IF(D745="","",IFERROR(XLOOKUP(TRIM(D745),INVENTARIO!$A$2:$A$2000,INVENTARIO!$B$2:$B$2000),"NO ENCONTRADO"))</f>
        <v/>
      </c>
      <c r="F745" s="2">
        <f>IF(D745="","",IFERROR(XLOOKUP(TRIM(D745),INVENTARIO!$A$2:$A$2000,INVENTARIO!$C$2:$C$2000),""))</f>
        <v/>
      </c>
      <c r="G745" s="2">
        <f>IF(D745="","",IF(E745="NO ENCONTRADO","CODIGO NO EXISTE",IF(COUNTIF($D$2:D745,D745)&gt;1,"DUPLICADO",IF(C745="","OK SIN PEDIDO",IF(COUNTIFS(PEDIDO_ITEMS!$A$2:$A$501,C745,PEDIDO_ITEMS!$B$2:$B$501,E745)=0,"NO PEDIDO",IF(COUNTIFS($C$2:C745,C745,$E$2:E745,E745)&gt;SUMIFS(PEDIDO_ITEMS!$C$2:$C$501,PEDIDO_ITEMS!$A$2:$A$501,C745,PEDIDO_ITEMS!$B$2:$B$501,E745),"EXCEDE PEDIDO","OK"))))))</f>
        <v/>
      </c>
    </row>
    <row r="746">
      <c r="A746" s="9" t="inlineStr"/>
      <c r="B746" s="2" t="inlineStr"/>
      <c r="C746" s="2" t="inlineStr"/>
      <c r="D746" s="2" t="inlineStr"/>
      <c r="E746" s="2">
        <f>IF(D746="","",IFERROR(XLOOKUP(TRIM(D746),INVENTARIO!$A$2:$A$2000,INVENTARIO!$B$2:$B$2000),"NO ENCONTRADO"))</f>
        <v/>
      </c>
      <c r="F746" s="2">
        <f>IF(D746="","",IFERROR(XLOOKUP(TRIM(D746),INVENTARIO!$A$2:$A$2000,INVENTARIO!$C$2:$C$2000),""))</f>
        <v/>
      </c>
      <c r="G746" s="2">
        <f>IF(D746="","",IF(E746="NO ENCONTRADO","CODIGO NO EXISTE",IF(COUNTIF($D$2:D746,D746)&gt;1,"DUPLICADO",IF(C746="","OK SIN PEDIDO",IF(COUNTIFS(PEDIDO_ITEMS!$A$2:$A$501,C746,PEDIDO_ITEMS!$B$2:$B$501,E746)=0,"NO PEDIDO",IF(COUNTIFS($C$2:C746,C746,$E$2:E746,E746)&gt;SUMIFS(PEDIDO_ITEMS!$C$2:$C$501,PEDIDO_ITEMS!$A$2:$A$501,C746,PEDIDO_ITEMS!$B$2:$B$501,E746),"EXCEDE PEDIDO","OK"))))))</f>
        <v/>
      </c>
    </row>
    <row r="747">
      <c r="A747" s="9" t="inlineStr"/>
      <c r="B747" s="2" t="inlineStr"/>
      <c r="C747" s="2" t="inlineStr"/>
      <c r="D747" s="2" t="inlineStr"/>
      <c r="E747" s="2">
        <f>IF(D747="","",IFERROR(XLOOKUP(TRIM(D747),INVENTARIO!$A$2:$A$2000,INVENTARIO!$B$2:$B$2000),"NO ENCONTRADO"))</f>
        <v/>
      </c>
      <c r="F747" s="2">
        <f>IF(D747="","",IFERROR(XLOOKUP(TRIM(D747),INVENTARIO!$A$2:$A$2000,INVENTARIO!$C$2:$C$2000),""))</f>
        <v/>
      </c>
      <c r="G747" s="2">
        <f>IF(D747="","",IF(E747="NO ENCONTRADO","CODIGO NO EXISTE",IF(COUNTIF($D$2:D747,D747)&gt;1,"DUPLICADO",IF(C747="","OK SIN PEDIDO",IF(COUNTIFS(PEDIDO_ITEMS!$A$2:$A$501,C747,PEDIDO_ITEMS!$B$2:$B$501,E747)=0,"NO PEDIDO",IF(COUNTIFS($C$2:C747,C747,$E$2:E747,E747)&gt;SUMIFS(PEDIDO_ITEMS!$C$2:$C$501,PEDIDO_ITEMS!$A$2:$A$501,C747,PEDIDO_ITEMS!$B$2:$B$501,E747),"EXCEDE PEDIDO","OK"))))))</f>
        <v/>
      </c>
    </row>
    <row r="748">
      <c r="A748" s="9" t="inlineStr"/>
      <c r="B748" s="2" t="inlineStr"/>
      <c r="C748" s="2" t="inlineStr"/>
      <c r="D748" s="2" t="inlineStr"/>
      <c r="E748" s="2">
        <f>IF(D748="","",IFERROR(XLOOKUP(TRIM(D748),INVENTARIO!$A$2:$A$2000,INVENTARIO!$B$2:$B$2000),"NO ENCONTRADO"))</f>
        <v/>
      </c>
      <c r="F748" s="2">
        <f>IF(D748="","",IFERROR(XLOOKUP(TRIM(D748),INVENTARIO!$A$2:$A$2000,INVENTARIO!$C$2:$C$2000),""))</f>
        <v/>
      </c>
      <c r="G748" s="2">
        <f>IF(D748="","",IF(E748="NO ENCONTRADO","CODIGO NO EXISTE",IF(COUNTIF($D$2:D748,D748)&gt;1,"DUPLICADO",IF(C748="","OK SIN PEDIDO",IF(COUNTIFS(PEDIDO_ITEMS!$A$2:$A$501,C748,PEDIDO_ITEMS!$B$2:$B$501,E748)=0,"NO PEDIDO",IF(COUNTIFS($C$2:C748,C748,$E$2:E748,E748)&gt;SUMIFS(PEDIDO_ITEMS!$C$2:$C$501,PEDIDO_ITEMS!$A$2:$A$501,C748,PEDIDO_ITEMS!$B$2:$B$501,E748),"EXCEDE PEDIDO","OK"))))))</f>
        <v/>
      </c>
    </row>
    <row r="749">
      <c r="A749" s="9" t="inlineStr"/>
      <c r="B749" s="2" t="inlineStr"/>
      <c r="C749" s="2" t="inlineStr"/>
      <c r="D749" s="2" t="inlineStr"/>
      <c r="E749" s="2">
        <f>IF(D749="","",IFERROR(XLOOKUP(TRIM(D749),INVENTARIO!$A$2:$A$2000,INVENTARIO!$B$2:$B$2000),"NO ENCONTRADO"))</f>
        <v/>
      </c>
      <c r="F749" s="2">
        <f>IF(D749="","",IFERROR(XLOOKUP(TRIM(D749),INVENTARIO!$A$2:$A$2000,INVENTARIO!$C$2:$C$2000),""))</f>
        <v/>
      </c>
      <c r="G749" s="2">
        <f>IF(D749="","",IF(E749="NO ENCONTRADO","CODIGO NO EXISTE",IF(COUNTIF($D$2:D749,D749)&gt;1,"DUPLICADO",IF(C749="","OK SIN PEDIDO",IF(COUNTIFS(PEDIDO_ITEMS!$A$2:$A$501,C749,PEDIDO_ITEMS!$B$2:$B$501,E749)=0,"NO PEDIDO",IF(COUNTIFS($C$2:C749,C749,$E$2:E749,E749)&gt;SUMIFS(PEDIDO_ITEMS!$C$2:$C$501,PEDIDO_ITEMS!$A$2:$A$501,C749,PEDIDO_ITEMS!$B$2:$B$501,E749),"EXCEDE PEDIDO","OK"))))))</f>
        <v/>
      </c>
    </row>
    <row r="750">
      <c r="A750" s="9" t="inlineStr"/>
      <c r="B750" s="2" t="inlineStr"/>
      <c r="C750" s="2" t="inlineStr"/>
      <c r="D750" s="2" t="inlineStr"/>
      <c r="E750" s="2">
        <f>IF(D750="","",IFERROR(XLOOKUP(TRIM(D750),INVENTARIO!$A$2:$A$2000,INVENTARIO!$B$2:$B$2000),"NO ENCONTRADO"))</f>
        <v/>
      </c>
      <c r="F750" s="2">
        <f>IF(D750="","",IFERROR(XLOOKUP(TRIM(D750),INVENTARIO!$A$2:$A$2000,INVENTARIO!$C$2:$C$2000),""))</f>
        <v/>
      </c>
      <c r="G750" s="2">
        <f>IF(D750="","",IF(E750="NO ENCONTRADO","CODIGO NO EXISTE",IF(COUNTIF($D$2:D750,D750)&gt;1,"DUPLICADO",IF(C750="","OK SIN PEDIDO",IF(COUNTIFS(PEDIDO_ITEMS!$A$2:$A$501,C750,PEDIDO_ITEMS!$B$2:$B$501,E750)=0,"NO PEDIDO",IF(COUNTIFS($C$2:C750,C750,$E$2:E750,E750)&gt;SUMIFS(PEDIDO_ITEMS!$C$2:$C$501,PEDIDO_ITEMS!$A$2:$A$501,C750,PEDIDO_ITEMS!$B$2:$B$501,E750),"EXCEDE PEDIDO","OK"))))))</f>
        <v/>
      </c>
    </row>
    <row r="751">
      <c r="A751" s="9" t="inlineStr"/>
      <c r="B751" s="2" t="inlineStr"/>
      <c r="C751" s="2" t="inlineStr"/>
      <c r="D751" s="2" t="inlineStr"/>
      <c r="E751" s="2">
        <f>IF(D751="","",IFERROR(XLOOKUP(TRIM(D751),INVENTARIO!$A$2:$A$2000,INVENTARIO!$B$2:$B$2000),"NO ENCONTRADO"))</f>
        <v/>
      </c>
      <c r="F751" s="2">
        <f>IF(D751="","",IFERROR(XLOOKUP(TRIM(D751),INVENTARIO!$A$2:$A$2000,INVENTARIO!$C$2:$C$2000),""))</f>
        <v/>
      </c>
      <c r="G751" s="2">
        <f>IF(D751="","",IF(E751="NO ENCONTRADO","CODIGO NO EXISTE",IF(COUNTIF($D$2:D751,D751)&gt;1,"DUPLICADO",IF(C751="","OK SIN PEDIDO",IF(COUNTIFS(PEDIDO_ITEMS!$A$2:$A$501,C751,PEDIDO_ITEMS!$B$2:$B$501,E751)=0,"NO PEDIDO",IF(COUNTIFS($C$2:C751,C751,$E$2:E751,E751)&gt;SUMIFS(PEDIDO_ITEMS!$C$2:$C$501,PEDIDO_ITEMS!$A$2:$A$501,C751,PEDIDO_ITEMS!$B$2:$B$501,E751),"EXCEDE PEDIDO","OK"))))))</f>
        <v/>
      </c>
    </row>
    <row r="752">
      <c r="A752" s="9" t="inlineStr"/>
      <c r="B752" s="2" t="inlineStr"/>
      <c r="C752" s="2" t="inlineStr"/>
      <c r="D752" s="2" t="inlineStr"/>
      <c r="E752" s="2">
        <f>IF(D752="","",IFERROR(XLOOKUP(TRIM(D752),INVENTARIO!$A$2:$A$2000,INVENTARIO!$B$2:$B$2000),"NO ENCONTRADO"))</f>
        <v/>
      </c>
      <c r="F752" s="2">
        <f>IF(D752="","",IFERROR(XLOOKUP(TRIM(D752),INVENTARIO!$A$2:$A$2000,INVENTARIO!$C$2:$C$2000),""))</f>
        <v/>
      </c>
      <c r="G752" s="2">
        <f>IF(D752="","",IF(E752="NO ENCONTRADO","CODIGO NO EXISTE",IF(COUNTIF($D$2:D752,D752)&gt;1,"DUPLICADO",IF(C752="","OK SIN PEDIDO",IF(COUNTIFS(PEDIDO_ITEMS!$A$2:$A$501,C752,PEDIDO_ITEMS!$B$2:$B$501,E752)=0,"NO PEDIDO",IF(COUNTIFS($C$2:C752,C752,$E$2:E752,E752)&gt;SUMIFS(PEDIDO_ITEMS!$C$2:$C$501,PEDIDO_ITEMS!$A$2:$A$501,C752,PEDIDO_ITEMS!$B$2:$B$501,E752),"EXCEDE PEDIDO","OK"))))))</f>
        <v/>
      </c>
    </row>
    <row r="753">
      <c r="A753" s="9" t="inlineStr"/>
      <c r="B753" s="2" t="inlineStr"/>
      <c r="C753" s="2" t="inlineStr"/>
      <c r="D753" s="2" t="inlineStr"/>
      <c r="E753" s="2">
        <f>IF(D753="","",IFERROR(XLOOKUP(TRIM(D753),INVENTARIO!$A$2:$A$2000,INVENTARIO!$B$2:$B$2000),"NO ENCONTRADO"))</f>
        <v/>
      </c>
      <c r="F753" s="2">
        <f>IF(D753="","",IFERROR(XLOOKUP(TRIM(D753),INVENTARIO!$A$2:$A$2000,INVENTARIO!$C$2:$C$2000),""))</f>
        <v/>
      </c>
      <c r="G753" s="2">
        <f>IF(D753="","",IF(E753="NO ENCONTRADO","CODIGO NO EXISTE",IF(COUNTIF($D$2:D753,D753)&gt;1,"DUPLICADO",IF(C753="","OK SIN PEDIDO",IF(COUNTIFS(PEDIDO_ITEMS!$A$2:$A$501,C753,PEDIDO_ITEMS!$B$2:$B$501,E753)=0,"NO PEDIDO",IF(COUNTIFS($C$2:C753,C753,$E$2:E753,E753)&gt;SUMIFS(PEDIDO_ITEMS!$C$2:$C$501,PEDIDO_ITEMS!$A$2:$A$501,C753,PEDIDO_ITEMS!$B$2:$B$501,E753),"EXCEDE PEDIDO","OK"))))))</f>
        <v/>
      </c>
    </row>
    <row r="754">
      <c r="A754" s="9" t="inlineStr"/>
      <c r="B754" s="2" t="inlineStr"/>
      <c r="C754" s="2" t="inlineStr"/>
      <c r="D754" s="2" t="inlineStr"/>
      <c r="E754" s="2">
        <f>IF(D754="","",IFERROR(XLOOKUP(TRIM(D754),INVENTARIO!$A$2:$A$2000,INVENTARIO!$B$2:$B$2000),"NO ENCONTRADO"))</f>
        <v/>
      </c>
      <c r="F754" s="2">
        <f>IF(D754="","",IFERROR(XLOOKUP(TRIM(D754),INVENTARIO!$A$2:$A$2000,INVENTARIO!$C$2:$C$2000),""))</f>
        <v/>
      </c>
      <c r="G754" s="2">
        <f>IF(D754="","",IF(E754="NO ENCONTRADO","CODIGO NO EXISTE",IF(COUNTIF($D$2:D754,D754)&gt;1,"DUPLICADO",IF(C754="","OK SIN PEDIDO",IF(COUNTIFS(PEDIDO_ITEMS!$A$2:$A$501,C754,PEDIDO_ITEMS!$B$2:$B$501,E754)=0,"NO PEDIDO",IF(COUNTIFS($C$2:C754,C754,$E$2:E754,E754)&gt;SUMIFS(PEDIDO_ITEMS!$C$2:$C$501,PEDIDO_ITEMS!$A$2:$A$501,C754,PEDIDO_ITEMS!$B$2:$B$501,E754),"EXCEDE PEDIDO","OK"))))))</f>
        <v/>
      </c>
    </row>
    <row r="755">
      <c r="A755" s="9" t="inlineStr"/>
      <c r="B755" s="2" t="inlineStr"/>
      <c r="C755" s="2" t="inlineStr"/>
      <c r="D755" s="2" t="inlineStr"/>
      <c r="E755" s="2">
        <f>IF(D755="","",IFERROR(XLOOKUP(TRIM(D755),INVENTARIO!$A$2:$A$2000,INVENTARIO!$B$2:$B$2000),"NO ENCONTRADO"))</f>
        <v/>
      </c>
      <c r="F755" s="2">
        <f>IF(D755="","",IFERROR(XLOOKUP(TRIM(D755),INVENTARIO!$A$2:$A$2000,INVENTARIO!$C$2:$C$2000),""))</f>
        <v/>
      </c>
      <c r="G755" s="2">
        <f>IF(D755="","",IF(E755="NO ENCONTRADO","CODIGO NO EXISTE",IF(COUNTIF($D$2:D755,D755)&gt;1,"DUPLICADO",IF(C755="","OK SIN PEDIDO",IF(COUNTIFS(PEDIDO_ITEMS!$A$2:$A$501,C755,PEDIDO_ITEMS!$B$2:$B$501,E755)=0,"NO PEDIDO",IF(COUNTIFS($C$2:C755,C755,$E$2:E755,E755)&gt;SUMIFS(PEDIDO_ITEMS!$C$2:$C$501,PEDIDO_ITEMS!$A$2:$A$501,C755,PEDIDO_ITEMS!$B$2:$B$501,E755),"EXCEDE PEDIDO","OK"))))))</f>
        <v/>
      </c>
    </row>
    <row r="756">
      <c r="A756" s="9" t="inlineStr"/>
      <c r="B756" s="2" t="inlineStr"/>
      <c r="C756" s="2" t="inlineStr"/>
      <c r="D756" s="2" t="inlineStr"/>
      <c r="E756" s="2">
        <f>IF(D756="","",IFERROR(XLOOKUP(TRIM(D756),INVENTARIO!$A$2:$A$2000,INVENTARIO!$B$2:$B$2000),"NO ENCONTRADO"))</f>
        <v/>
      </c>
      <c r="F756" s="2">
        <f>IF(D756="","",IFERROR(XLOOKUP(TRIM(D756),INVENTARIO!$A$2:$A$2000,INVENTARIO!$C$2:$C$2000),""))</f>
        <v/>
      </c>
      <c r="G756" s="2">
        <f>IF(D756="","",IF(E756="NO ENCONTRADO","CODIGO NO EXISTE",IF(COUNTIF($D$2:D756,D756)&gt;1,"DUPLICADO",IF(C756="","OK SIN PEDIDO",IF(COUNTIFS(PEDIDO_ITEMS!$A$2:$A$501,C756,PEDIDO_ITEMS!$B$2:$B$501,E756)=0,"NO PEDIDO",IF(COUNTIFS($C$2:C756,C756,$E$2:E756,E756)&gt;SUMIFS(PEDIDO_ITEMS!$C$2:$C$501,PEDIDO_ITEMS!$A$2:$A$501,C756,PEDIDO_ITEMS!$B$2:$B$501,E756),"EXCEDE PEDIDO","OK"))))))</f>
        <v/>
      </c>
    </row>
    <row r="757">
      <c r="A757" s="9" t="inlineStr"/>
      <c r="B757" s="2" t="inlineStr"/>
      <c r="C757" s="2" t="inlineStr"/>
      <c r="D757" s="2" t="inlineStr"/>
      <c r="E757" s="2">
        <f>IF(D757="","",IFERROR(XLOOKUP(TRIM(D757),INVENTARIO!$A$2:$A$2000,INVENTARIO!$B$2:$B$2000),"NO ENCONTRADO"))</f>
        <v/>
      </c>
      <c r="F757" s="2">
        <f>IF(D757="","",IFERROR(XLOOKUP(TRIM(D757),INVENTARIO!$A$2:$A$2000,INVENTARIO!$C$2:$C$2000),""))</f>
        <v/>
      </c>
      <c r="G757" s="2">
        <f>IF(D757="","",IF(E757="NO ENCONTRADO","CODIGO NO EXISTE",IF(COUNTIF($D$2:D757,D757)&gt;1,"DUPLICADO",IF(C757="","OK SIN PEDIDO",IF(COUNTIFS(PEDIDO_ITEMS!$A$2:$A$501,C757,PEDIDO_ITEMS!$B$2:$B$501,E757)=0,"NO PEDIDO",IF(COUNTIFS($C$2:C757,C757,$E$2:E757,E757)&gt;SUMIFS(PEDIDO_ITEMS!$C$2:$C$501,PEDIDO_ITEMS!$A$2:$A$501,C757,PEDIDO_ITEMS!$B$2:$B$501,E757),"EXCEDE PEDIDO","OK"))))))</f>
        <v/>
      </c>
    </row>
    <row r="758">
      <c r="A758" s="9" t="inlineStr"/>
      <c r="B758" s="2" t="inlineStr"/>
      <c r="C758" s="2" t="inlineStr"/>
      <c r="D758" s="2" t="inlineStr"/>
      <c r="E758" s="2">
        <f>IF(D758="","",IFERROR(XLOOKUP(TRIM(D758),INVENTARIO!$A$2:$A$2000,INVENTARIO!$B$2:$B$2000),"NO ENCONTRADO"))</f>
        <v/>
      </c>
      <c r="F758" s="2">
        <f>IF(D758="","",IFERROR(XLOOKUP(TRIM(D758),INVENTARIO!$A$2:$A$2000,INVENTARIO!$C$2:$C$2000),""))</f>
        <v/>
      </c>
      <c r="G758" s="2">
        <f>IF(D758="","",IF(E758="NO ENCONTRADO","CODIGO NO EXISTE",IF(COUNTIF($D$2:D758,D758)&gt;1,"DUPLICADO",IF(C758="","OK SIN PEDIDO",IF(COUNTIFS(PEDIDO_ITEMS!$A$2:$A$501,C758,PEDIDO_ITEMS!$B$2:$B$501,E758)=0,"NO PEDIDO",IF(COUNTIFS($C$2:C758,C758,$E$2:E758,E758)&gt;SUMIFS(PEDIDO_ITEMS!$C$2:$C$501,PEDIDO_ITEMS!$A$2:$A$501,C758,PEDIDO_ITEMS!$B$2:$B$501,E758),"EXCEDE PEDIDO","OK"))))))</f>
        <v/>
      </c>
    </row>
    <row r="759">
      <c r="A759" s="9" t="inlineStr"/>
      <c r="B759" s="2" t="inlineStr"/>
      <c r="C759" s="2" t="inlineStr"/>
      <c r="D759" s="2" t="inlineStr"/>
      <c r="E759" s="2">
        <f>IF(D759="","",IFERROR(XLOOKUP(TRIM(D759),INVENTARIO!$A$2:$A$2000,INVENTARIO!$B$2:$B$2000),"NO ENCONTRADO"))</f>
        <v/>
      </c>
      <c r="F759" s="2">
        <f>IF(D759="","",IFERROR(XLOOKUP(TRIM(D759),INVENTARIO!$A$2:$A$2000,INVENTARIO!$C$2:$C$2000),""))</f>
        <v/>
      </c>
      <c r="G759" s="2">
        <f>IF(D759="","",IF(E759="NO ENCONTRADO","CODIGO NO EXISTE",IF(COUNTIF($D$2:D759,D759)&gt;1,"DUPLICADO",IF(C759="","OK SIN PEDIDO",IF(COUNTIFS(PEDIDO_ITEMS!$A$2:$A$501,C759,PEDIDO_ITEMS!$B$2:$B$501,E759)=0,"NO PEDIDO",IF(COUNTIFS($C$2:C759,C759,$E$2:E759,E759)&gt;SUMIFS(PEDIDO_ITEMS!$C$2:$C$501,PEDIDO_ITEMS!$A$2:$A$501,C759,PEDIDO_ITEMS!$B$2:$B$501,E759),"EXCEDE PEDIDO","OK"))))))</f>
        <v/>
      </c>
    </row>
    <row r="760">
      <c r="A760" s="9" t="inlineStr"/>
      <c r="B760" s="2" t="inlineStr"/>
      <c r="C760" s="2" t="inlineStr"/>
      <c r="D760" s="2" t="inlineStr"/>
      <c r="E760" s="2">
        <f>IF(D760="","",IFERROR(XLOOKUP(TRIM(D760),INVENTARIO!$A$2:$A$2000,INVENTARIO!$B$2:$B$2000),"NO ENCONTRADO"))</f>
        <v/>
      </c>
      <c r="F760" s="2">
        <f>IF(D760="","",IFERROR(XLOOKUP(TRIM(D760),INVENTARIO!$A$2:$A$2000,INVENTARIO!$C$2:$C$2000),""))</f>
        <v/>
      </c>
      <c r="G760" s="2">
        <f>IF(D760="","",IF(E760="NO ENCONTRADO","CODIGO NO EXISTE",IF(COUNTIF($D$2:D760,D760)&gt;1,"DUPLICADO",IF(C760="","OK SIN PEDIDO",IF(COUNTIFS(PEDIDO_ITEMS!$A$2:$A$501,C760,PEDIDO_ITEMS!$B$2:$B$501,E760)=0,"NO PEDIDO",IF(COUNTIFS($C$2:C760,C760,$E$2:E760,E760)&gt;SUMIFS(PEDIDO_ITEMS!$C$2:$C$501,PEDIDO_ITEMS!$A$2:$A$501,C760,PEDIDO_ITEMS!$B$2:$B$501,E760),"EXCEDE PEDIDO","OK"))))))</f>
        <v/>
      </c>
    </row>
    <row r="761">
      <c r="A761" s="9" t="inlineStr"/>
      <c r="B761" s="2" t="inlineStr"/>
      <c r="C761" s="2" t="inlineStr"/>
      <c r="D761" s="2" t="inlineStr"/>
      <c r="E761" s="2">
        <f>IF(D761="","",IFERROR(XLOOKUP(TRIM(D761),INVENTARIO!$A$2:$A$2000,INVENTARIO!$B$2:$B$2000),"NO ENCONTRADO"))</f>
        <v/>
      </c>
      <c r="F761" s="2">
        <f>IF(D761="","",IFERROR(XLOOKUP(TRIM(D761),INVENTARIO!$A$2:$A$2000,INVENTARIO!$C$2:$C$2000),""))</f>
        <v/>
      </c>
      <c r="G761" s="2">
        <f>IF(D761="","",IF(E761="NO ENCONTRADO","CODIGO NO EXISTE",IF(COUNTIF($D$2:D761,D761)&gt;1,"DUPLICADO",IF(C761="","OK SIN PEDIDO",IF(COUNTIFS(PEDIDO_ITEMS!$A$2:$A$501,C761,PEDIDO_ITEMS!$B$2:$B$501,E761)=0,"NO PEDIDO",IF(COUNTIFS($C$2:C761,C761,$E$2:E761,E761)&gt;SUMIFS(PEDIDO_ITEMS!$C$2:$C$501,PEDIDO_ITEMS!$A$2:$A$501,C761,PEDIDO_ITEMS!$B$2:$B$501,E761),"EXCEDE PEDIDO","OK"))))))</f>
        <v/>
      </c>
    </row>
    <row r="762">
      <c r="A762" s="9" t="inlineStr"/>
      <c r="B762" s="2" t="inlineStr"/>
      <c r="C762" s="2" t="inlineStr"/>
      <c r="D762" s="2" t="inlineStr"/>
      <c r="E762" s="2">
        <f>IF(D762="","",IFERROR(XLOOKUP(TRIM(D762),INVENTARIO!$A$2:$A$2000,INVENTARIO!$B$2:$B$2000),"NO ENCONTRADO"))</f>
        <v/>
      </c>
      <c r="F762" s="2">
        <f>IF(D762="","",IFERROR(XLOOKUP(TRIM(D762),INVENTARIO!$A$2:$A$2000,INVENTARIO!$C$2:$C$2000),""))</f>
        <v/>
      </c>
      <c r="G762" s="2">
        <f>IF(D762="","",IF(E762="NO ENCONTRADO","CODIGO NO EXISTE",IF(COUNTIF($D$2:D762,D762)&gt;1,"DUPLICADO",IF(C762="","OK SIN PEDIDO",IF(COUNTIFS(PEDIDO_ITEMS!$A$2:$A$501,C762,PEDIDO_ITEMS!$B$2:$B$501,E762)=0,"NO PEDIDO",IF(COUNTIFS($C$2:C762,C762,$E$2:E762,E762)&gt;SUMIFS(PEDIDO_ITEMS!$C$2:$C$501,PEDIDO_ITEMS!$A$2:$A$501,C762,PEDIDO_ITEMS!$B$2:$B$501,E762),"EXCEDE PEDIDO","OK"))))))</f>
        <v/>
      </c>
    </row>
    <row r="763">
      <c r="A763" s="9" t="inlineStr"/>
      <c r="B763" s="2" t="inlineStr"/>
      <c r="C763" s="2" t="inlineStr"/>
      <c r="D763" s="2" t="inlineStr"/>
      <c r="E763" s="2">
        <f>IF(D763="","",IFERROR(XLOOKUP(TRIM(D763),INVENTARIO!$A$2:$A$2000,INVENTARIO!$B$2:$B$2000),"NO ENCONTRADO"))</f>
        <v/>
      </c>
      <c r="F763" s="2">
        <f>IF(D763="","",IFERROR(XLOOKUP(TRIM(D763),INVENTARIO!$A$2:$A$2000,INVENTARIO!$C$2:$C$2000),""))</f>
        <v/>
      </c>
      <c r="G763" s="2">
        <f>IF(D763="","",IF(E763="NO ENCONTRADO","CODIGO NO EXISTE",IF(COUNTIF($D$2:D763,D763)&gt;1,"DUPLICADO",IF(C763="","OK SIN PEDIDO",IF(COUNTIFS(PEDIDO_ITEMS!$A$2:$A$501,C763,PEDIDO_ITEMS!$B$2:$B$501,E763)=0,"NO PEDIDO",IF(COUNTIFS($C$2:C763,C763,$E$2:E763,E763)&gt;SUMIFS(PEDIDO_ITEMS!$C$2:$C$501,PEDIDO_ITEMS!$A$2:$A$501,C763,PEDIDO_ITEMS!$B$2:$B$501,E763),"EXCEDE PEDIDO","OK"))))))</f>
        <v/>
      </c>
    </row>
    <row r="764">
      <c r="A764" s="9" t="inlineStr"/>
      <c r="B764" s="2" t="inlineStr"/>
      <c r="C764" s="2" t="inlineStr"/>
      <c r="D764" s="2" t="inlineStr"/>
      <c r="E764" s="2">
        <f>IF(D764="","",IFERROR(XLOOKUP(TRIM(D764),INVENTARIO!$A$2:$A$2000,INVENTARIO!$B$2:$B$2000),"NO ENCONTRADO"))</f>
        <v/>
      </c>
      <c r="F764" s="2">
        <f>IF(D764="","",IFERROR(XLOOKUP(TRIM(D764),INVENTARIO!$A$2:$A$2000,INVENTARIO!$C$2:$C$2000),""))</f>
        <v/>
      </c>
      <c r="G764" s="2">
        <f>IF(D764="","",IF(E764="NO ENCONTRADO","CODIGO NO EXISTE",IF(COUNTIF($D$2:D764,D764)&gt;1,"DUPLICADO",IF(C764="","OK SIN PEDIDO",IF(COUNTIFS(PEDIDO_ITEMS!$A$2:$A$501,C764,PEDIDO_ITEMS!$B$2:$B$501,E764)=0,"NO PEDIDO",IF(COUNTIFS($C$2:C764,C764,$E$2:E764,E764)&gt;SUMIFS(PEDIDO_ITEMS!$C$2:$C$501,PEDIDO_ITEMS!$A$2:$A$501,C764,PEDIDO_ITEMS!$B$2:$B$501,E764),"EXCEDE PEDIDO","OK"))))))</f>
        <v/>
      </c>
    </row>
    <row r="765">
      <c r="A765" s="9" t="inlineStr"/>
      <c r="B765" s="2" t="inlineStr"/>
      <c r="C765" s="2" t="inlineStr"/>
      <c r="D765" s="2" t="inlineStr"/>
      <c r="E765" s="2">
        <f>IF(D765="","",IFERROR(XLOOKUP(TRIM(D765),INVENTARIO!$A$2:$A$2000,INVENTARIO!$B$2:$B$2000),"NO ENCONTRADO"))</f>
        <v/>
      </c>
      <c r="F765" s="2">
        <f>IF(D765="","",IFERROR(XLOOKUP(TRIM(D765),INVENTARIO!$A$2:$A$2000,INVENTARIO!$C$2:$C$2000),""))</f>
        <v/>
      </c>
      <c r="G765" s="2">
        <f>IF(D765="","",IF(E765="NO ENCONTRADO","CODIGO NO EXISTE",IF(COUNTIF($D$2:D765,D765)&gt;1,"DUPLICADO",IF(C765="","OK SIN PEDIDO",IF(COUNTIFS(PEDIDO_ITEMS!$A$2:$A$501,C765,PEDIDO_ITEMS!$B$2:$B$501,E765)=0,"NO PEDIDO",IF(COUNTIFS($C$2:C765,C765,$E$2:E765,E765)&gt;SUMIFS(PEDIDO_ITEMS!$C$2:$C$501,PEDIDO_ITEMS!$A$2:$A$501,C765,PEDIDO_ITEMS!$B$2:$B$501,E765),"EXCEDE PEDIDO","OK"))))))</f>
        <v/>
      </c>
    </row>
    <row r="766">
      <c r="A766" s="9" t="inlineStr"/>
      <c r="B766" s="2" t="inlineStr"/>
      <c r="C766" s="2" t="inlineStr"/>
      <c r="D766" s="2" t="inlineStr"/>
      <c r="E766" s="2">
        <f>IF(D766="","",IFERROR(XLOOKUP(TRIM(D766),INVENTARIO!$A$2:$A$2000,INVENTARIO!$B$2:$B$2000),"NO ENCONTRADO"))</f>
        <v/>
      </c>
      <c r="F766" s="2">
        <f>IF(D766="","",IFERROR(XLOOKUP(TRIM(D766),INVENTARIO!$A$2:$A$2000,INVENTARIO!$C$2:$C$2000),""))</f>
        <v/>
      </c>
      <c r="G766" s="2">
        <f>IF(D766="","",IF(E766="NO ENCONTRADO","CODIGO NO EXISTE",IF(COUNTIF($D$2:D766,D766)&gt;1,"DUPLICADO",IF(C766="","OK SIN PEDIDO",IF(COUNTIFS(PEDIDO_ITEMS!$A$2:$A$501,C766,PEDIDO_ITEMS!$B$2:$B$501,E766)=0,"NO PEDIDO",IF(COUNTIFS($C$2:C766,C766,$E$2:E766,E766)&gt;SUMIFS(PEDIDO_ITEMS!$C$2:$C$501,PEDIDO_ITEMS!$A$2:$A$501,C766,PEDIDO_ITEMS!$B$2:$B$501,E766),"EXCEDE PEDIDO","OK"))))))</f>
        <v/>
      </c>
    </row>
    <row r="767">
      <c r="A767" s="9" t="inlineStr"/>
      <c r="B767" s="2" t="inlineStr"/>
      <c r="C767" s="2" t="inlineStr"/>
      <c r="D767" s="2" t="inlineStr"/>
      <c r="E767" s="2">
        <f>IF(D767="","",IFERROR(XLOOKUP(TRIM(D767),INVENTARIO!$A$2:$A$2000,INVENTARIO!$B$2:$B$2000),"NO ENCONTRADO"))</f>
        <v/>
      </c>
      <c r="F767" s="2">
        <f>IF(D767="","",IFERROR(XLOOKUP(TRIM(D767),INVENTARIO!$A$2:$A$2000,INVENTARIO!$C$2:$C$2000),""))</f>
        <v/>
      </c>
      <c r="G767" s="2">
        <f>IF(D767="","",IF(E767="NO ENCONTRADO","CODIGO NO EXISTE",IF(COUNTIF($D$2:D767,D767)&gt;1,"DUPLICADO",IF(C767="","OK SIN PEDIDO",IF(COUNTIFS(PEDIDO_ITEMS!$A$2:$A$501,C767,PEDIDO_ITEMS!$B$2:$B$501,E767)=0,"NO PEDIDO",IF(COUNTIFS($C$2:C767,C767,$E$2:E767,E767)&gt;SUMIFS(PEDIDO_ITEMS!$C$2:$C$501,PEDIDO_ITEMS!$A$2:$A$501,C767,PEDIDO_ITEMS!$B$2:$B$501,E767),"EXCEDE PEDIDO","OK"))))))</f>
        <v/>
      </c>
    </row>
    <row r="768">
      <c r="A768" s="9" t="inlineStr"/>
      <c r="B768" s="2" t="inlineStr"/>
      <c r="C768" s="2" t="inlineStr"/>
      <c r="D768" s="2" t="inlineStr"/>
      <c r="E768" s="2">
        <f>IF(D768="","",IFERROR(XLOOKUP(TRIM(D768),INVENTARIO!$A$2:$A$2000,INVENTARIO!$B$2:$B$2000),"NO ENCONTRADO"))</f>
        <v/>
      </c>
      <c r="F768" s="2">
        <f>IF(D768="","",IFERROR(XLOOKUP(TRIM(D768),INVENTARIO!$A$2:$A$2000,INVENTARIO!$C$2:$C$2000),""))</f>
        <v/>
      </c>
      <c r="G768" s="2">
        <f>IF(D768="","",IF(E768="NO ENCONTRADO","CODIGO NO EXISTE",IF(COUNTIF($D$2:D768,D768)&gt;1,"DUPLICADO",IF(C768="","OK SIN PEDIDO",IF(COUNTIFS(PEDIDO_ITEMS!$A$2:$A$501,C768,PEDIDO_ITEMS!$B$2:$B$501,E768)=0,"NO PEDIDO",IF(COUNTIFS($C$2:C768,C768,$E$2:E768,E768)&gt;SUMIFS(PEDIDO_ITEMS!$C$2:$C$501,PEDIDO_ITEMS!$A$2:$A$501,C768,PEDIDO_ITEMS!$B$2:$B$501,E768),"EXCEDE PEDIDO","OK"))))))</f>
        <v/>
      </c>
    </row>
    <row r="769">
      <c r="A769" s="9" t="inlineStr"/>
      <c r="B769" s="2" t="inlineStr"/>
      <c r="C769" s="2" t="inlineStr"/>
      <c r="D769" s="2" t="inlineStr"/>
      <c r="E769" s="2">
        <f>IF(D769="","",IFERROR(XLOOKUP(TRIM(D769),INVENTARIO!$A$2:$A$2000,INVENTARIO!$B$2:$B$2000),"NO ENCONTRADO"))</f>
        <v/>
      </c>
      <c r="F769" s="2">
        <f>IF(D769="","",IFERROR(XLOOKUP(TRIM(D769),INVENTARIO!$A$2:$A$2000,INVENTARIO!$C$2:$C$2000),""))</f>
        <v/>
      </c>
      <c r="G769" s="2">
        <f>IF(D769="","",IF(E769="NO ENCONTRADO","CODIGO NO EXISTE",IF(COUNTIF($D$2:D769,D769)&gt;1,"DUPLICADO",IF(C769="","OK SIN PEDIDO",IF(COUNTIFS(PEDIDO_ITEMS!$A$2:$A$501,C769,PEDIDO_ITEMS!$B$2:$B$501,E769)=0,"NO PEDIDO",IF(COUNTIFS($C$2:C769,C769,$E$2:E769,E769)&gt;SUMIFS(PEDIDO_ITEMS!$C$2:$C$501,PEDIDO_ITEMS!$A$2:$A$501,C769,PEDIDO_ITEMS!$B$2:$B$501,E769),"EXCEDE PEDIDO","OK"))))))</f>
        <v/>
      </c>
    </row>
    <row r="770">
      <c r="A770" s="9" t="inlineStr"/>
      <c r="B770" s="2" t="inlineStr"/>
      <c r="C770" s="2" t="inlineStr"/>
      <c r="D770" s="2" t="inlineStr"/>
      <c r="E770" s="2">
        <f>IF(D770="","",IFERROR(XLOOKUP(TRIM(D770),INVENTARIO!$A$2:$A$2000,INVENTARIO!$B$2:$B$2000),"NO ENCONTRADO"))</f>
        <v/>
      </c>
      <c r="F770" s="2">
        <f>IF(D770="","",IFERROR(XLOOKUP(TRIM(D770),INVENTARIO!$A$2:$A$2000,INVENTARIO!$C$2:$C$2000),""))</f>
        <v/>
      </c>
      <c r="G770" s="2">
        <f>IF(D770="","",IF(E770="NO ENCONTRADO","CODIGO NO EXISTE",IF(COUNTIF($D$2:D770,D770)&gt;1,"DUPLICADO",IF(C770="","OK SIN PEDIDO",IF(COUNTIFS(PEDIDO_ITEMS!$A$2:$A$501,C770,PEDIDO_ITEMS!$B$2:$B$501,E770)=0,"NO PEDIDO",IF(COUNTIFS($C$2:C770,C770,$E$2:E770,E770)&gt;SUMIFS(PEDIDO_ITEMS!$C$2:$C$501,PEDIDO_ITEMS!$A$2:$A$501,C770,PEDIDO_ITEMS!$B$2:$B$501,E770),"EXCEDE PEDIDO","OK"))))))</f>
        <v/>
      </c>
    </row>
    <row r="771">
      <c r="A771" s="9" t="inlineStr"/>
      <c r="B771" s="2" t="inlineStr"/>
      <c r="C771" s="2" t="inlineStr"/>
      <c r="D771" s="2" t="inlineStr"/>
      <c r="E771" s="2">
        <f>IF(D771="","",IFERROR(XLOOKUP(TRIM(D771),INVENTARIO!$A$2:$A$2000,INVENTARIO!$B$2:$B$2000),"NO ENCONTRADO"))</f>
        <v/>
      </c>
      <c r="F771" s="2">
        <f>IF(D771="","",IFERROR(XLOOKUP(TRIM(D771),INVENTARIO!$A$2:$A$2000,INVENTARIO!$C$2:$C$2000),""))</f>
        <v/>
      </c>
      <c r="G771" s="2">
        <f>IF(D771="","",IF(E771="NO ENCONTRADO","CODIGO NO EXISTE",IF(COUNTIF($D$2:D771,D771)&gt;1,"DUPLICADO",IF(C771="","OK SIN PEDIDO",IF(COUNTIFS(PEDIDO_ITEMS!$A$2:$A$501,C771,PEDIDO_ITEMS!$B$2:$B$501,E771)=0,"NO PEDIDO",IF(COUNTIFS($C$2:C771,C771,$E$2:E771,E771)&gt;SUMIFS(PEDIDO_ITEMS!$C$2:$C$501,PEDIDO_ITEMS!$A$2:$A$501,C771,PEDIDO_ITEMS!$B$2:$B$501,E771),"EXCEDE PEDIDO","OK"))))))</f>
        <v/>
      </c>
    </row>
    <row r="772">
      <c r="A772" s="9" t="inlineStr"/>
      <c r="B772" s="2" t="inlineStr"/>
      <c r="C772" s="2" t="inlineStr"/>
      <c r="D772" s="2" t="inlineStr"/>
      <c r="E772" s="2">
        <f>IF(D772="","",IFERROR(XLOOKUP(TRIM(D772),INVENTARIO!$A$2:$A$2000,INVENTARIO!$B$2:$B$2000),"NO ENCONTRADO"))</f>
        <v/>
      </c>
      <c r="F772" s="2">
        <f>IF(D772="","",IFERROR(XLOOKUP(TRIM(D772),INVENTARIO!$A$2:$A$2000,INVENTARIO!$C$2:$C$2000),""))</f>
        <v/>
      </c>
      <c r="G772" s="2">
        <f>IF(D772="","",IF(E772="NO ENCONTRADO","CODIGO NO EXISTE",IF(COUNTIF($D$2:D772,D772)&gt;1,"DUPLICADO",IF(C772="","OK SIN PEDIDO",IF(COUNTIFS(PEDIDO_ITEMS!$A$2:$A$501,C772,PEDIDO_ITEMS!$B$2:$B$501,E772)=0,"NO PEDIDO",IF(COUNTIFS($C$2:C772,C772,$E$2:E772,E772)&gt;SUMIFS(PEDIDO_ITEMS!$C$2:$C$501,PEDIDO_ITEMS!$A$2:$A$501,C772,PEDIDO_ITEMS!$B$2:$B$501,E772),"EXCEDE PEDIDO","OK"))))))</f>
        <v/>
      </c>
    </row>
    <row r="773">
      <c r="A773" s="9" t="inlineStr"/>
      <c r="B773" s="2" t="inlineStr"/>
      <c r="C773" s="2" t="inlineStr"/>
      <c r="D773" s="2" t="inlineStr"/>
      <c r="E773" s="2">
        <f>IF(D773="","",IFERROR(XLOOKUP(TRIM(D773),INVENTARIO!$A$2:$A$2000,INVENTARIO!$B$2:$B$2000),"NO ENCONTRADO"))</f>
        <v/>
      </c>
      <c r="F773" s="2">
        <f>IF(D773="","",IFERROR(XLOOKUP(TRIM(D773),INVENTARIO!$A$2:$A$2000,INVENTARIO!$C$2:$C$2000),""))</f>
        <v/>
      </c>
      <c r="G773" s="2">
        <f>IF(D773="","",IF(E773="NO ENCONTRADO","CODIGO NO EXISTE",IF(COUNTIF($D$2:D773,D773)&gt;1,"DUPLICADO",IF(C773="","OK SIN PEDIDO",IF(COUNTIFS(PEDIDO_ITEMS!$A$2:$A$501,C773,PEDIDO_ITEMS!$B$2:$B$501,E773)=0,"NO PEDIDO",IF(COUNTIFS($C$2:C773,C773,$E$2:E773,E773)&gt;SUMIFS(PEDIDO_ITEMS!$C$2:$C$501,PEDIDO_ITEMS!$A$2:$A$501,C773,PEDIDO_ITEMS!$B$2:$B$501,E773),"EXCEDE PEDIDO","OK"))))))</f>
        <v/>
      </c>
    </row>
    <row r="774">
      <c r="A774" s="9" t="inlineStr"/>
      <c r="B774" s="2" t="inlineStr"/>
      <c r="C774" s="2" t="inlineStr"/>
      <c r="D774" s="2" t="inlineStr"/>
      <c r="E774" s="2">
        <f>IF(D774="","",IFERROR(XLOOKUP(TRIM(D774),INVENTARIO!$A$2:$A$2000,INVENTARIO!$B$2:$B$2000),"NO ENCONTRADO"))</f>
        <v/>
      </c>
      <c r="F774" s="2">
        <f>IF(D774="","",IFERROR(XLOOKUP(TRIM(D774),INVENTARIO!$A$2:$A$2000,INVENTARIO!$C$2:$C$2000),""))</f>
        <v/>
      </c>
      <c r="G774" s="2">
        <f>IF(D774="","",IF(E774="NO ENCONTRADO","CODIGO NO EXISTE",IF(COUNTIF($D$2:D774,D774)&gt;1,"DUPLICADO",IF(C774="","OK SIN PEDIDO",IF(COUNTIFS(PEDIDO_ITEMS!$A$2:$A$501,C774,PEDIDO_ITEMS!$B$2:$B$501,E774)=0,"NO PEDIDO",IF(COUNTIFS($C$2:C774,C774,$E$2:E774,E774)&gt;SUMIFS(PEDIDO_ITEMS!$C$2:$C$501,PEDIDO_ITEMS!$A$2:$A$501,C774,PEDIDO_ITEMS!$B$2:$B$501,E774),"EXCEDE PEDIDO","OK"))))))</f>
        <v/>
      </c>
    </row>
    <row r="775">
      <c r="A775" s="9" t="inlineStr"/>
      <c r="B775" s="2" t="inlineStr"/>
      <c r="C775" s="2" t="inlineStr"/>
      <c r="D775" s="2" t="inlineStr"/>
      <c r="E775" s="2">
        <f>IF(D775="","",IFERROR(XLOOKUP(TRIM(D775),INVENTARIO!$A$2:$A$2000,INVENTARIO!$B$2:$B$2000),"NO ENCONTRADO"))</f>
        <v/>
      </c>
      <c r="F775" s="2">
        <f>IF(D775="","",IFERROR(XLOOKUP(TRIM(D775),INVENTARIO!$A$2:$A$2000,INVENTARIO!$C$2:$C$2000),""))</f>
        <v/>
      </c>
      <c r="G775" s="2">
        <f>IF(D775="","",IF(E775="NO ENCONTRADO","CODIGO NO EXISTE",IF(COUNTIF($D$2:D775,D775)&gt;1,"DUPLICADO",IF(C775="","OK SIN PEDIDO",IF(COUNTIFS(PEDIDO_ITEMS!$A$2:$A$501,C775,PEDIDO_ITEMS!$B$2:$B$501,E775)=0,"NO PEDIDO",IF(COUNTIFS($C$2:C775,C775,$E$2:E775,E775)&gt;SUMIFS(PEDIDO_ITEMS!$C$2:$C$501,PEDIDO_ITEMS!$A$2:$A$501,C775,PEDIDO_ITEMS!$B$2:$B$501,E775),"EXCEDE PEDIDO","OK"))))))</f>
        <v/>
      </c>
    </row>
    <row r="776">
      <c r="A776" s="9" t="inlineStr"/>
      <c r="B776" s="2" t="inlineStr"/>
      <c r="C776" s="2" t="inlineStr"/>
      <c r="D776" s="2" t="inlineStr"/>
      <c r="E776" s="2">
        <f>IF(D776="","",IFERROR(XLOOKUP(TRIM(D776),INVENTARIO!$A$2:$A$2000,INVENTARIO!$B$2:$B$2000),"NO ENCONTRADO"))</f>
        <v/>
      </c>
      <c r="F776" s="2">
        <f>IF(D776="","",IFERROR(XLOOKUP(TRIM(D776),INVENTARIO!$A$2:$A$2000,INVENTARIO!$C$2:$C$2000),""))</f>
        <v/>
      </c>
      <c r="G776" s="2">
        <f>IF(D776="","",IF(E776="NO ENCONTRADO","CODIGO NO EXISTE",IF(COUNTIF($D$2:D776,D776)&gt;1,"DUPLICADO",IF(C776="","OK SIN PEDIDO",IF(COUNTIFS(PEDIDO_ITEMS!$A$2:$A$501,C776,PEDIDO_ITEMS!$B$2:$B$501,E776)=0,"NO PEDIDO",IF(COUNTIFS($C$2:C776,C776,$E$2:E776,E776)&gt;SUMIFS(PEDIDO_ITEMS!$C$2:$C$501,PEDIDO_ITEMS!$A$2:$A$501,C776,PEDIDO_ITEMS!$B$2:$B$501,E776),"EXCEDE PEDIDO","OK"))))))</f>
        <v/>
      </c>
    </row>
    <row r="777">
      <c r="A777" s="9" t="inlineStr"/>
      <c r="B777" s="2" t="inlineStr"/>
      <c r="C777" s="2" t="inlineStr"/>
      <c r="D777" s="2" t="inlineStr"/>
      <c r="E777" s="2">
        <f>IF(D777="","",IFERROR(XLOOKUP(TRIM(D777),INVENTARIO!$A$2:$A$2000,INVENTARIO!$B$2:$B$2000),"NO ENCONTRADO"))</f>
        <v/>
      </c>
      <c r="F777" s="2">
        <f>IF(D777="","",IFERROR(XLOOKUP(TRIM(D777),INVENTARIO!$A$2:$A$2000,INVENTARIO!$C$2:$C$2000),""))</f>
        <v/>
      </c>
      <c r="G777" s="2">
        <f>IF(D777="","",IF(E777="NO ENCONTRADO","CODIGO NO EXISTE",IF(COUNTIF($D$2:D777,D777)&gt;1,"DUPLICADO",IF(C777="","OK SIN PEDIDO",IF(COUNTIFS(PEDIDO_ITEMS!$A$2:$A$501,C777,PEDIDO_ITEMS!$B$2:$B$501,E777)=0,"NO PEDIDO",IF(COUNTIFS($C$2:C777,C777,$E$2:E777,E777)&gt;SUMIFS(PEDIDO_ITEMS!$C$2:$C$501,PEDIDO_ITEMS!$A$2:$A$501,C777,PEDIDO_ITEMS!$B$2:$B$501,E777),"EXCEDE PEDIDO","OK"))))))</f>
        <v/>
      </c>
    </row>
    <row r="778">
      <c r="A778" s="9" t="inlineStr"/>
      <c r="B778" s="2" t="inlineStr"/>
      <c r="C778" s="2" t="inlineStr"/>
      <c r="D778" s="2" t="inlineStr"/>
      <c r="E778" s="2">
        <f>IF(D778="","",IFERROR(XLOOKUP(TRIM(D778),INVENTARIO!$A$2:$A$2000,INVENTARIO!$B$2:$B$2000),"NO ENCONTRADO"))</f>
        <v/>
      </c>
      <c r="F778" s="2">
        <f>IF(D778="","",IFERROR(XLOOKUP(TRIM(D778),INVENTARIO!$A$2:$A$2000,INVENTARIO!$C$2:$C$2000),""))</f>
        <v/>
      </c>
      <c r="G778" s="2">
        <f>IF(D778="","",IF(E778="NO ENCONTRADO","CODIGO NO EXISTE",IF(COUNTIF($D$2:D778,D778)&gt;1,"DUPLICADO",IF(C778="","OK SIN PEDIDO",IF(COUNTIFS(PEDIDO_ITEMS!$A$2:$A$501,C778,PEDIDO_ITEMS!$B$2:$B$501,E778)=0,"NO PEDIDO",IF(COUNTIFS($C$2:C778,C778,$E$2:E778,E778)&gt;SUMIFS(PEDIDO_ITEMS!$C$2:$C$501,PEDIDO_ITEMS!$A$2:$A$501,C778,PEDIDO_ITEMS!$B$2:$B$501,E778),"EXCEDE PEDIDO","OK"))))))</f>
        <v/>
      </c>
    </row>
    <row r="779">
      <c r="A779" s="9" t="inlineStr"/>
      <c r="B779" s="2" t="inlineStr"/>
      <c r="C779" s="2" t="inlineStr"/>
      <c r="D779" s="2" t="inlineStr"/>
      <c r="E779" s="2">
        <f>IF(D779="","",IFERROR(XLOOKUP(TRIM(D779),INVENTARIO!$A$2:$A$2000,INVENTARIO!$B$2:$B$2000),"NO ENCONTRADO"))</f>
        <v/>
      </c>
      <c r="F779" s="2">
        <f>IF(D779="","",IFERROR(XLOOKUP(TRIM(D779),INVENTARIO!$A$2:$A$2000,INVENTARIO!$C$2:$C$2000),""))</f>
        <v/>
      </c>
      <c r="G779" s="2">
        <f>IF(D779="","",IF(E779="NO ENCONTRADO","CODIGO NO EXISTE",IF(COUNTIF($D$2:D779,D779)&gt;1,"DUPLICADO",IF(C779="","OK SIN PEDIDO",IF(COUNTIFS(PEDIDO_ITEMS!$A$2:$A$501,C779,PEDIDO_ITEMS!$B$2:$B$501,E779)=0,"NO PEDIDO",IF(COUNTIFS($C$2:C779,C779,$E$2:E779,E779)&gt;SUMIFS(PEDIDO_ITEMS!$C$2:$C$501,PEDIDO_ITEMS!$A$2:$A$501,C779,PEDIDO_ITEMS!$B$2:$B$501,E779),"EXCEDE PEDIDO","OK"))))))</f>
        <v/>
      </c>
    </row>
    <row r="780">
      <c r="A780" s="9" t="inlineStr"/>
      <c r="B780" s="2" t="inlineStr"/>
      <c r="C780" s="2" t="inlineStr"/>
      <c r="D780" s="2" t="inlineStr"/>
      <c r="E780" s="2">
        <f>IF(D780="","",IFERROR(XLOOKUP(TRIM(D780),INVENTARIO!$A$2:$A$2000,INVENTARIO!$B$2:$B$2000),"NO ENCONTRADO"))</f>
        <v/>
      </c>
      <c r="F780" s="2">
        <f>IF(D780="","",IFERROR(XLOOKUP(TRIM(D780),INVENTARIO!$A$2:$A$2000,INVENTARIO!$C$2:$C$2000),""))</f>
        <v/>
      </c>
      <c r="G780" s="2">
        <f>IF(D780="","",IF(E780="NO ENCONTRADO","CODIGO NO EXISTE",IF(COUNTIF($D$2:D780,D780)&gt;1,"DUPLICADO",IF(C780="","OK SIN PEDIDO",IF(COUNTIFS(PEDIDO_ITEMS!$A$2:$A$501,C780,PEDIDO_ITEMS!$B$2:$B$501,E780)=0,"NO PEDIDO",IF(COUNTIFS($C$2:C780,C780,$E$2:E780,E780)&gt;SUMIFS(PEDIDO_ITEMS!$C$2:$C$501,PEDIDO_ITEMS!$A$2:$A$501,C780,PEDIDO_ITEMS!$B$2:$B$501,E780),"EXCEDE PEDIDO","OK"))))))</f>
        <v/>
      </c>
    </row>
    <row r="781">
      <c r="A781" s="9" t="inlineStr"/>
      <c r="B781" s="2" t="inlineStr"/>
      <c r="C781" s="2" t="inlineStr"/>
      <c r="D781" s="2" t="inlineStr"/>
      <c r="E781" s="2">
        <f>IF(D781="","",IFERROR(XLOOKUP(TRIM(D781),INVENTARIO!$A$2:$A$2000,INVENTARIO!$B$2:$B$2000),"NO ENCONTRADO"))</f>
        <v/>
      </c>
      <c r="F781" s="2">
        <f>IF(D781="","",IFERROR(XLOOKUP(TRIM(D781),INVENTARIO!$A$2:$A$2000,INVENTARIO!$C$2:$C$2000),""))</f>
        <v/>
      </c>
      <c r="G781" s="2">
        <f>IF(D781="","",IF(E781="NO ENCONTRADO","CODIGO NO EXISTE",IF(COUNTIF($D$2:D781,D781)&gt;1,"DUPLICADO",IF(C781="","OK SIN PEDIDO",IF(COUNTIFS(PEDIDO_ITEMS!$A$2:$A$501,C781,PEDIDO_ITEMS!$B$2:$B$501,E781)=0,"NO PEDIDO",IF(COUNTIFS($C$2:C781,C781,$E$2:E781,E781)&gt;SUMIFS(PEDIDO_ITEMS!$C$2:$C$501,PEDIDO_ITEMS!$A$2:$A$501,C781,PEDIDO_ITEMS!$B$2:$B$501,E781),"EXCEDE PEDIDO","OK"))))))</f>
        <v/>
      </c>
    </row>
    <row r="782">
      <c r="A782" s="9" t="inlineStr"/>
      <c r="B782" s="2" t="inlineStr"/>
      <c r="C782" s="2" t="inlineStr"/>
      <c r="D782" s="2" t="inlineStr"/>
      <c r="E782" s="2">
        <f>IF(D782="","",IFERROR(XLOOKUP(TRIM(D782),INVENTARIO!$A$2:$A$2000,INVENTARIO!$B$2:$B$2000),"NO ENCONTRADO"))</f>
        <v/>
      </c>
      <c r="F782" s="2">
        <f>IF(D782="","",IFERROR(XLOOKUP(TRIM(D782),INVENTARIO!$A$2:$A$2000,INVENTARIO!$C$2:$C$2000),""))</f>
        <v/>
      </c>
      <c r="G782" s="2">
        <f>IF(D782="","",IF(E782="NO ENCONTRADO","CODIGO NO EXISTE",IF(COUNTIF($D$2:D782,D782)&gt;1,"DUPLICADO",IF(C782="","OK SIN PEDIDO",IF(COUNTIFS(PEDIDO_ITEMS!$A$2:$A$501,C782,PEDIDO_ITEMS!$B$2:$B$501,E782)=0,"NO PEDIDO",IF(COUNTIFS($C$2:C782,C782,$E$2:E782,E782)&gt;SUMIFS(PEDIDO_ITEMS!$C$2:$C$501,PEDIDO_ITEMS!$A$2:$A$501,C782,PEDIDO_ITEMS!$B$2:$B$501,E782),"EXCEDE PEDIDO","OK"))))))</f>
        <v/>
      </c>
    </row>
    <row r="783">
      <c r="A783" s="9" t="inlineStr"/>
      <c r="B783" s="2" t="inlineStr"/>
      <c r="C783" s="2" t="inlineStr"/>
      <c r="D783" s="2" t="inlineStr"/>
      <c r="E783" s="2">
        <f>IF(D783="","",IFERROR(XLOOKUP(TRIM(D783),INVENTARIO!$A$2:$A$2000,INVENTARIO!$B$2:$B$2000),"NO ENCONTRADO"))</f>
        <v/>
      </c>
      <c r="F783" s="2">
        <f>IF(D783="","",IFERROR(XLOOKUP(TRIM(D783),INVENTARIO!$A$2:$A$2000,INVENTARIO!$C$2:$C$2000),""))</f>
        <v/>
      </c>
      <c r="G783" s="2">
        <f>IF(D783="","",IF(E783="NO ENCONTRADO","CODIGO NO EXISTE",IF(COUNTIF($D$2:D783,D783)&gt;1,"DUPLICADO",IF(C783="","OK SIN PEDIDO",IF(COUNTIFS(PEDIDO_ITEMS!$A$2:$A$501,C783,PEDIDO_ITEMS!$B$2:$B$501,E783)=0,"NO PEDIDO",IF(COUNTIFS($C$2:C783,C783,$E$2:E783,E783)&gt;SUMIFS(PEDIDO_ITEMS!$C$2:$C$501,PEDIDO_ITEMS!$A$2:$A$501,C783,PEDIDO_ITEMS!$B$2:$B$501,E783),"EXCEDE PEDIDO","OK"))))))</f>
        <v/>
      </c>
    </row>
    <row r="784">
      <c r="A784" s="9" t="inlineStr"/>
      <c r="B784" s="2" t="inlineStr"/>
      <c r="C784" s="2" t="inlineStr"/>
      <c r="D784" s="2" t="inlineStr"/>
      <c r="E784" s="2">
        <f>IF(D784="","",IFERROR(XLOOKUP(TRIM(D784),INVENTARIO!$A$2:$A$2000,INVENTARIO!$B$2:$B$2000),"NO ENCONTRADO"))</f>
        <v/>
      </c>
      <c r="F784" s="2">
        <f>IF(D784="","",IFERROR(XLOOKUP(TRIM(D784),INVENTARIO!$A$2:$A$2000,INVENTARIO!$C$2:$C$2000),""))</f>
        <v/>
      </c>
      <c r="G784" s="2">
        <f>IF(D784="","",IF(E784="NO ENCONTRADO","CODIGO NO EXISTE",IF(COUNTIF($D$2:D784,D784)&gt;1,"DUPLICADO",IF(C784="","OK SIN PEDIDO",IF(COUNTIFS(PEDIDO_ITEMS!$A$2:$A$501,C784,PEDIDO_ITEMS!$B$2:$B$501,E784)=0,"NO PEDIDO",IF(COUNTIFS($C$2:C784,C784,$E$2:E784,E784)&gt;SUMIFS(PEDIDO_ITEMS!$C$2:$C$501,PEDIDO_ITEMS!$A$2:$A$501,C784,PEDIDO_ITEMS!$B$2:$B$501,E784),"EXCEDE PEDIDO","OK"))))))</f>
        <v/>
      </c>
    </row>
    <row r="785">
      <c r="A785" s="9" t="inlineStr"/>
      <c r="B785" s="2" t="inlineStr"/>
      <c r="C785" s="2" t="inlineStr"/>
      <c r="D785" s="2" t="inlineStr"/>
      <c r="E785" s="2">
        <f>IF(D785="","",IFERROR(XLOOKUP(TRIM(D785),INVENTARIO!$A$2:$A$2000,INVENTARIO!$B$2:$B$2000),"NO ENCONTRADO"))</f>
        <v/>
      </c>
      <c r="F785" s="2">
        <f>IF(D785="","",IFERROR(XLOOKUP(TRIM(D785),INVENTARIO!$A$2:$A$2000,INVENTARIO!$C$2:$C$2000),""))</f>
        <v/>
      </c>
      <c r="G785" s="2">
        <f>IF(D785="","",IF(E785="NO ENCONTRADO","CODIGO NO EXISTE",IF(COUNTIF($D$2:D785,D785)&gt;1,"DUPLICADO",IF(C785="","OK SIN PEDIDO",IF(COUNTIFS(PEDIDO_ITEMS!$A$2:$A$501,C785,PEDIDO_ITEMS!$B$2:$B$501,E785)=0,"NO PEDIDO",IF(COUNTIFS($C$2:C785,C785,$E$2:E785,E785)&gt;SUMIFS(PEDIDO_ITEMS!$C$2:$C$501,PEDIDO_ITEMS!$A$2:$A$501,C785,PEDIDO_ITEMS!$B$2:$B$501,E785),"EXCEDE PEDIDO","OK"))))))</f>
        <v/>
      </c>
    </row>
    <row r="786">
      <c r="A786" s="9" t="inlineStr"/>
      <c r="B786" s="2" t="inlineStr"/>
      <c r="C786" s="2" t="inlineStr"/>
      <c r="D786" s="2" t="inlineStr"/>
      <c r="E786" s="2">
        <f>IF(D786="","",IFERROR(XLOOKUP(TRIM(D786),INVENTARIO!$A$2:$A$2000,INVENTARIO!$B$2:$B$2000),"NO ENCONTRADO"))</f>
        <v/>
      </c>
      <c r="F786" s="2">
        <f>IF(D786="","",IFERROR(XLOOKUP(TRIM(D786),INVENTARIO!$A$2:$A$2000,INVENTARIO!$C$2:$C$2000),""))</f>
        <v/>
      </c>
      <c r="G786" s="2">
        <f>IF(D786="","",IF(E786="NO ENCONTRADO","CODIGO NO EXISTE",IF(COUNTIF($D$2:D786,D786)&gt;1,"DUPLICADO",IF(C786="","OK SIN PEDIDO",IF(COUNTIFS(PEDIDO_ITEMS!$A$2:$A$501,C786,PEDIDO_ITEMS!$B$2:$B$501,E786)=0,"NO PEDIDO",IF(COUNTIFS($C$2:C786,C786,$E$2:E786,E786)&gt;SUMIFS(PEDIDO_ITEMS!$C$2:$C$501,PEDIDO_ITEMS!$A$2:$A$501,C786,PEDIDO_ITEMS!$B$2:$B$501,E786),"EXCEDE PEDIDO","OK"))))))</f>
        <v/>
      </c>
    </row>
    <row r="787">
      <c r="A787" s="9" t="inlineStr"/>
      <c r="B787" s="2" t="inlineStr"/>
      <c r="C787" s="2" t="inlineStr"/>
      <c r="D787" s="2" t="inlineStr"/>
      <c r="E787" s="2">
        <f>IF(D787="","",IFERROR(XLOOKUP(TRIM(D787),INVENTARIO!$A$2:$A$2000,INVENTARIO!$B$2:$B$2000),"NO ENCONTRADO"))</f>
        <v/>
      </c>
      <c r="F787" s="2">
        <f>IF(D787="","",IFERROR(XLOOKUP(TRIM(D787),INVENTARIO!$A$2:$A$2000,INVENTARIO!$C$2:$C$2000),""))</f>
        <v/>
      </c>
      <c r="G787" s="2">
        <f>IF(D787="","",IF(E787="NO ENCONTRADO","CODIGO NO EXISTE",IF(COUNTIF($D$2:D787,D787)&gt;1,"DUPLICADO",IF(C787="","OK SIN PEDIDO",IF(COUNTIFS(PEDIDO_ITEMS!$A$2:$A$501,C787,PEDIDO_ITEMS!$B$2:$B$501,E787)=0,"NO PEDIDO",IF(COUNTIFS($C$2:C787,C787,$E$2:E787,E787)&gt;SUMIFS(PEDIDO_ITEMS!$C$2:$C$501,PEDIDO_ITEMS!$A$2:$A$501,C787,PEDIDO_ITEMS!$B$2:$B$501,E787),"EXCEDE PEDIDO","OK"))))))</f>
        <v/>
      </c>
    </row>
    <row r="788">
      <c r="A788" s="9" t="inlineStr"/>
      <c r="B788" s="2" t="inlineStr"/>
      <c r="C788" s="2" t="inlineStr"/>
      <c r="D788" s="2" t="inlineStr"/>
      <c r="E788" s="2">
        <f>IF(D788="","",IFERROR(XLOOKUP(TRIM(D788),INVENTARIO!$A$2:$A$2000,INVENTARIO!$B$2:$B$2000),"NO ENCONTRADO"))</f>
        <v/>
      </c>
      <c r="F788" s="2">
        <f>IF(D788="","",IFERROR(XLOOKUP(TRIM(D788),INVENTARIO!$A$2:$A$2000,INVENTARIO!$C$2:$C$2000),""))</f>
        <v/>
      </c>
      <c r="G788" s="2">
        <f>IF(D788="","",IF(E788="NO ENCONTRADO","CODIGO NO EXISTE",IF(COUNTIF($D$2:D788,D788)&gt;1,"DUPLICADO",IF(C788="","OK SIN PEDIDO",IF(COUNTIFS(PEDIDO_ITEMS!$A$2:$A$501,C788,PEDIDO_ITEMS!$B$2:$B$501,E788)=0,"NO PEDIDO",IF(COUNTIFS($C$2:C788,C788,$E$2:E788,E788)&gt;SUMIFS(PEDIDO_ITEMS!$C$2:$C$501,PEDIDO_ITEMS!$A$2:$A$501,C788,PEDIDO_ITEMS!$B$2:$B$501,E788),"EXCEDE PEDIDO","OK"))))))</f>
        <v/>
      </c>
    </row>
    <row r="789">
      <c r="A789" s="9" t="inlineStr"/>
      <c r="B789" s="2" t="inlineStr"/>
      <c r="C789" s="2" t="inlineStr"/>
      <c r="D789" s="2" t="inlineStr"/>
      <c r="E789" s="2">
        <f>IF(D789="","",IFERROR(XLOOKUP(TRIM(D789),INVENTARIO!$A$2:$A$2000,INVENTARIO!$B$2:$B$2000),"NO ENCONTRADO"))</f>
        <v/>
      </c>
      <c r="F789" s="2">
        <f>IF(D789="","",IFERROR(XLOOKUP(TRIM(D789),INVENTARIO!$A$2:$A$2000,INVENTARIO!$C$2:$C$2000),""))</f>
        <v/>
      </c>
      <c r="G789" s="2">
        <f>IF(D789="","",IF(E789="NO ENCONTRADO","CODIGO NO EXISTE",IF(COUNTIF($D$2:D789,D789)&gt;1,"DUPLICADO",IF(C789="","OK SIN PEDIDO",IF(COUNTIFS(PEDIDO_ITEMS!$A$2:$A$501,C789,PEDIDO_ITEMS!$B$2:$B$501,E789)=0,"NO PEDIDO",IF(COUNTIFS($C$2:C789,C789,$E$2:E789,E789)&gt;SUMIFS(PEDIDO_ITEMS!$C$2:$C$501,PEDIDO_ITEMS!$A$2:$A$501,C789,PEDIDO_ITEMS!$B$2:$B$501,E789),"EXCEDE PEDIDO","OK"))))))</f>
        <v/>
      </c>
    </row>
    <row r="790">
      <c r="A790" s="9" t="inlineStr"/>
      <c r="B790" s="2" t="inlineStr"/>
      <c r="C790" s="2" t="inlineStr"/>
      <c r="D790" s="2" t="inlineStr"/>
      <c r="E790" s="2">
        <f>IF(D790="","",IFERROR(XLOOKUP(TRIM(D790),INVENTARIO!$A$2:$A$2000,INVENTARIO!$B$2:$B$2000),"NO ENCONTRADO"))</f>
        <v/>
      </c>
      <c r="F790" s="2">
        <f>IF(D790="","",IFERROR(XLOOKUP(TRIM(D790),INVENTARIO!$A$2:$A$2000,INVENTARIO!$C$2:$C$2000),""))</f>
        <v/>
      </c>
      <c r="G790" s="2">
        <f>IF(D790="","",IF(E790="NO ENCONTRADO","CODIGO NO EXISTE",IF(COUNTIF($D$2:D790,D790)&gt;1,"DUPLICADO",IF(C790="","OK SIN PEDIDO",IF(COUNTIFS(PEDIDO_ITEMS!$A$2:$A$501,C790,PEDIDO_ITEMS!$B$2:$B$501,E790)=0,"NO PEDIDO",IF(COUNTIFS($C$2:C790,C790,$E$2:E790,E790)&gt;SUMIFS(PEDIDO_ITEMS!$C$2:$C$501,PEDIDO_ITEMS!$A$2:$A$501,C790,PEDIDO_ITEMS!$B$2:$B$501,E790),"EXCEDE PEDIDO","OK"))))))</f>
        <v/>
      </c>
    </row>
    <row r="791">
      <c r="A791" s="9" t="inlineStr"/>
      <c r="B791" s="2" t="inlineStr"/>
      <c r="C791" s="2" t="inlineStr"/>
      <c r="D791" s="2" t="inlineStr"/>
      <c r="E791" s="2">
        <f>IF(D791="","",IFERROR(XLOOKUP(TRIM(D791),INVENTARIO!$A$2:$A$2000,INVENTARIO!$B$2:$B$2000),"NO ENCONTRADO"))</f>
        <v/>
      </c>
      <c r="F791" s="2">
        <f>IF(D791="","",IFERROR(XLOOKUP(TRIM(D791),INVENTARIO!$A$2:$A$2000,INVENTARIO!$C$2:$C$2000),""))</f>
        <v/>
      </c>
      <c r="G791" s="2">
        <f>IF(D791="","",IF(E791="NO ENCONTRADO","CODIGO NO EXISTE",IF(COUNTIF($D$2:D791,D791)&gt;1,"DUPLICADO",IF(C791="","OK SIN PEDIDO",IF(COUNTIFS(PEDIDO_ITEMS!$A$2:$A$501,C791,PEDIDO_ITEMS!$B$2:$B$501,E791)=0,"NO PEDIDO",IF(COUNTIFS($C$2:C791,C791,$E$2:E791,E791)&gt;SUMIFS(PEDIDO_ITEMS!$C$2:$C$501,PEDIDO_ITEMS!$A$2:$A$501,C791,PEDIDO_ITEMS!$B$2:$B$501,E791),"EXCEDE PEDIDO","OK"))))))</f>
        <v/>
      </c>
    </row>
    <row r="792">
      <c r="A792" s="9" t="inlineStr"/>
      <c r="B792" s="2" t="inlineStr"/>
      <c r="C792" s="2" t="inlineStr"/>
      <c r="D792" s="2" t="inlineStr"/>
      <c r="E792" s="2">
        <f>IF(D792="","",IFERROR(XLOOKUP(TRIM(D792),INVENTARIO!$A$2:$A$2000,INVENTARIO!$B$2:$B$2000),"NO ENCONTRADO"))</f>
        <v/>
      </c>
      <c r="F792" s="2">
        <f>IF(D792="","",IFERROR(XLOOKUP(TRIM(D792),INVENTARIO!$A$2:$A$2000,INVENTARIO!$C$2:$C$2000),""))</f>
        <v/>
      </c>
      <c r="G792" s="2">
        <f>IF(D792="","",IF(E792="NO ENCONTRADO","CODIGO NO EXISTE",IF(COUNTIF($D$2:D792,D792)&gt;1,"DUPLICADO",IF(C792="","OK SIN PEDIDO",IF(COUNTIFS(PEDIDO_ITEMS!$A$2:$A$501,C792,PEDIDO_ITEMS!$B$2:$B$501,E792)=0,"NO PEDIDO",IF(COUNTIFS($C$2:C792,C792,$E$2:E792,E792)&gt;SUMIFS(PEDIDO_ITEMS!$C$2:$C$501,PEDIDO_ITEMS!$A$2:$A$501,C792,PEDIDO_ITEMS!$B$2:$B$501,E792),"EXCEDE PEDIDO","OK"))))))</f>
        <v/>
      </c>
    </row>
    <row r="793">
      <c r="A793" s="9" t="inlineStr"/>
      <c r="B793" s="2" t="inlineStr"/>
      <c r="C793" s="2" t="inlineStr"/>
      <c r="D793" s="2" t="inlineStr"/>
      <c r="E793" s="2">
        <f>IF(D793="","",IFERROR(XLOOKUP(TRIM(D793),INVENTARIO!$A$2:$A$2000,INVENTARIO!$B$2:$B$2000),"NO ENCONTRADO"))</f>
        <v/>
      </c>
      <c r="F793" s="2">
        <f>IF(D793="","",IFERROR(XLOOKUP(TRIM(D793),INVENTARIO!$A$2:$A$2000,INVENTARIO!$C$2:$C$2000),""))</f>
        <v/>
      </c>
      <c r="G793" s="2">
        <f>IF(D793="","",IF(E793="NO ENCONTRADO","CODIGO NO EXISTE",IF(COUNTIF($D$2:D793,D793)&gt;1,"DUPLICADO",IF(C793="","OK SIN PEDIDO",IF(COUNTIFS(PEDIDO_ITEMS!$A$2:$A$501,C793,PEDIDO_ITEMS!$B$2:$B$501,E793)=0,"NO PEDIDO",IF(COUNTIFS($C$2:C793,C793,$E$2:E793,E793)&gt;SUMIFS(PEDIDO_ITEMS!$C$2:$C$501,PEDIDO_ITEMS!$A$2:$A$501,C793,PEDIDO_ITEMS!$B$2:$B$501,E793),"EXCEDE PEDIDO","OK"))))))</f>
        <v/>
      </c>
    </row>
    <row r="794">
      <c r="A794" s="9" t="inlineStr"/>
      <c r="B794" s="2" t="inlineStr"/>
      <c r="C794" s="2" t="inlineStr"/>
      <c r="D794" s="2" t="inlineStr"/>
      <c r="E794" s="2">
        <f>IF(D794="","",IFERROR(XLOOKUP(TRIM(D794),INVENTARIO!$A$2:$A$2000,INVENTARIO!$B$2:$B$2000),"NO ENCONTRADO"))</f>
        <v/>
      </c>
      <c r="F794" s="2">
        <f>IF(D794="","",IFERROR(XLOOKUP(TRIM(D794),INVENTARIO!$A$2:$A$2000,INVENTARIO!$C$2:$C$2000),""))</f>
        <v/>
      </c>
      <c r="G794" s="2">
        <f>IF(D794="","",IF(E794="NO ENCONTRADO","CODIGO NO EXISTE",IF(COUNTIF($D$2:D794,D794)&gt;1,"DUPLICADO",IF(C794="","OK SIN PEDIDO",IF(COUNTIFS(PEDIDO_ITEMS!$A$2:$A$501,C794,PEDIDO_ITEMS!$B$2:$B$501,E794)=0,"NO PEDIDO",IF(COUNTIFS($C$2:C794,C794,$E$2:E794,E794)&gt;SUMIFS(PEDIDO_ITEMS!$C$2:$C$501,PEDIDO_ITEMS!$A$2:$A$501,C794,PEDIDO_ITEMS!$B$2:$B$501,E794),"EXCEDE PEDIDO","OK"))))))</f>
        <v/>
      </c>
    </row>
    <row r="795">
      <c r="A795" s="9" t="inlineStr"/>
      <c r="B795" s="2" t="inlineStr"/>
      <c r="C795" s="2" t="inlineStr"/>
      <c r="D795" s="2" t="inlineStr"/>
      <c r="E795" s="2">
        <f>IF(D795="","",IFERROR(XLOOKUP(TRIM(D795),INVENTARIO!$A$2:$A$2000,INVENTARIO!$B$2:$B$2000),"NO ENCONTRADO"))</f>
        <v/>
      </c>
      <c r="F795" s="2">
        <f>IF(D795="","",IFERROR(XLOOKUP(TRIM(D795),INVENTARIO!$A$2:$A$2000,INVENTARIO!$C$2:$C$2000),""))</f>
        <v/>
      </c>
      <c r="G795" s="2">
        <f>IF(D795="","",IF(E795="NO ENCONTRADO","CODIGO NO EXISTE",IF(COUNTIF($D$2:D795,D795)&gt;1,"DUPLICADO",IF(C795="","OK SIN PEDIDO",IF(COUNTIFS(PEDIDO_ITEMS!$A$2:$A$501,C795,PEDIDO_ITEMS!$B$2:$B$501,E795)=0,"NO PEDIDO",IF(COUNTIFS($C$2:C795,C795,$E$2:E795,E795)&gt;SUMIFS(PEDIDO_ITEMS!$C$2:$C$501,PEDIDO_ITEMS!$A$2:$A$501,C795,PEDIDO_ITEMS!$B$2:$B$501,E795),"EXCEDE PEDIDO","OK"))))))</f>
        <v/>
      </c>
    </row>
    <row r="796">
      <c r="A796" s="9" t="inlineStr"/>
      <c r="B796" s="2" t="inlineStr"/>
      <c r="C796" s="2" t="inlineStr"/>
      <c r="D796" s="2" t="inlineStr"/>
      <c r="E796" s="2">
        <f>IF(D796="","",IFERROR(XLOOKUP(TRIM(D796),INVENTARIO!$A$2:$A$2000,INVENTARIO!$B$2:$B$2000),"NO ENCONTRADO"))</f>
        <v/>
      </c>
      <c r="F796" s="2">
        <f>IF(D796="","",IFERROR(XLOOKUP(TRIM(D796),INVENTARIO!$A$2:$A$2000,INVENTARIO!$C$2:$C$2000),""))</f>
        <v/>
      </c>
      <c r="G796" s="2">
        <f>IF(D796="","",IF(E796="NO ENCONTRADO","CODIGO NO EXISTE",IF(COUNTIF($D$2:D796,D796)&gt;1,"DUPLICADO",IF(C796="","OK SIN PEDIDO",IF(COUNTIFS(PEDIDO_ITEMS!$A$2:$A$501,C796,PEDIDO_ITEMS!$B$2:$B$501,E796)=0,"NO PEDIDO",IF(COUNTIFS($C$2:C796,C796,$E$2:E796,E796)&gt;SUMIFS(PEDIDO_ITEMS!$C$2:$C$501,PEDIDO_ITEMS!$A$2:$A$501,C796,PEDIDO_ITEMS!$B$2:$B$501,E796),"EXCEDE PEDIDO","OK"))))))</f>
        <v/>
      </c>
    </row>
    <row r="797">
      <c r="A797" s="9" t="inlineStr"/>
      <c r="B797" s="2" t="inlineStr"/>
      <c r="C797" s="2" t="inlineStr"/>
      <c r="D797" s="2" t="inlineStr"/>
      <c r="E797" s="2">
        <f>IF(D797="","",IFERROR(XLOOKUP(TRIM(D797),INVENTARIO!$A$2:$A$2000,INVENTARIO!$B$2:$B$2000),"NO ENCONTRADO"))</f>
        <v/>
      </c>
      <c r="F797" s="2">
        <f>IF(D797="","",IFERROR(XLOOKUP(TRIM(D797),INVENTARIO!$A$2:$A$2000,INVENTARIO!$C$2:$C$2000),""))</f>
        <v/>
      </c>
      <c r="G797" s="2">
        <f>IF(D797="","",IF(E797="NO ENCONTRADO","CODIGO NO EXISTE",IF(COUNTIF($D$2:D797,D797)&gt;1,"DUPLICADO",IF(C797="","OK SIN PEDIDO",IF(COUNTIFS(PEDIDO_ITEMS!$A$2:$A$501,C797,PEDIDO_ITEMS!$B$2:$B$501,E797)=0,"NO PEDIDO",IF(COUNTIFS($C$2:C797,C797,$E$2:E797,E797)&gt;SUMIFS(PEDIDO_ITEMS!$C$2:$C$501,PEDIDO_ITEMS!$A$2:$A$501,C797,PEDIDO_ITEMS!$B$2:$B$501,E797),"EXCEDE PEDIDO","OK"))))))</f>
        <v/>
      </c>
    </row>
    <row r="798">
      <c r="A798" s="9" t="inlineStr"/>
      <c r="B798" s="2" t="inlineStr"/>
      <c r="C798" s="2" t="inlineStr"/>
      <c r="D798" s="2" t="inlineStr"/>
      <c r="E798" s="2">
        <f>IF(D798="","",IFERROR(XLOOKUP(TRIM(D798),INVENTARIO!$A$2:$A$2000,INVENTARIO!$B$2:$B$2000),"NO ENCONTRADO"))</f>
        <v/>
      </c>
      <c r="F798" s="2">
        <f>IF(D798="","",IFERROR(XLOOKUP(TRIM(D798),INVENTARIO!$A$2:$A$2000,INVENTARIO!$C$2:$C$2000),""))</f>
        <v/>
      </c>
      <c r="G798" s="2">
        <f>IF(D798="","",IF(E798="NO ENCONTRADO","CODIGO NO EXISTE",IF(COUNTIF($D$2:D798,D798)&gt;1,"DUPLICADO",IF(C798="","OK SIN PEDIDO",IF(COUNTIFS(PEDIDO_ITEMS!$A$2:$A$501,C798,PEDIDO_ITEMS!$B$2:$B$501,E798)=0,"NO PEDIDO",IF(COUNTIFS($C$2:C798,C798,$E$2:E798,E798)&gt;SUMIFS(PEDIDO_ITEMS!$C$2:$C$501,PEDIDO_ITEMS!$A$2:$A$501,C798,PEDIDO_ITEMS!$B$2:$B$501,E798),"EXCEDE PEDIDO","OK"))))))</f>
        <v/>
      </c>
    </row>
    <row r="799">
      <c r="A799" s="9" t="inlineStr"/>
      <c r="B799" s="2" t="inlineStr"/>
      <c r="C799" s="2" t="inlineStr"/>
      <c r="D799" s="2" t="inlineStr"/>
      <c r="E799" s="2">
        <f>IF(D799="","",IFERROR(XLOOKUP(TRIM(D799),INVENTARIO!$A$2:$A$2000,INVENTARIO!$B$2:$B$2000),"NO ENCONTRADO"))</f>
        <v/>
      </c>
      <c r="F799" s="2">
        <f>IF(D799="","",IFERROR(XLOOKUP(TRIM(D799),INVENTARIO!$A$2:$A$2000,INVENTARIO!$C$2:$C$2000),""))</f>
        <v/>
      </c>
      <c r="G799" s="2">
        <f>IF(D799="","",IF(E799="NO ENCONTRADO","CODIGO NO EXISTE",IF(COUNTIF($D$2:D799,D799)&gt;1,"DUPLICADO",IF(C799="","OK SIN PEDIDO",IF(COUNTIFS(PEDIDO_ITEMS!$A$2:$A$501,C799,PEDIDO_ITEMS!$B$2:$B$501,E799)=0,"NO PEDIDO",IF(COUNTIFS($C$2:C799,C799,$E$2:E799,E799)&gt;SUMIFS(PEDIDO_ITEMS!$C$2:$C$501,PEDIDO_ITEMS!$A$2:$A$501,C799,PEDIDO_ITEMS!$B$2:$B$501,E799),"EXCEDE PEDIDO","OK"))))))</f>
        <v/>
      </c>
    </row>
    <row r="800">
      <c r="A800" s="9" t="inlineStr"/>
      <c r="B800" s="2" t="inlineStr"/>
      <c r="C800" s="2" t="inlineStr"/>
      <c r="D800" s="2" t="inlineStr"/>
      <c r="E800" s="2">
        <f>IF(D800="","",IFERROR(XLOOKUP(TRIM(D800),INVENTARIO!$A$2:$A$2000,INVENTARIO!$B$2:$B$2000),"NO ENCONTRADO"))</f>
        <v/>
      </c>
      <c r="F800" s="2">
        <f>IF(D800="","",IFERROR(XLOOKUP(TRIM(D800),INVENTARIO!$A$2:$A$2000,INVENTARIO!$C$2:$C$2000),""))</f>
        <v/>
      </c>
      <c r="G800" s="2">
        <f>IF(D800="","",IF(E800="NO ENCONTRADO","CODIGO NO EXISTE",IF(COUNTIF($D$2:D800,D800)&gt;1,"DUPLICADO",IF(C800="","OK SIN PEDIDO",IF(COUNTIFS(PEDIDO_ITEMS!$A$2:$A$501,C800,PEDIDO_ITEMS!$B$2:$B$501,E800)=0,"NO PEDIDO",IF(COUNTIFS($C$2:C800,C800,$E$2:E800,E800)&gt;SUMIFS(PEDIDO_ITEMS!$C$2:$C$501,PEDIDO_ITEMS!$A$2:$A$501,C800,PEDIDO_ITEMS!$B$2:$B$501,E800),"EXCEDE PEDIDO","OK"))))))</f>
        <v/>
      </c>
    </row>
    <row r="801">
      <c r="A801" s="9" t="inlineStr"/>
      <c r="B801" s="2" t="inlineStr"/>
      <c r="C801" s="2" t="inlineStr"/>
      <c r="D801" s="2" t="inlineStr"/>
      <c r="E801" s="2">
        <f>IF(D801="","",IFERROR(XLOOKUP(TRIM(D801),INVENTARIO!$A$2:$A$2000,INVENTARIO!$B$2:$B$2000),"NO ENCONTRADO"))</f>
        <v/>
      </c>
      <c r="F801" s="2">
        <f>IF(D801="","",IFERROR(XLOOKUP(TRIM(D801),INVENTARIO!$A$2:$A$2000,INVENTARIO!$C$2:$C$2000),""))</f>
        <v/>
      </c>
      <c r="G801" s="2">
        <f>IF(D801="","",IF(E801="NO ENCONTRADO","CODIGO NO EXISTE",IF(COUNTIF($D$2:D801,D801)&gt;1,"DUPLICADO",IF(C801="","OK SIN PEDIDO",IF(COUNTIFS(PEDIDO_ITEMS!$A$2:$A$501,C801,PEDIDO_ITEMS!$B$2:$B$501,E801)=0,"NO PEDIDO",IF(COUNTIFS($C$2:C801,C801,$E$2:E801,E801)&gt;SUMIFS(PEDIDO_ITEMS!$C$2:$C$501,PEDIDO_ITEMS!$A$2:$A$501,C801,PEDIDO_ITEMS!$B$2:$B$501,E801),"EXCEDE PEDIDO","OK"))))))</f>
        <v/>
      </c>
    </row>
    <row r="802">
      <c r="A802" s="9" t="inlineStr"/>
      <c r="B802" s="2" t="inlineStr"/>
      <c r="C802" s="2" t="inlineStr"/>
      <c r="D802" s="2" t="inlineStr"/>
      <c r="E802" s="2">
        <f>IF(D802="","",IFERROR(XLOOKUP(TRIM(D802),INVENTARIO!$A$2:$A$2000,INVENTARIO!$B$2:$B$2000),"NO ENCONTRADO"))</f>
        <v/>
      </c>
      <c r="F802" s="2">
        <f>IF(D802="","",IFERROR(XLOOKUP(TRIM(D802),INVENTARIO!$A$2:$A$2000,INVENTARIO!$C$2:$C$2000),""))</f>
        <v/>
      </c>
      <c r="G802" s="2">
        <f>IF(D802="","",IF(E802="NO ENCONTRADO","CODIGO NO EXISTE",IF(COUNTIF($D$2:D802,D802)&gt;1,"DUPLICADO",IF(C802="","OK SIN PEDIDO",IF(COUNTIFS(PEDIDO_ITEMS!$A$2:$A$501,C802,PEDIDO_ITEMS!$B$2:$B$501,E802)=0,"NO PEDIDO",IF(COUNTIFS($C$2:C802,C802,$E$2:E802,E802)&gt;SUMIFS(PEDIDO_ITEMS!$C$2:$C$501,PEDIDO_ITEMS!$A$2:$A$501,C802,PEDIDO_ITEMS!$B$2:$B$501,E802),"EXCEDE PEDIDO","OK"))))))</f>
        <v/>
      </c>
    </row>
    <row r="803">
      <c r="A803" s="9" t="inlineStr"/>
      <c r="B803" s="2" t="inlineStr"/>
      <c r="C803" s="2" t="inlineStr"/>
      <c r="D803" s="2" t="inlineStr"/>
      <c r="E803" s="2">
        <f>IF(D803="","",IFERROR(XLOOKUP(TRIM(D803),INVENTARIO!$A$2:$A$2000,INVENTARIO!$B$2:$B$2000),"NO ENCONTRADO"))</f>
        <v/>
      </c>
      <c r="F803" s="2">
        <f>IF(D803="","",IFERROR(XLOOKUP(TRIM(D803),INVENTARIO!$A$2:$A$2000,INVENTARIO!$C$2:$C$2000),""))</f>
        <v/>
      </c>
      <c r="G803" s="2">
        <f>IF(D803="","",IF(E803="NO ENCONTRADO","CODIGO NO EXISTE",IF(COUNTIF($D$2:D803,D803)&gt;1,"DUPLICADO",IF(C803="","OK SIN PEDIDO",IF(COUNTIFS(PEDIDO_ITEMS!$A$2:$A$501,C803,PEDIDO_ITEMS!$B$2:$B$501,E803)=0,"NO PEDIDO",IF(COUNTIFS($C$2:C803,C803,$E$2:E803,E803)&gt;SUMIFS(PEDIDO_ITEMS!$C$2:$C$501,PEDIDO_ITEMS!$A$2:$A$501,C803,PEDIDO_ITEMS!$B$2:$B$501,E803),"EXCEDE PEDIDO","OK"))))))</f>
        <v/>
      </c>
    </row>
    <row r="804">
      <c r="A804" s="9" t="inlineStr"/>
      <c r="B804" s="2" t="inlineStr"/>
      <c r="C804" s="2" t="inlineStr"/>
      <c r="D804" s="2" t="inlineStr"/>
      <c r="E804" s="2">
        <f>IF(D804="","",IFERROR(XLOOKUP(TRIM(D804),INVENTARIO!$A$2:$A$2000,INVENTARIO!$B$2:$B$2000),"NO ENCONTRADO"))</f>
        <v/>
      </c>
      <c r="F804" s="2">
        <f>IF(D804="","",IFERROR(XLOOKUP(TRIM(D804),INVENTARIO!$A$2:$A$2000,INVENTARIO!$C$2:$C$2000),""))</f>
        <v/>
      </c>
      <c r="G804" s="2">
        <f>IF(D804="","",IF(E804="NO ENCONTRADO","CODIGO NO EXISTE",IF(COUNTIF($D$2:D804,D804)&gt;1,"DUPLICADO",IF(C804="","OK SIN PEDIDO",IF(COUNTIFS(PEDIDO_ITEMS!$A$2:$A$501,C804,PEDIDO_ITEMS!$B$2:$B$501,E804)=0,"NO PEDIDO",IF(COUNTIFS($C$2:C804,C804,$E$2:E804,E804)&gt;SUMIFS(PEDIDO_ITEMS!$C$2:$C$501,PEDIDO_ITEMS!$A$2:$A$501,C804,PEDIDO_ITEMS!$B$2:$B$501,E804),"EXCEDE PEDIDO","OK"))))))</f>
        <v/>
      </c>
    </row>
    <row r="805">
      <c r="A805" s="9" t="inlineStr"/>
      <c r="B805" s="2" t="inlineStr"/>
      <c r="C805" s="2" t="inlineStr"/>
      <c r="D805" s="2" t="inlineStr"/>
      <c r="E805" s="2">
        <f>IF(D805="","",IFERROR(XLOOKUP(TRIM(D805),INVENTARIO!$A$2:$A$2000,INVENTARIO!$B$2:$B$2000),"NO ENCONTRADO"))</f>
        <v/>
      </c>
      <c r="F805" s="2">
        <f>IF(D805="","",IFERROR(XLOOKUP(TRIM(D805),INVENTARIO!$A$2:$A$2000,INVENTARIO!$C$2:$C$2000),""))</f>
        <v/>
      </c>
      <c r="G805" s="2">
        <f>IF(D805="","",IF(E805="NO ENCONTRADO","CODIGO NO EXISTE",IF(COUNTIF($D$2:D805,D805)&gt;1,"DUPLICADO",IF(C805="","OK SIN PEDIDO",IF(COUNTIFS(PEDIDO_ITEMS!$A$2:$A$501,C805,PEDIDO_ITEMS!$B$2:$B$501,E805)=0,"NO PEDIDO",IF(COUNTIFS($C$2:C805,C805,$E$2:E805,E805)&gt;SUMIFS(PEDIDO_ITEMS!$C$2:$C$501,PEDIDO_ITEMS!$A$2:$A$501,C805,PEDIDO_ITEMS!$B$2:$B$501,E805),"EXCEDE PEDIDO","OK"))))))</f>
        <v/>
      </c>
    </row>
    <row r="806">
      <c r="A806" s="9" t="inlineStr"/>
      <c r="B806" s="2" t="inlineStr"/>
      <c r="C806" s="2" t="inlineStr"/>
      <c r="D806" s="2" t="inlineStr"/>
      <c r="E806" s="2">
        <f>IF(D806="","",IFERROR(XLOOKUP(TRIM(D806),INVENTARIO!$A$2:$A$2000,INVENTARIO!$B$2:$B$2000),"NO ENCONTRADO"))</f>
        <v/>
      </c>
      <c r="F806" s="2">
        <f>IF(D806="","",IFERROR(XLOOKUP(TRIM(D806),INVENTARIO!$A$2:$A$2000,INVENTARIO!$C$2:$C$2000),""))</f>
        <v/>
      </c>
      <c r="G806" s="2">
        <f>IF(D806="","",IF(E806="NO ENCONTRADO","CODIGO NO EXISTE",IF(COUNTIF($D$2:D806,D806)&gt;1,"DUPLICADO",IF(C806="","OK SIN PEDIDO",IF(COUNTIFS(PEDIDO_ITEMS!$A$2:$A$501,C806,PEDIDO_ITEMS!$B$2:$B$501,E806)=0,"NO PEDIDO",IF(COUNTIFS($C$2:C806,C806,$E$2:E806,E806)&gt;SUMIFS(PEDIDO_ITEMS!$C$2:$C$501,PEDIDO_ITEMS!$A$2:$A$501,C806,PEDIDO_ITEMS!$B$2:$B$501,E806),"EXCEDE PEDIDO","OK"))))))</f>
        <v/>
      </c>
    </row>
    <row r="807">
      <c r="A807" s="9" t="inlineStr"/>
      <c r="B807" s="2" t="inlineStr"/>
      <c r="C807" s="2" t="inlineStr"/>
      <c r="D807" s="2" t="inlineStr"/>
      <c r="E807" s="2">
        <f>IF(D807="","",IFERROR(XLOOKUP(TRIM(D807),INVENTARIO!$A$2:$A$2000,INVENTARIO!$B$2:$B$2000),"NO ENCONTRADO"))</f>
        <v/>
      </c>
      <c r="F807" s="2">
        <f>IF(D807="","",IFERROR(XLOOKUP(TRIM(D807),INVENTARIO!$A$2:$A$2000,INVENTARIO!$C$2:$C$2000),""))</f>
        <v/>
      </c>
      <c r="G807" s="2">
        <f>IF(D807="","",IF(E807="NO ENCONTRADO","CODIGO NO EXISTE",IF(COUNTIF($D$2:D807,D807)&gt;1,"DUPLICADO",IF(C807="","OK SIN PEDIDO",IF(COUNTIFS(PEDIDO_ITEMS!$A$2:$A$501,C807,PEDIDO_ITEMS!$B$2:$B$501,E807)=0,"NO PEDIDO",IF(COUNTIFS($C$2:C807,C807,$E$2:E807,E807)&gt;SUMIFS(PEDIDO_ITEMS!$C$2:$C$501,PEDIDO_ITEMS!$A$2:$A$501,C807,PEDIDO_ITEMS!$B$2:$B$501,E807),"EXCEDE PEDIDO","OK"))))))</f>
        <v/>
      </c>
    </row>
    <row r="808">
      <c r="A808" s="9" t="inlineStr"/>
      <c r="B808" s="2" t="inlineStr"/>
      <c r="C808" s="2" t="inlineStr"/>
      <c r="D808" s="2" t="inlineStr"/>
      <c r="E808" s="2">
        <f>IF(D808="","",IFERROR(XLOOKUP(TRIM(D808),INVENTARIO!$A$2:$A$2000,INVENTARIO!$B$2:$B$2000),"NO ENCONTRADO"))</f>
        <v/>
      </c>
      <c r="F808" s="2">
        <f>IF(D808="","",IFERROR(XLOOKUP(TRIM(D808),INVENTARIO!$A$2:$A$2000,INVENTARIO!$C$2:$C$2000),""))</f>
        <v/>
      </c>
      <c r="G808" s="2">
        <f>IF(D808="","",IF(E808="NO ENCONTRADO","CODIGO NO EXISTE",IF(COUNTIF($D$2:D808,D808)&gt;1,"DUPLICADO",IF(C808="","OK SIN PEDIDO",IF(COUNTIFS(PEDIDO_ITEMS!$A$2:$A$501,C808,PEDIDO_ITEMS!$B$2:$B$501,E808)=0,"NO PEDIDO",IF(COUNTIFS($C$2:C808,C808,$E$2:E808,E808)&gt;SUMIFS(PEDIDO_ITEMS!$C$2:$C$501,PEDIDO_ITEMS!$A$2:$A$501,C808,PEDIDO_ITEMS!$B$2:$B$501,E808),"EXCEDE PEDIDO","OK"))))))</f>
        <v/>
      </c>
    </row>
    <row r="809">
      <c r="A809" s="9" t="inlineStr"/>
      <c r="B809" s="2" t="inlineStr"/>
      <c r="C809" s="2" t="inlineStr"/>
      <c r="D809" s="2" t="inlineStr"/>
      <c r="E809" s="2">
        <f>IF(D809="","",IFERROR(XLOOKUP(TRIM(D809),INVENTARIO!$A$2:$A$2000,INVENTARIO!$B$2:$B$2000),"NO ENCONTRADO"))</f>
        <v/>
      </c>
      <c r="F809" s="2">
        <f>IF(D809="","",IFERROR(XLOOKUP(TRIM(D809),INVENTARIO!$A$2:$A$2000,INVENTARIO!$C$2:$C$2000),""))</f>
        <v/>
      </c>
      <c r="G809" s="2">
        <f>IF(D809="","",IF(E809="NO ENCONTRADO","CODIGO NO EXISTE",IF(COUNTIF($D$2:D809,D809)&gt;1,"DUPLICADO",IF(C809="","OK SIN PEDIDO",IF(COUNTIFS(PEDIDO_ITEMS!$A$2:$A$501,C809,PEDIDO_ITEMS!$B$2:$B$501,E809)=0,"NO PEDIDO",IF(COUNTIFS($C$2:C809,C809,$E$2:E809,E809)&gt;SUMIFS(PEDIDO_ITEMS!$C$2:$C$501,PEDIDO_ITEMS!$A$2:$A$501,C809,PEDIDO_ITEMS!$B$2:$B$501,E809),"EXCEDE PEDIDO","OK"))))))</f>
        <v/>
      </c>
    </row>
    <row r="810">
      <c r="A810" s="9" t="inlineStr"/>
      <c r="B810" s="2" t="inlineStr"/>
      <c r="C810" s="2" t="inlineStr"/>
      <c r="D810" s="2" t="inlineStr"/>
      <c r="E810" s="2">
        <f>IF(D810="","",IFERROR(XLOOKUP(TRIM(D810),INVENTARIO!$A$2:$A$2000,INVENTARIO!$B$2:$B$2000),"NO ENCONTRADO"))</f>
        <v/>
      </c>
      <c r="F810" s="2">
        <f>IF(D810="","",IFERROR(XLOOKUP(TRIM(D810),INVENTARIO!$A$2:$A$2000,INVENTARIO!$C$2:$C$2000),""))</f>
        <v/>
      </c>
      <c r="G810" s="2">
        <f>IF(D810="","",IF(E810="NO ENCONTRADO","CODIGO NO EXISTE",IF(COUNTIF($D$2:D810,D810)&gt;1,"DUPLICADO",IF(C810="","OK SIN PEDIDO",IF(COUNTIFS(PEDIDO_ITEMS!$A$2:$A$501,C810,PEDIDO_ITEMS!$B$2:$B$501,E810)=0,"NO PEDIDO",IF(COUNTIFS($C$2:C810,C810,$E$2:E810,E810)&gt;SUMIFS(PEDIDO_ITEMS!$C$2:$C$501,PEDIDO_ITEMS!$A$2:$A$501,C810,PEDIDO_ITEMS!$B$2:$B$501,E810),"EXCEDE PEDIDO","OK"))))))</f>
        <v/>
      </c>
    </row>
    <row r="811">
      <c r="A811" s="9" t="inlineStr"/>
      <c r="B811" s="2" t="inlineStr"/>
      <c r="C811" s="2" t="inlineStr"/>
      <c r="D811" s="2" t="inlineStr"/>
      <c r="E811" s="2">
        <f>IF(D811="","",IFERROR(XLOOKUP(TRIM(D811),INVENTARIO!$A$2:$A$2000,INVENTARIO!$B$2:$B$2000),"NO ENCONTRADO"))</f>
        <v/>
      </c>
      <c r="F811" s="2">
        <f>IF(D811="","",IFERROR(XLOOKUP(TRIM(D811),INVENTARIO!$A$2:$A$2000,INVENTARIO!$C$2:$C$2000),""))</f>
        <v/>
      </c>
      <c r="G811" s="2">
        <f>IF(D811="","",IF(E811="NO ENCONTRADO","CODIGO NO EXISTE",IF(COUNTIF($D$2:D811,D811)&gt;1,"DUPLICADO",IF(C811="","OK SIN PEDIDO",IF(COUNTIFS(PEDIDO_ITEMS!$A$2:$A$501,C811,PEDIDO_ITEMS!$B$2:$B$501,E811)=0,"NO PEDIDO",IF(COUNTIFS($C$2:C811,C811,$E$2:E811,E811)&gt;SUMIFS(PEDIDO_ITEMS!$C$2:$C$501,PEDIDO_ITEMS!$A$2:$A$501,C811,PEDIDO_ITEMS!$B$2:$B$501,E811),"EXCEDE PEDIDO","OK"))))))</f>
        <v/>
      </c>
    </row>
    <row r="812">
      <c r="A812" s="9" t="inlineStr"/>
      <c r="B812" s="2" t="inlineStr"/>
      <c r="C812" s="2" t="inlineStr"/>
      <c r="D812" s="2" t="inlineStr"/>
      <c r="E812" s="2">
        <f>IF(D812="","",IFERROR(XLOOKUP(TRIM(D812),INVENTARIO!$A$2:$A$2000,INVENTARIO!$B$2:$B$2000),"NO ENCONTRADO"))</f>
        <v/>
      </c>
      <c r="F812" s="2">
        <f>IF(D812="","",IFERROR(XLOOKUP(TRIM(D812),INVENTARIO!$A$2:$A$2000,INVENTARIO!$C$2:$C$2000),""))</f>
        <v/>
      </c>
      <c r="G812" s="2">
        <f>IF(D812="","",IF(E812="NO ENCONTRADO","CODIGO NO EXISTE",IF(COUNTIF($D$2:D812,D812)&gt;1,"DUPLICADO",IF(C812="","OK SIN PEDIDO",IF(COUNTIFS(PEDIDO_ITEMS!$A$2:$A$501,C812,PEDIDO_ITEMS!$B$2:$B$501,E812)=0,"NO PEDIDO",IF(COUNTIFS($C$2:C812,C812,$E$2:E812,E812)&gt;SUMIFS(PEDIDO_ITEMS!$C$2:$C$501,PEDIDO_ITEMS!$A$2:$A$501,C812,PEDIDO_ITEMS!$B$2:$B$501,E812),"EXCEDE PEDIDO","OK"))))))</f>
        <v/>
      </c>
    </row>
    <row r="813">
      <c r="A813" s="9" t="inlineStr"/>
      <c r="B813" s="2" t="inlineStr"/>
      <c r="C813" s="2" t="inlineStr"/>
      <c r="D813" s="2" t="inlineStr"/>
      <c r="E813" s="2">
        <f>IF(D813="","",IFERROR(XLOOKUP(TRIM(D813),INVENTARIO!$A$2:$A$2000,INVENTARIO!$B$2:$B$2000),"NO ENCONTRADO"))</f>
        <v/>
      </c>
      <c r="F813" s="2">
        <f>IF(D813="","",IFERROR(XLOOKUP(TRIM(D813),INVENTARIO!$A$2:$A$2000,INVENTARIO!$C$2:$C$2000),""))</f>
        <v/>
      </c>
      <c r="G813" s="2">
        <f>IF(D813="","",IF(E813="NO ENCONTRADO","CODIGO NO EXISTE",IF(COUNTIF($D$2:D813,D813)&gt;1,"DUPLICADO",IF(C813="","OK SIN PEDIDO",IF(COUNTIFS(PEDIDO_ITEMS!$A$2:$A$501,C813,PEDIDO_ITEMS!$B$2:$B$501,E813)=0,"NO PEDIDO",IF(COUNTIFS($C$2:C813,C813,$E$2:E813,E813)&gt;SUMIFS(PEDIDO_ITEMS!$C$2:$C$501,PEDIDO_ITEMS!$A$2:$A$501,C813,PEDIDO_ITEMS!$B$2:$B$501,E813),"EXCEDE PEDIDO","OK"))))))</f>
        <v/>
      </c>
    </row>
    <row r="814">
      <c r="A814" s="9" t="inlineStr"/>
      <c r="B814" s="2" t="inlineStr"/>
      <c r="C814" s="2" t="inlineStr"/>
      <c r="D814" s="2" t="inlineStr"/>
      <c r="E814" s="2">
        <f>IF(D814="","",IFERROR(XLOOKUP(TRIM(D814),INVENTARIO!$A$2:$A$2000,INVENTARIO!$B$2:$B$2000),"NO ENCONTRADO"))</f>
        <v/>
      </c>
      <c r="F814" s="2">
        <f>IF(D814="","",IFERROR(XLOOKUP(TRIM(D814),INVENTARIO!$A$2:$A$2000,INVENTARIO!$C$2:$C$2000),""))</f>
        <v/>
      </c>
      <c r="G814" s="2">
        <f>IF(D814="","",IF(E814="NO ENCONTRADO","CODIGO NO EXISTE",IF(COUNTIF($D$2:D814,D814)&gt;1,"DUPLICADO",IF(C814="","OK SIN PEDIDO",IF(COUNTIFS(PEDIDO_ITEMS!$A$2:$A$501,C814,PEDIDO_ITEMS!$B$2:$B$501,E814)=0,"NO PEDIDO",IF(COUNTIFS($C$2:C814,C814,$E$2:E814,E814)&gt;SUMIFS(PEDIDO_ITEMS!$C$2:$C$501,PEDIDO_ITEMS!$A$2:$A$501,C814,PEDIDO_ITEMS!$B$2:$B$501,E814),"EXCEDE PEDIDO","OK"))))))</f>
        <v/>
      </c>
    </row>
    <row r="815">
      <c r="A815" s="9" t="inlineStr"/>
      <c r="B815" s="2" t="inlineStr"/>
      <c r="C815" s="2" t="inlineStr"/>
      <c r="D815" s="2" t="inlineStr"/>
      <c r="E815" s="2">
        <f>IF(D815="","",IFERROR(XLOOKUP(TRIM(D815),INVENTARIO!$A$2:$A$2000,INVENTARIO!$B$2:$B$2000),"NO ENCONTRADO"))</f>
        <v/>
      </c>
      <c r="F815" s="2">
        <f>IF(D815="","",IFERROR(XLOOKUP(TRIM(D815),INVENTARIO!$A$2:$A$2000,INVENTARIO!$C$2:$C$2000),""))</f>
        <v/>
      </c>
      <c r="G815" s="2">
        <f>IF(D815="","",IF(E815="NO ENCONTRADO","CODIGO NO EXISTE",IF(COUNTIF($D$2:D815,D815)&gt;1,"DUPLICADO",IF(C815="","OK SIN PEDIDO",IF(COUNTIFS(PEDIDO_ITEMS!$A$2:$A$501,C815,PEDIDO_ITEMS!$B$2:$B$501,E815)=0,"NO PEDIDO",IF(COUNTIFS($C$2:C815,C815,$E$2:E815,E815)&gt;SUMIFS(PEDIDO_ITEMS!$C$2:$C$501,PEDIDO_ITEMS!$A$2:$A$501,C815,PEDIDO_ITEMS!$B$2:$B$501,E815),"EXCEDE PEDIDO","OK"))))))</f>
        <v/>
      </c>
    </row>
    <row r="816">
      <c r="A816" s="9" t="inlineStr"/>
      <c r="B816" s="2" t="inlineStr"/>
      <c r="C816" s="2" t="inlineStr"/>
      <c r="D816" s="2" t="inlineStr"/>
      <c r="E816" s="2">
        <f>IF(D816="","",IFERROR(XLOOKUP(TRIM(D816),INVENTARIO!$A$2:$A$2000,INVENTARIO!$B$2:$B$2000),"NO ENCONTRADO"))</f>
        <v/>
      </c>
      <c r="F816" s="2">
        <f>IF(D816="","",IFERROR(XLOOKUP(TRIM(D816),INVENTARIO!$A$2:$A$2000,INVENTARIO!$C$2:$C$2000),""))</f>
        <v/>
      </c>
      <c r="G816" s="2">
        <f>IF(D816="","",IF(E816="NO ENCONTRADO","CODIGO NO EXISTE",IF(COUNTIF($D$2:D816,D816)&gt;1,"DUPLICADO",IF(C816="","OK SIN PEDIDO",IF(COUNTIFS(PEDIDO_ITEMS!$A$2:$A$501,C816,PEDIDO_ITEMS!$B$2:$B$501,E816)=0,"NO PEDIDO",IF(COUNTIFS($C$2:C816,C816,$E$2:E816,E816)&gt;SUMIFS(PEDIDO_ITEMS!$C$2:$C$501,PEDIDO_ITEMS!$A$2:$A$501,C816,PEDIDO_ITEMS!$B$2:$B$501,E816),"EXCEDE PEDIDO","OK"))))))</f>
        <v/>
      </c>
    </row>
    <row r="817">
      <c r="A817" s="9" t="inlineStr"/>
      <c r="B817" s="2" t="inlineStr"/>
      <c r="C817" s="2" t="inlineStr"/>
      <c r="D817" s="2" t="inlineStr"/>
      <c r="E817" s="2">
        <f>IF(D817="","",IFERROR(XLOOKUP(TRIM(D817),INVENTARIO!$A$2:$A$2000,INVENTARIO!$B$2:$B$2000),"NO ENCONTRADO"))</f>
        <v/>
      </c>
      <c r="F817" s="2">
        <f>IF(D817="","",IFERROR(XLOOKUP(TRIM(D817),INVENTARIO!$A$2:$A$2000,INVENTARIO!$C$2:$C$2000),""))</f>
        <v/>
      </c>
      <c r="G817" s="2">
        <f>IF(D817="","",IF(E817="NO ENCONTRADO","CODIGO NO EXISTE",IF(COUNTIF($D$2:D817,D817)&gt;1,"DUPLICADO",IF(C817="","OK SIN PEDIDO",IF(COUNTIFS(PEDIDO_ITEMS!$A$2:$A$501,C817,PEDIDO_ITEMS!$B$2:$B$501,E817)=0,"NO PEDIDO",IF(COUNTIFS($C$2:C817,C817,$E$2:E817,E817)&gt;SUMIFS(PEDIDO_ITEMS!$C$2:$C$501,PEDIDO_ITEMS!$A$2:$A$501,C817,PEDIDO_ITEMS!$B$2:$B$501,E817),"EXCEDE PEDIDO","OK"))))))</f>
        <v/>
      </c>
    </row>
    <row r="818">
      <c r="A818" s="9" t="inlineStr"/>
      <c r="B818" s="2" t="inlineStr"/>
      <c r="C818" s="2" t="inlineStr"/>
      <c r="D818" s="2" t="inlineStr"/>
      <c r="E818" s="2">
        <f>IF(D818="","",IFERROR(XLOOKUP(TRIM(D818),INVENTARIO!$A$2:$A$2000,INVENTARIO!$B$2:$B$2000),"NO ENCONTRADO"))</f>
        <v/>
      </c>
      <c r="F818" s="2">
        <f>IF(D818="","",IFERROR(XLOOKUP(TRIM(D818),INVENTARIO!$A$2:$A$2000,INVENTARIO!$C$2:$C$2000),""))</f>
        <v/>
      </c>
      <c r="G818" s="2">
        <f>IF(D818="","",IF(E818="NO ENCONTRADO","CODIGO NO EXISTE",IF(COUNTIF($D$2:D818,D818)&gt;1,"DUPLICADO",IF(C818="","OK SIN PEDIDO",IF(COUNTIFS(PEDIDO_ITEMS!$A$2:$A$501,C818,PEDIDO_ITEMS!$B$2:$B$501,E818)=0,"NO PEDIDO",IF(COUNTIFS($C$2:C818,C818,$E$2:E818,E818)&gt;SUMIFS(PEDIDO_ITEMS!$C$2:$C$501,PEDIDO_ITEMS!$A$2:$A$501,C818,PEDIDO_ITEMS!$B$2:$B$501,E818),"EXCEDE PEDIDO","OK"))))))</f>
        <v/>
      </c>
    </row>
    <row r="819">
      <c r="A819" s="9" t="inlineStr"/>
      <c r="B819" s="2" t="inlineStr"/>
      <c r="C819" s="2" t="inlineStr"/>
      <c r="D819" s="2" t="inlineStr"/>
      <c r="E819" s="2">
        <f>IF(D819="","",IFERROR(XLOOKUP(TRIM(D819),INVENTARIO!$A$2:$A$2000,INVENTARIO!$B$2:$B$2000),"NO ENCONTRADO"))</f>
        <v/>
      </c>
      <c r="F819" s="2">
        <f>IF(D819="","",IFERROR(XLOOKUP(TRIM(D819),INVENTARIO!$A$2:$A$2000,INVENTARIO!$C$2:$C$2000),""))</f>
        <v/>
      </c>
      <c r="G819" s="2">
        <f>IF(D819="","",IF(E819="NO ENCONTRADO","CODIGO NO EXISTE",IF(COUNTIF($D$2:D819,D819)&gt;1,"DUPLICADO",IF(C819="","OK SIN PEDIDO",IF(COUNTIFS(PEDIDO_ITEMS!$A$2:$A$501,C819,PEDIDO_ITEMS!$B$2:$B$501,E819)=0,"NO PEDIDO",IF(COUNTIFS($C$2:C819,C819,$E$2:E819,E819)&gt;SUMIFS(PEDIDO_ITEMS!$C$2:$C$501,PEDIDO_ITEMS!$A$2:$A$501,C819,PEDIDO_ITEMS!$B$2:$B$501,E819),"EXCEDE PEDIDO","OK"))))))</f>
        <v/>
      </c>
    </row>
    <row r="820">
      <c r="A820" s="9" t="inlineStr"/>
      <c r="B820" s="2" t="inlineStr"/>
      <c r="C820" s="2" t="inlineStr"/>
      <c r="D820" s="2" t="inlineStr"/>
      <c r="E820" s="2">
        <f>IF(D820="","",IFERROR(XLOOKUP(TRIM(D820),INVENTARIO!$A$2:$A$2000,INVENTARIO!$B$2:$B$2000),"NO ENCONTRADO"))</f>
        <v/>
      </c>
      <c r="F820" s="2">
        <f>IF(D820="","",IFERROR(XLOOKUP(TRIM(D820),INVENTARIO!$A$2:$A$2000,INVENTARIO!$C$2:$C$2000),""))</f>
        <v/>
      </c>
      <c r="G820" s="2">
        <f>IF(D820="","",IF(E820="NO ENCONTRADO","CODIGO NO EXISTE",IF(COUNTIF($D$2:D820,D820)&gt;1,"DUPLICADO",IF(C820="","OK SIN PEDIDO",IF(COUNTIFS(PEDIDO_ITEMS!$A$2:$A$501,C820,PEDIDO_ITEMS!$B$2:$B$501,E820)=0,"NO PEDIDO",IF(COUNTIFS($C$2:C820,C820,$E$2:E820,E820)&gt;SUMIFS(PEDIDO_ITEMS!$C$2:$C$501,PEDIDO_ITEMS!$A$2:$A$501,C820,PEDIDO_ITEMS!$B$2:$B$501,E820),"EXCEDE PEDIDO","OK"))))))</f>
        <v/>
      </c>
    </row>
    <row r="821">
      <c r="A821" s="9" t="inlineStr"/>
      <c r="B821" s="2" t="inlineStr"/>
      <c r="C821" s="2" t="inlineStr"/>
      <c r="D821" s="2" t="inlineStr"/>
      <c r="E821" s="2">
        <f>IF(D821="","",IFERROR(XLOOKUP(TRIM(D821),INVENTARIO!$A$2:$A$2000,INVENTARIO!$B$2:$B$2000),"NO ENCONTRADO"))</f>
        <v/>
      </c>
      <c r="F821" s="2">
        <f>IF(D821="","",IFERROR(XLOOKUP(TRIM(D821),INVENTARIO!$A$2:$A$2000,INVENTARIO!$C$2:$C$2000),""))</f>
        <v/>
      </c>
      <c r="G821" s="2">
        <f>IF(D821="","",IF(E821="NO ENCONTRADO","CODIGO NO EXISTE",IF(COUNTIF($D$2:D821,D821)&gt;1,"DUPLICADO",IF(C821="","OK SIN PEDIDO",IF(COUNTIFS(PEDIDO_ITEMS!$A$2:$A$501,C821,PEDIDO_ITEMS!$B$2:$B$501,E821)=0,"NO PEDIDO",IF(COUNTIFS($C$2:C821,C821,$E$2:E821,E821)&gt;SUMIFS(PEDIDO_ITEMS!$C$2:$C$501,PEDIDO_ITEMS!$A$2:$A$501,C821,PEDIDO_ITEMS!$B$2:$B$501,E821),"EXCEDE PEDIDO","OK"))))))</f>
        <v/>
      </c>
    </row>
    <row r="822">
      <c r="A822" s="9" t="inlineStr"/>
      <c r="B822" s="2" t="inlineStr"/>
      <c r="C822" s="2" t="inlineStr"/>
      <c r="D822" s="2" t="inlineStr"/>
      <c r="E822" s="2">
        <f>IF(D822="","",IFERROR(XLOOKUP(TRIM(D822),INVENTARIO!$A$2:$A$2000,INVENTARIO!$B$2:$B$2000),"NO ENCONTRADO"))</f>
        <v/>
      </c>
      <c r="F822" s="2">
        <f>IF(D822="","",IFERROR(XLOOKUP(TRIM(D822),INVENTARIO!$A$2:$A$2000,INVENTARIO!$C$2:$C$2000),""))</f>
        <v/>
      </c>
      <c r="G822" s="2">
        <f>IF(D822="","",IF(E822="NO ENCONTRADO","CODIGO NO EXISTE",IF(COUNTIF($D$2:D822,D822)&gt;1,"DUPLICADO",IF(C822="","OK SIN PEDIDO",IF(COUNTIFS(PEDIDO_ITEMS!$A$2:$A$501,C822,PEDIDO_ITEMS!$B$2:$B$501,E822)=0,"NO PEDIDO",IF(COUNTIFS($C$2:C822,C822,$E$2:E822,E822)&gt;SUMIFS(PEDIDO_ITEMS!$C$2:$C$501,PEDIDO_ITEMS!$A$2:$A$501,C822,PEDIDO_ITEMS!$B$2:$B$501,E822),"EXCEDE PEDIDO","OK"))))))</f>
        <v/>
      </c>
    </row>
    <row r="823">
      <c r="A823" s="9" t="inlineStr"/>
      <c r="B823" s="2" t="inlineStr"/>
      <c r="C823" s="2" t="inlineStr"/>
      <c r="D823" s="2" t="inlineStr"/>
      <c r="E823" s="2">
        <f>IF(D823="","",IFERROR(XLOOKUP(TRIM(D823),INVENTARIO!$A$2:$A$2000,INVENTARIO!$B$2:$B$2000),"NO ENCONTRADO"))</f>
        <v/>
      </c>
      <c r="F823" s="2">
        <f>IF(D823="","",IFERROR(XLOOKUP(TRIM(D823),INVENTARIO!$A$2:$A$2000,INVENTARIO!$C$2:$C$2000),""))</f>
        <v/>
      </c>
      <c r="G823" s="2">
        <f>IF(D823="","",IF(E823="NO ENCONTRADO","CODIGO NO EXISTE",IF(COUNTIF($D$2:D823,D823)&gt;1,"DUPLICADO",IF(C823="","OK SIN PEDIDO",IF(COUNTIFS(PEDIDO_ITEMS!$A$2:$A$501,C823,PEDIDO_ITEMS!$B$2:$B$501,E823)=0,"NO PEDIDO",IF(COUNTIFS($C$2:C823,C823,$E$2:E823,E823)&gt;SUMIFS(PEDIDO_ITEMS!$C$2:$C$501,PEDIDO_ITEMS!$A$2:$A$501,C823,PEDIDO_ITEMS!$B$2:$B$501,E823),"EXCEDE PEDIDO","OK"))))))</f>
        <v/>
      </c>
    </row>
    <row r="824">
      <c r="A824" s="9" t="inlineStr"/>
      <c r="B824" s="2" t="inlineStr"/>
      <c r="C824" s="2" t="inlineStr"/>
      <c r="D824" s="2" t="inlineStr"/>
      <c r="E824" s="2">
        <f>IF(D824="","",IFERROR(XLOOKUP(TRIM(D824),INVENTARIO!$A$2:$A$2000,INVENTARIO!$B$2:$B$2000),"NO ENCONTRADO"))</f>
        <v/>
      </c>
      <c r="F824" s="2">
        <f>IF(D824="","",IFERROR(XLOOKUP(TRIM(D824),INVENTARIO!$A$2:$A$2000,INVENTARIO!$C$2:$C$2000),""))</f>
        <v/>
      </c>
      <c r="G824" s="2">
        <f>IF(D824="","",IF(E824="NO ENCONTRADO","CODIGO NO EXISTE",IF(COUNTIF($D$2:D824,D824)&gt;1,"DUPLICADO",IF(C824="","OK SIN PEDIDO",IF(COUNTIFS(PEDIDO_ITEMS!$A$2:$A$501,C824,PEDIDO_ITEMS!$B$2:$B$501,E824)=0,"NO PEDIDO",IF(COUNTIFS($C$2:C824,C824,$E$2:E824,E824)&gt;SUMIFS(PEDIDO_ITEMS!$C$2:$C$501,PEDIDO_ITEMS!$A$2:$A$501,C824,PEDIDO_ITEMS!$B$2:$B$501,E824),"EXCEDE PEDIDO","OK"))))))</f>
        <v/>
      </c>
    </row>
    <row r="825">
      <c r="A825" s="9" t="inlineStr"/>
      <c r="B825" s="2" t="inlineStr"/>
      <c r="C825" s="2" t="inlineStr"/>
      <c r="D825" s="2" t="inlineStr"/>
      <c r="E825" s="2">
        <f>IF(D825="","",IFERROR(XLOOKUP(TRIM(D825),INVENTARIO!$A$2:$A$2000,INVENTARIO!$B$2:$B$2000),"NO ENCONTRADO"))</f>
        <v/>
      </c>
      <c r="F825" s="2">
        <f>IF(D825="","",IFERROR(XLOOKUP(TRIM(D825),INVENTARIO!$A$2:$A$2000,INVENTARIO!$C$2:$C$2000),""))</f>
        <v/>
      </c>
      <c r="G825" s="2">
        <f>IF(D825="","",IF(E825="NO ENCONTRADO","CODIGO NO EXISTE",IF(COUNTIF($D$2:D825,D825)&gt;1,"DUPLICADO",IF(C825="","OK SIN PEDIDO",IF(COUNTIFS(PEDIDO_ITEMS!$A$2:$A$501,C825,PEDIDO_ITEMS!$B$2:$B$501,E825)=0,"NO PEDIDO",IF(COUNTIFS($C$2:C825,C825,$E$2:E825,E825)&gt;SUMIFS(PEDIDO_ITEMS!$C$2:$C$501,PEDIDO_ITEMS!$A$2:$A$501,C825,PEDIDO_ITEMS!$B$2:$B$501,E825),"EXCEDE PEDIDO","OK"))))))</f>
        <v/>
      </c>
    </row>
    <row r="826">
      <c r="A826" s="9" t="inlineStr"/>
      <c r="B826" s="2" t="inlineStr"/>
      <c r="C826" s="2" t="inlineStr"/>
      <c r="D826" s="2" t="inlineStr"/>
      <c r="E826" s="2">
        <f>IF(D826="","",IFERROR(XLOOKUP(TRIM(D826),INVENTARIO!$A$2:$A$2000,INVENTARIO!$B$2:$B$2000),"NO ENCONTRADO"))</f>
        <v/>
      </c>
      <c r="F826" s="2">
        <f>IF(D826="","",IFERROR(XLOOKUP(TRIM(D826),INVENTARIO!$A$2:$A$2000,INVENTARIO!$C$2:$C$2000),""))</f>
        <v/>
      </c>
      <c r="G826" s="2">
        <f>IF(D826="","",IF(E826="NO ENCONTRADO","CODIGO NO EXISTE",IF(COUNTIF($D$2:D826,D826)&gt;1,"DUPLICADO",IF(C826="","OK SIN PEDIDO",IF(COUNTIFS(PEDIDO_ITEMS!$A$2:$A$501,C826,PEDIDO_ITEMS!$B$2:$B$501,E826)=0,"NO PEDIDO",IF(COUNTIFS($C$2:C826,C826,$E$2:E826,E826)&gt;SUMIFS(PEDIDO_ITEMS!$C$2:$C$501,PEDIDO_ITEMS!$A$2:$A$501,C826,PEDIDO_ITEMS!$B$2:$B$501,E826),"EXCEDE PEDIDO","OK"))))))</f>
        <v/>
      </c>
    </row>
    <row r="827">
      <c r="A827" s="9" t="inlineStr"/>
      <c r="B827" s="2" t="inlineStr"/>
      <c r="C827" s="2" t="inlineStr"/>
      <c r="D827" s="2" t="inlineStr"/>
      <c r="E827" s="2">
        <f>IF(D827="","",IFERROR(XLOOKUP(TRIM(D827),INVENTARIO!$A$2:$A$2000,INVENTARIO!$B$2:$B$2000),"NO ENCONTRADO"))</f>
        <v/>
      </c>
      <c r="F827" s="2">
        <f>IF(D827="","",IFERROR(XLOOKUP(TRIM(D827),INVENTARIO!$A$2:$A$2000,INVENTARIO!$C$2:$C$2000),""))</f>
        <v/>
      </c>
      <c r="G827" s="2">
        <f>IF(D827="","",IF(E827="NO ENCONTRADO","CODIGO NO EXISTE",IF(COUNTIF($D$2:D827,D827)&gt;1,"DUPLICADO",IF(C827="","OK SIN PEDIDO",IF(COUNTIFS(PEDIDO_ITEMS!$A$2:$A$501,C827,PEDIDO_ITEMS!$B$2:$B$501,E827)=0,"NO PEDIDO",IF(COUNTIFS($C$2:C827,C827,$E$2:E827,E827)&gt;SUMIFS(PEDIDO_ITEMS!$C$2:$C$501,PEDIDO_ITEMS!$A$2:$A$501,C827,PEDIDO_ITEMS!$B$2:$B$501,E827),"EXCEDE PEDIDO","OK"))))))</f>
        <v/>
      </c>
    </row>
    <row r="828">
      <c r="A828" s="9" t="inlineStr"/>
      <c r="B828" s="2" t="inlineStr"/>
      <c r="C828" s="2" t="inlineStr"/>
      <c r="D828" s="2" t="inlineStr"/>
      <c r="E828" s="2">
        <f>IF(D828="","",IFERROR(XLOOKUP(TRIM(D828),INVENTARIO!$A$2:$A$2000,INVENTARIO!$B$2:$B$2000),"NO ENCONTRADO"))</f>
        <v/>
      </c>
      <c r="F828" s="2">
        <f>IF(D828="","",IFERROR(XLOOKUP(TRIM(D828),INVENTARIO!$A$2:$A$2000,INVENTARIO!$C$2:$C$2000),""))</f>
        <v/>
      </c>
      <c r="G828" s="2">
        <f>IF(D828="","",IF(E828="NO ENCONTRADO","CODIGO NO EXISTE",IF(COUNTIF($D$2:D828,D828)&gt;1,"DUPLICADO",IF(C828="","OK SIN PEDIDO",IF(COUNTIFS(PEDIDO_ITEMS!$A$2:$A$501,C828,PEDIDO_ITEMS!$B$2:$B$501,E828)=0,"NO PEDIDO",IF(COUNTIFS($C$2:C828,C828,$E$2:E828,E828)&gt;SUMIFS(PEDIDO_ITEMS!$C$2:$C$501,PEDIDO_ITEMS!$A$2:$A$501,C828,PEDIDO_ITEMS!$B$2:$B$501,E828),"EXCEDE PEDIDO","OK"))))))</f>
        <v/>
      </c>
    </row>
    <row r="829">
      <c r="A829" s="9" t="inlineStr"/>
      <c r="B829" s="2" t="inlineStr"/>
      <c r="C829" s="2" t="inlineStr"/>
      <c r="D829" s="2" t="inlineStr"/>
      <c r="E829" s="2">
        <f>IF(D829="","",IFERROR(XLOOKUP(TRIM(D829),INVENTARIO!$A$2:$A$2000,INVENTARIO!$B$2:$B$2000),"NO ENCONTRADO"))</f>
        <v/>
      </c>
      <c r="F829" s="2">
        <f>IF(D829="","",IFERROR(XLOOKUP(TRIM(D829),INVENTARIO!$A$2:$A$2000,INVENTARIO!$C$2:$C$2000),""))</f>
        <v/>
      </c>
      <c r="G829" s="2">
        <f>IF(D829="","",IF(E829="NO ENCONTRADO","CODIGO NO EXISTE",IF(COUNTIF($D$2:D829,D829)&gt;1,"DUPLICADO",IF(C829="","OK SIN PEDIDO",IF(COUNTIFS(PEDIDO_ITEMS!$A$2:$A$501,C829,PEDIDO_ITEMS!$B$2:$B$501,E829)=0,"NO PEDIDO",IF(COUNTIFS($C$2:C829,C829,$E$2:E829,E829)&gt;SUMIFS(PEDIDO_ITEMS!$C$2:$C$501,PEDIDO_ITEMS!$A$2:$A$501,C829,PEDIDO_ITEMS!$B$2:$B$501,E829),"EXCEDE PEDIDO","OK"))))))</f>
        <v/>
      </c>
    </row>
    <row r="830">
      <c r="A830" s="9" t="inlineStr"/>
      <c r="B830" s="2" t="inlineStr"/>
      <c r="C830" s="2" t="inlineStr"/>
      <c r="D830" s="2" t="inlineStr"/>
      <c r="E830" s="2">
        <f>IF(D830="","",IFERROR(XLOOKUP(TRIM(D830),INVENTARIO!$A$2:$A$2000,INVENTARIO!$B$2:$B$2000),"NO ENCONTRADO"))</f>
        <v/>
      </c>
      <c r="F830" s="2">
        <f>IF(D830="","",IFERROR(XLOOKUP(TRIM(D830),INVENTARIO!$A$2:$A$2000,INVENTARIO!$C$2:$C$2000),""))</f>
        <v/>
      </c>
      <c r="G830" s="2">
        <f>IF(D830="","",IF(E830="NO ENCONTRADO","CODIGO NO EXISTE",IF(COUNTIF($D$2:D830,D830)&gt;1,"DUPLICADO",IF(C830="","OK SIN PEDIDO",IF(COUNTIFS(PEDIDO_ITEMS!$A$2:$A$501,C830,PEDIDO_ITEMS!$B$2:$B$501,E830)=0,"NO PEDIDO",IF(COUNTIFS($C$2:C830,C830,$E$2:E830,E830)&gt;SUMIFS(PEDIDO_ITEMS!$C$2:$C$501,PEDIDO_ITEMS!$A$2:$A$501,C830,PEDIDO_ITEMS!$B$2:$B$501,E830),"EXCEDE PEDIDO","OK"))))))</f>
        <v/>
      </c>
    </row>
    <row r="831">
      <c r="A831" s="9" t="inlineStr"/>
      <c r="B831" s="2" t="inlineStr"/>
      <c r="C831" s="2" t="inlineStr"/>
      <c r="D831" s="2" t="inlineStr"/>
      <c r="E831" s="2">
        <f>IF(D831="","",IFERROR(XLOOKUP(TRIM(D831),INVENTARIO!$A$2:$A$2000,INVENTARIO!$B$2:$B$2000),"NO ENCONTRADO"))</f>
        <v/>
      </c>
      <c r="F831" s="2">
        <f>IF(D831="","",IFERROR(XLOOKUP(TRIM(D831),INVENTARIO!$A$2:$A$2000,INVENTARIO!$C$2:$C$2000),""))</f>
        <v/>
      </c>
      <c r="G831" s="2">
        <f>IF(D831="","",IF(E831="NO ENCONTRADO","CODIGO NO EXISTE",IF(COUNTIF($D$2:D831,D831)&gt;1,"DUPLICADO",IF(C831="","OK SIN PEDIDO",IF(COUNTIFS(PEDIDO_ITEMS!$A$2:$A$501,C831,PEDIDO_ITEMS!$B$2:$B$501,E831)=0,"NO PEDIDO",IF(COUNTIFS($C$2:C831,C831,$E$2:E831,E831)&gt;SUMIFS(PEDIDO_ITEMS!$C$2:$C$501,PEDIDO_ITEMS!$A$2:$A$501,C831,PEDIDO_ITEMS!$B$2:$B$501,E831),"EXCEDE PEDIDO","OK"))))))</f>
        <v/>
      </c>
    </row>
    <row r="832">
      <c r="A832" s="9" t="inlineStr"/>
      <c r="B832" s="2" t="inlineStr"/>
      <c r="C832" s="2" t="inlineStr"/>
      <c r="D832" s="2" t="inlineStr"/>
      <c r="E832" s="2">
        <f>IF(D832="","",IFERROR(XLOOKUP(TRIM(D832),INVENTARIO!$A$2:$A$2000,INVENTARIO!$B$2:$B$2000),"NO ENCONTRADO"))</f>
        <v/>
      </c>
      <c r="F832" s="2">
        <f>IF(D832="","",IFERROR(XLOOKUP(TRIM(D832),INVENTARIO!$A$2:$A$2000,INVENTARIO!$C$2:$C$2000),""))</f>
        <v/>
      </c>
      <c r="G832" s="2">
        <f>IF(D832="","",IF(E832="NO ENCONTRADO","CODIGO NO EXISTE",IF(COUNTIF($D$2:D832,D832)&gt;1,"DUPLICADO",IF(C832="","OK SIN PEDIDO",IF(COUNTIFS(PEDIDO_ITEMS!$A$2:$A$501,C832,PEDIDO_ITEMS!$B$2:$B$501,E832)=0,"NO PEDIDO",IF(COUNTIFS($C$2:C832,C832,$E$2:E832,E832)&gt;SUMIFS(PEDIDO_ITEMS!$C$2:$C$501,PEDIDO_ITEMS!$A$2:$A$501,C832,PEDIDO_ITEMS!$B$2:$B$501,E832),"EXCEDE PEDIDO","OK"))))))</f>
        <v/>
      </c>
    </row>
    <row r="833">
      <c r="A833" s="9" t="inlineStr"/>
      <c r="B833" s="2" t="inlineStr"/>
      <c r="C833" s="2" t="inlineStr"/>
      <c r="D833" s="2" t="inlineStr"/>
      <c r="E833" s="2">
        <f>IF(D833="","",IFERROR(XLOOKUP(TRIM(D833),INVENTARIO!$A$2:$A$2000,INVENTARIO!$B$2:$B$2000),"NO ENCONTRADO"))</f>
        <v/>
      </c>
      <c r="F833" s="2">
        <f>IF(D833="","",IFERROR(XLOOKUP(TRIM(D833),INVENTARIO!$A$2:$A$2000,INVENTARIO!$C$2:$C$2000),""))</f>
        <v/>
      </c>
      <c r="G833" s="2">
        <f>IF(D833="","",IF(E833="NO ENCONTRADO","CODIGO NO EXISTE",IF(COUNTIF($D$2:D833,D833)&gt;1,"DUPLICADO",IF(C833="","OK SIN PEDIDO",IF(COUNTIFS(PEDIDO_ITEMS!$A$2:$A$501,C833,PEDIDO_ITEMS!$B$2:$B$501,E833)=0,"NO PEDIDO",IF(COUNTIFS($C$2:C833,C833,$E$2:E833,E833)&gt;SUMIFS(PEDIDO_ITEMS!$C$2:$C$501,PEDIDO_ITEMS!$A$2:$A$501,C833,PEDIDO_ITEMS!$B$2:$B$501,E833),"EXCEDE PEDIDO","OK"))))))</f>
        <v/>
      </c>
    </row>
    <row r="834">
      <c r="A834" s="9" t="inlineStr"/>
      <c r="B834" s="2" t="inlineStr"/>
      <c r="C834" s="2" t="inlineStr"/>
      <c r="D834" s="2" t="inlineStr"/>
      <c r="E834" s="2">
        <f>IF(D834="","",IFERROR(XLOOKUP(TRIM(D834),INVENTARIO!$A$2:$A$2000,INVENTARIO!$B$2:$B$2000),"NO ENCONTRADO"))</f>
        <v/>
      </c>
      <c r="F834" s="2">
        <f>IF(D834="","",IFERROR(XLOOKUP(TRIM(D834),INVENTARIO!$A$2:$A$2000,INVENTARIO!$C$2:$C$2000),""))</f>
        <v/>
      </c>
      <c r="G834" s="2">
        <f>IF(D834="","",IF(E834="NO ENCONTRADO","CODIGO NO EXISTE",IF(COUNTIF($D$2:D834,D834)&gt;1,"DUPLICADO",IF(C834="","OK SIN PEDIDO",IF(COUNTIFS(PEDIDO_ITEMS!$A$2:$A$501,C834,PEDIDO_ITEMS!$B$2:$B$501,E834)=0,"NO PEDIDO",IF(COUNTIFS($C$2:C834,C834,$E$2:E834,E834)&gt;SUMIFS(PEDIDO_ITEMS!$C$2:$C$501,PEDIDO_ITEMS!$A$2:$A$501,C834,PEDIDO_ITEMS!$B$2:$B$501,E834),"EXCEDE PEDIDO","OK"))))))</f>
        <v/>
      </c>
    </row>
    <row r="835">
      <c r="A835" s="9" t="inlineStr"/>
      <c r="B835" s="2" t="inlineStr"/>
      <c r="C835" s="2" t="inlineStr"/>
      <c r="D835" s="2" t="inlineStr"/>
      <c r="E835" s="2">
        <f>IF(D835="","",IFERROR(XLOOKUP(TRIM(D835),INVENTARIO!$A$2:$A$2000,INVENTARIO!$B$2:$B$2000),"NO ENCONTRADO"))</f>
        <v/>
      </c>
      <c r="F835" s="2">
        <f>IF(D835="","",IFERROR(XLOOKUP(TRIM(D835),INVENTARIO!$A$2:$A$2000,INVENTARIO!$C$2:$C$2000),""))</f>
        <v/>
      </c>
      <c r="G835" s="2">
        <f>IF(D835="","",IF(E835="NO ENCONTRADO","CODIGO NO EXISTE",IF(COUNTIF($D$2:D835,D835)&gt;1,"DUPLICADO",IF(C835="","OK SIN PEDIDO",IF(COUNTIFS(PEDIDO_ITEMS!$A$2:$A$501,C835,PEDIDO_ITEMS!$B$2:$B$501,E835)=0,"NO PEDIDO",IF(COUNTIFS($C$2:C835,C835,$E$2:E835,E835)&gt;SUMIFS(PEDIDO_ITEMS!$C$2:$C$501,PEDIDO_ITEMS!$A$2:$A$501,C835,PEDIDO_ITEMS!$B$2:$B$501,E835),"EXCEDE PEDIDO","OK"))))))</f>
        <v/>
      </c>
    </row>
    <row r="836">
      <c r="A836" s="9" t="inlineStr"/>
      <c r="B836" s="2" t="inlineStr"/>
      <c r="C836" s="2" t="inlineStr"/>
      <c r="D836" s="2" t="inlineStr"/>
      <c r="E836" s="2">
        <f>IF(D836="","",IFERROR(XLOOKUP(TRIM(D836),INVENTARIO!$A$2:$A$2000,INVENTARIO!$B$2:$B$2000),"NO ENCONTRADO"))</f>
        <v/>
      </c>
      <c r="F836" s="2">
        <f>IF(D836="","",IFERROR(XLOOKUP(TRIM(D836),INVENTARIO!$A$2:$A$2000,INVENTARIO!$C$2:$C$2000),""))</f>
        <v/>
      </c>
      <c r="G836" s="2">
        <f>IF(D836="","",IF(E836="NO ENCONTRADO","CODIGO NO EXISTE",IF(COUNTIF($D$2:D836,D836)&gt;1,"DUPLICADO",IF(C836="","OK SIN PEDIDO",IF(COUNTIFS(PEDIDO_ITEMS!$A$2:$A$501,C836,PEDIDO_ITEMS!$B$2:$B$501,E836)=0,"NO PEDIDO",IF(COUNTIFS($C$2:C836,C836,$E$2:E836,E836)&gt;SUMIFS(PEDIDO_ITEMS!$C$2:$C$501,PEDIDO_ITEMS!$A$2:$A$501,C836,PEDIDO_ITEMS!$B$2:$B$501,E836),"EXCEDE PEDIDO","OK"))))))</f>
        <v/>
      </c>
    </row>
    <row r="837">
      <c r="A837" s="9" t="inlineStr"/>
      <c r="B837" s="2" t="inlineStr"/>
      <c r="C837" s="2" t="inlineStr"/>
      <c r="D837" s="2" t="inlineStr"/>
      <c r="E837" s="2">
        <f>IF(D837="","",IFERROR(XLOOKUP(TRIM(D837),INVENTARIO!$A$2:$A$2000,INVENTARIO!$B$2:$B$2000),"NO ENCONTRADO"))</f>
        <v/>
      </c>
      <c r="F837" s="2">
        <f>IF(D837="","",IFERROR(XLOOKUP(TRIM(D837),INVENTARIO!$A$2:$A$2000,INVENTARIO!$C$2:$C$2000),""))</f>
        <v/>
      </c>
      <c r="G837" s="2">
        <f>IF(D837="","",IF(E837="NO ENCONTRADO","CODIGO NO EXISTE",IF(COUNTIF($D$2:D837,D837)&gt;1,"DUPLICADO",IF(C837="","OK SIN PEDIDO",IF(COUNTIFS(PEDIDO_ITEMS!$A$2:$A$501,C837,PEDIDO_ITEMS!$B$2:$B$501,E837)=0,"NO PEDIDO",IF(COUNTIFS($C$2:C837,C837,$E$2:E837,E837)&gt;SUMIFS(PEDIDO_ITEMS!$C$2:$C$501,PEDIDO_ITEMS!$A$2:$A$501,C837,PEDIDO_ITEMS!$B$2:$B$501,E837),"EXCEDE PEDIDO","OK"))))))</f>
        <v/>
      </c>
    </row>
    <row r="838">
      <c r="A838" s="9" t="inlineStr"/>
      <c r="B838" s="2" t="inlineStr"/>
      <c r="C838" s="2" t="inlineStr"/>
      <c r="D838" s="2" t="inlineStr"/>
      <c r="E838" s="2">
        <f>IF(D838="","",IFERROR(XLOOKUP(TRIM(D838),INVENTARIO!$A$2:$A$2000,INVENTARIO!$B$2:$B$2000),"NO ENCONTRADO"))</f>
        <v/>
      </c>
      <c r="F838" s="2">
        <f>IF(D838="","",IFERROR(XLOOKUP(TRIM(D838),INVENTARIO!$A$2:$A$2000,INVENTARIO!$C$2:$C$2000),""))</f>
        <v/>
      </c>
      <c r="G838" s="2">
        <f>IF(D838="","",IF(E838="NO ENCONTRADO","CODIGO NO EXISTE",IF(COUNTIF($D$2:D838,D838)&gt;1,"DUPLICADO",IF(C838="","OK SIN PEDIDO",IF(COUNTIFS(PEDIDO_ITEMS!$A$2:$A$501,C838,PEDIDO_ITEMS!$B$2:$B$501,E838)=0,"NO PEDIDO",IF(COUNTIFS($C$2:C838,C838,$E$2:E838,E838)&gt;SUMIFS(PEDIDO_ITEMS!$C$2:$C$501,PEDIDO_ITEMS!$A$2:$A$501,C838,PEDIDO_ITEMS!$B$2:$B$501,E838),"EXCEDE PEDIDO","OK"))))))</f>
        <v/>
      </c>
    </row>
    <row r="839">
      <c r="A839" s="9" t="inlineStr"/>
      <c r="B839" s="2" t="inlineStr"/>
      <c r="C839" s="2" t="inlineStr"/>
      <c r="D839" s="2" t="inlineStr"/>
      <c r="E839" s="2">
        <f>IF(D839="","",IFERROR(XLOOKUP(TRIM(D839),INVENTARIO!$A$2:$A$2000,INVENTARIO!$B$2:$B$2000),"NO ENCONTRADO"))</f>
        <v/>
      </c>
      <c r="F839" s="2">
        <f>IF(D839="","",IFERROR(XLOOKUP(TRIM(D839),INVENTARIO!$A$2:$A$2000,INVENTARIO!$C$2:$C$2000),""))</f>
        <v/>
      </c>
      <c r="G839" s="2">
        <f>IF(D839="","",IF(E839="NO ENCONTRADO","CODIGO NO EXISTE",IF(COUNTIF($D$2:D839,D839)&gt;1,"DUPLICADO",IF(C839="","OK SIN PEDIDO",IF(COUNTIFS(PEDIDO_ITEMS!$A$2:$A$501,C839,PEDIDO_ITEMS!$B$2:$B$501,E839)=0,"NO PEDIDO",IF(COUNTIFS($C$2:C839,C839,$E$2:E839,E839)&gt;SUMIFS(PEDIDO_ITEMS!$C$2:$C$501,PEDIDO_ITEMS!$A$2:$A$501,C839,PEDIDO_ITEMS!$B$2:$B$501,E839),"EXCEDE PEDIDO","OK"))))))</f>
        <v/>
      </c>
    </row>
    <row r="840">
      <c r="A840" s="9" t="inlineStr"/>
      <c r="B840" s="2" t="inlineStr"/>
      <c r="C840" s="2" t="inlineStr"/>
      <c r="D840" s="2" t="inlineStr"/>
      <c r="E840" s="2">
        <f>IF(D840="","",IFERROR(XLOOKUP(TRIM(D840),INVENTARIO!$A$2:$A$2000,INVENTARIO!$B$2:$B$2000),"NO ENCONTRADO"))</f>
        <v/>
      </c>
      <c r="F840" s="2">
        <f>IF(D840="","",IFERROR(XLOOKUP(TRIM(D840),INVENTARIO!$A$2:$A$2000,INVENTARIO!$C$2:$C$2000),""))</f>
        <v/>
      </c>
      <c r="G840" s="2">
        <f>IF(D840="","",IF(E840="NO ENCONTRADO","CODIGO NO EXISTE",IF(COUNTIF($D$2:D840,D840)&gt;1,"DUPLICADO",IF(C840="","OK SIN PEDIDO",IF(COUNTIFS(PEDIDO_ITEMS!$A$2:$A$501,C840,PEDIDO_ITEMS!$B$2:$B$501,E840)=0,"NO PEDIDO",IF(COUNTIFS($C$2:C840,C840,$E$2:E840,E840)&gt;SUMIFS(PEDIDO_ITEMS!$C$2:$C$501,PEDIDO_ITEMS!$A$2:$A$501,C840,PEDIDO_ITEMS!$B$2:$B$501,E840),"EXCEDE PEDIDO","OK"))))))</f>
        <v/>
      </c>
    </row>
    <row r="841">
      <c r="A841" s="9" t="inlineStr"/>
      <c r="B841" s="2" t="inlineStr"/>
      <c r="C841" s="2" t="inlineStr"/>
      <c r="D841" s="2" t="inlineStr"/>
      <c r="E841" s="2">
        <f>IF(D841="","",IFERROR(XLOOKUP(TRIM(D841),INVENTARIO!$A$2:$A$2000,INVENTARIO!$B$2:$B$2000),"NO ENCONTRADO"))</f>
        <v/>
      </c>
      <c r="F841" s="2">
        <f>IF(D841="","",IFERROR(XLOOKUP(TRIM(D841),INVENTARIO!$A$2:$A$2000,INVENTARIO!$C$2:$C$2000),""))</f>
        <v/>
      </c>
      <c r="G841" s="2">
        <f>IF(D841="","",IF(E841="NO ENCONTRADO","CODIGO NO EXISTE",IF(COUNTIF($D$2:D841,D841)&gt;1,"DUPLICADO",IF(C841="","OK SIN PEDIDO",IF(COUNTIFS(PEDIDO_ITEMS!$A$2:$A$501,C841,PEDIDO_ITEMS!$B$2:$B$501,E841)=0,"NO PEDIDO",IF(COUNTIFS($C$2:C841,C841,$E$2:E841,E841)&gt;SUMIFS(PEDIDO_ITEMS!$C$2:$C$501,PEDIDO_ITEMS!$A$2:$A$501,C841,PEDIDO_ITEMS!$B$2:$B$501,E841),"EXCEDE PEDIDO","OK"))))))</f>
        <v/>
      </c>
    </row>
    <row r="842">
      <c r="A842" s="9" t="inlineStr"/>
      <c r="B842" s="2" t="inlineStr"/>
      <c r="C842" s="2" t="inlineStr"/>
      <c r="D842" s="2" t="inlineStr"/>
      <c r="E842" s="2">
        <f>IF(D842="","",IFERROR(XLOOKUP(TRIM(D842),INVENTARIO!$A$2:$A$2000,INVENTARIO!$B$2:$B$2000),"NO ENCONTRADO"))</f>
        <v/>
      </c>
      <c r="F842" s="2">
        <f>IF(D842="","",IFERROR(XLOOKUP(TRIM(D842),INVENTARIO!$A$2:$A$2000,INVENTARIO!$C$2:$C$2000),""))</f>
        <v/>
      </c>
      <c r="G842" s="2">
        <f>IF(D842="","",IF(E842="NO ENCONTRADO","CODIGO NO EXISTE",IF(COUNTIF($D$2:D842,D842)&gt;1,"DUPLICADO",IF(C842="","OK SIN PEDIDO",IF(COUNTIFS(PEDIDO_ITEMS!$A$2:$A$501,C842,PEDIDO_ITEMS!$B$2:$B$501,E842)=0,"NO PEDIDO",IF(COUNTIFS($C$2:C842,C842,$E$2:E842,E842)&gt;SUMIFS(PEDIDO_ITEMS!$C$2:$C$501,PEDIDO_ITEMS!$A$2:$A$501,C842,PEDIDO_ITEMS!$B$2:$B$501,E842),"EXCEDE PEDIDO","OK"))))))</f>
        <v/>
      </c>
    </row>
    <row r="843">
      <c r="A843" s="9" t="inlineStr"/>
      <c r="B843" s="2" t="inlineStr"/>
      <c r="C843" s="2" t="inlineStr"/>
      <c r="D843" s="2" t="inlineStr"/>
      <c r="E843" s="2">
        <f>IF(D843="","",IFERROR(XLOOKUP(TRIM(D843),INVENTARIO!$A$2:$A$2000,INVENTARIO!$B$2:$B$2000),"NO ENCONTRADO"))</f>
        <v/>
      </c>
      <c r="F843" s="2">
        <f>IF(D843="","",IFERROR(XLOOKUP(TRIM(D843),INVENTARIO!$A$2:$A$2000,INVENTARIO!$C$2:$C$2000),""))</f>
        <v/>
      </c>
      <c r="G843" s="2">
        <f>IF(D843="","",IF(E843="NO ENCONTRADO","CODIGO NO EXISTE",IF(COUNTIF($D$2:D843,D843)&gt;1,"DUPLICADO",IF(C843="","OK SIN PEDIDO",IF(COUNTIFS(PEDIDO_ITEMS!$A$2:$A$501,C843,PEDIDO_ITEMS!$B$2:$B$501,E843)=0,"NO PEDIDO",IF(COUNTIFS($C$2:C843,C843,$E$2:E843,E843)&gt;SUMIFS(PEDIDO_ITEMS!$C$2:$C$501,PEDIDO_ITEMS!$A$2:$A$501,C843,PEDIDO_ITEMS!$B$2:$B$501,E843),"EXCEDE PEDIDO","OK"))))))</f>
        <v/>
      </c>
    </row>
    <row r="844">
      <c r="A844" s="9" t="inlineStr"/>
      <c r="B844" s="2" t="inlineStr"/>
      <c r="C844" s="2" t="inlineStr"/>
      <c r="D844" s="2" t="inlineStr"/>
      <c r="E844" s="2">
        <f>IF(D844="","",IFERROR(XLOOKUP(TRIM(D844),INVENTARIO!$A$2:$A$2000,INVENTARIO!$B$2:$B$2000),"NO ENCONTRADO"))</f>
        <v/>
      </c>
      <c r="F844" s="2">
        <f>IF(D844="","",IFERROR(XLOOKUP(TRIM(D844),INVENTARIO!$A$2:$A$2000,INVENTARIO!$C$2:$C$2000),""))</f>
        <v/>
      </c>
      <c r="G844" s="2">
        <f>IF(D844="","",IF(E844="NO ENCONTRADO","CODIGO NO EXISTE",IF(COUNTIF($D$2:D844,D844)&gt;1,"DUPLICADO",IF(C844="","OK SIN PEDIDO",IF(COUNTIFS(PEDIDO_ITEMS!$A$2:$A$501,C844,PEDIDO_ITEMS!$B$2:$B$501,E844)=0,"NO PEDIDO",IF(COUNTIFS($C$2:C844,C844,$E$2:E844,E844)&gt;SUMIFS(PEDIDO_ITEMS!$C$2:$C$501,PEDIDO_ITEMS!$A$2:$A$501,C844,PEDIDO_ITEMS!$B$2:$B$501,E844),"EXCEDE PEDIDO","OK"))))))</f>
        <v/>
      </c>
    </row>
    <row r="845">
      <c r="A845" s="9" t="inlineStr"/>
      <c r="B845" s="2" t="inlineStr"/>
      <c r="C845" s="2" t="inlineStr"/>
      <c r="D845" s="2" t="inlineStr"/>
      <c r="E845" s="2">
        <f>IF(D845="","",IFERROR(XLOOKUP(TRIM(D845),INVENTARIO!$A$2:$A$2000,INVENTARIO!$B$2:$B$2000),"NO ENCONTRADO"))</f>
        <v/>
      </c>
      <c r="F845" s="2">
        <f>IF(D845="","",IFERROR(XLOOKUP(TRIM(D845),INVENTARIO!$A$2:$A$2000,INVENTARIO!$C$2:$C$2000),""))</f>
        <v/>
      </c>
      <c r="G845" s="2">
        <f>IF(D845="","",IF(E845="NO ENCONTRADO","CODIGO NO EXISTE",IF(COUNTIF($D$2:D845,D845)&gt;1,"DUPLICADO",IF(C845="","OK SIN PEDIDO",IF(COUNTIFS(PEDIDO_ITEMS!$A$2:$A$501,C845,PEDIDO_ITEMS!$B$2:$B$501,E845)=0,"NO PEDIDO",IF(COUNTIFS($C$2:C845,C845,$E$2:E845,E845)&gt;SUMIFS(PEDIDO_ITEMS!$C$2:$C$501,PEDIDO_ITEMS!$A$2:$A$501,C845,PEDIDO_ITEMS!$B$2:$B$501,E845),"EXCEDE PEDIDO","OK"))))))</f>
        <v/>
      </c>
    </row>
    <row r="846">
      <c r="A846" s="9" t="inlineStr"/>
      <c r="B846" s="2" t="inlineStr"/>
      <c r="C846" s="2" t="inlineStr"/>
      <c r="D846" s="2" t="inlineStr"/>
      <c r="E846" s="2">
        <f>IF(D846="","",IFERROR(XLOOKUP(TRIM(D846),INVENTARIO!$A$2:$A$2000,INVENTARIO!$B$2:$B$2000),"NO ENCONTRADO"))</f>
        <v/>
      </c>
      <c r="F846" s="2">
        <f>IF(D846="","",IFERROR(XLOOKUP(TRIM(D846),INVENTARIO!$A$2:$A$2000,INVENTARIO!$C$2:$C$2000),""))</f>
        <v/>
      </c>
      <c r="G846" s="2">
        <f>IF(D846="","",IF(E846="NO ENCONTRADO","CODIGO NO EXISTE",IF(COUNTIF($D$2:D846,D846)&gt;1,"DUPLICADO",IF(C846="","OK SIN PEDIDO",IF(COUNTIFS(PEDIDO_ITEMS!$A$2:$A$501,C846,PEDIDO_ITEMS!$B$2:$B$501,E846)=0,"NO PEDIDO",IF(COUNTIFS($C$2:C846,C846,$E$2:E846,E846)&gt;SUMIFS(PEDIDO_ITEMS!$C$2:$C$501,PEDIDO_ITEMS!$A$2:$A$501,C846,PEDIDO_ITEMS!$B$2:$B$501,E846),"EXCEDE PEDIDO","OK"))))))</f>
        <v/>
      </c>
    </row>
    <row r="847">
      <c r="A847" s="9" t="inlineStr"/>
      <c r="B847" s="2" t="inlineStr"/>
      <c r="C847" s="2" t="inlineStr"/>
      <c r="D847" s="2" t="inlineStr"/>
      <c r="E847" s="2">
        <f>IF(D847="","",IFERROR(XLOOKUP(TRIM(D847),INVENTARIO!$A$2:$A$2000,INVENTARIO!$B$2:$B$2000),"NO ENCONTRADO"))</f>
        <v/>
      </c>
      <c r="F847" s="2">
        <f>IF(D847="","",IFERROR(XLOOKUP(TRIM(D847),INVENTARIO!$A$2:$A$2000,INVENTARIO!$C$2:$C$2000),""))</f>
        <v/>
      </c>
      <c r="G847" s="2">
        <f>IF(D847="","",IF(E847="NO ENCONTRADO","CODIGO NO EXISTE",IF(COUNTIF($D$2:D847,D847)&gt;1,"DUPLICADO",IF(C847="","OK SIN PEDIDO",IF(COUNTIFS(PEDIDO_ITEMS!$A$2:$A$501,C847,PEDIDO_ITEMS!$B$2:$B$501,E847)=0,"NO PEDIDO",IF(COUNTIFS($C$2:C847,C847,$E$2:E847,E847)&gt;SUMIFS(PEDIDO_ITEMS!$C$2:$C$501,PEDIDO_ITEMS!$A$2:$A$501,C847,PEDIDO_ITEMS!$B$2:$B$501,E847),"EXCEDE PEDIDO","OK"))))))</f>
        <v/>
      </c>
    </row>
    <row r="848">
      <c r="A848" s="9" t="inlineStr"/>
      <c r="B848" s="2" t="inlineStr"/>
      <c r="C848" s="2" t="inlineStr"/>
      <c r="D848" s="2" t="inlineStr"/>
      <c r="E848" s="2">
        <f>IF(D848="","",IFERROR(XLOOKUP(TRIM(D848),INVENTARIO!$A$2:$A$2000,INVENTARIO!$B$2:$B$2000),"NO ENCONTRADO"))</f>
        <v/>
      </c>
      <c r="F848" s="2">
        <f>IF(D848="","",IFERROR(XLOOKUP(TRIM(D848),INVENTARIO!$A$2:$A$2000,INVENTARIO!$C$2:$C$2000),""))</f>
        <v/>
      </c>
      <c r="G848" s="2">
        <f>IF(D848="","",IF(E848="NO ENCONTRADO","CODIGO NO EXISTE",IF(COUNTIF($D$2:D848,D848)&gt;1,"DUPLICADO",IF(C848="","OK SIN PEDIDO",IF(COUNTIFS(PEDIDO_ITEMS!$A$2:$A$501,C848,PEDIDO_ITEMS!$B$2:$B$501,E848)=0,"NO PEDIDO",IF(COUNTIFS($C$2:C848,C848,$E$2:E848,E848)&gt;SUMIFS(PEDIDO_ITEMS!$C$2:$C$501,PEDIDO_ITEMS!$A$2:$A$501,C848,PEDIDO_ITEMS!$B$2:$B$501,E848),"EXCEDE PEDIDO","OK"))))))</f>
        <v/>
      </c>
    </row>
    <row r="849">
      <c r="A849" s="9" t="inlineStr"/>
      <c r="B849" s="2" t="inlineStr"/>
      <c r="C849" s="2" t="inlineStr"/>
      <c r="D849" s="2" t="inlineStr"/>
      <c r="E849" s="2">
        <f>IF(D849="","",IFERROR(XLOOKUP(TRIM(D849),INVENTARIO!$A$2:$A$2000,INVENTARIO!$B$2:$B$2000),"NO ENCONTRADO"))</f>
        <v/>
      </c>
      <c r="F849" s="2">
        <f>IF(D849="","",IFERROR(XLOOKUP(TRIM(D849),INVENTARIO!$A$2:$A$2000,INVENTARIO!$C$2:$C$2000),""))</f>
        <v/>
      </c>
      <c r="G849" s="2">
        <f>IF(D849="","",IF(E849="NO ENCONTRADO","CODIGO NO EXISTE",IF(COUNTIF($D$2:D849,D849)&gt;1,"DUPLICADO",IF(C849="","OK SIN PEDIDO",IF(COUNTIFS(PEDIDO_ITEMS!$A$2:$A$501,C849,PEDIDO_ITEMS!$B$2:$B$501,E849)=0,"NO PEDIDO",IF(COUNTIFS($C$2:C849,C849,$E$2:E849,E849)&gt;SUMIFS(PEDIDO_ITEMS!$C$2:$C$501,PEDIDO_ITEMS!$A$2:$A$501,C849,PEDIDO_ITEMS!$B$2:$B$501,E849),"EXCEDE PEDIDO","OK"))))))</f>
        <v/>
      </c>
    </row>
    <row r="850">
      <c r="A850" s="9" t="inlineStr"/>
      <c r="B850" s="2" t="inlineStr"/>
      <c r="C850" s="2" t="inlineStr"/>
      <c r="D850" s="2" t="inlineStr"/>
      <c r="E850" s="2">
        <f>IF(D850="","",IFERROR(XLOOKUP(TRIM(D850),INVENTARIO!$A$2:$A$2000,INVENTARIO!$B$2:$B$2000),"NO ENCONTRADO"))</f>
        <v/>
      </c>
      <c r="F850" s="2">
        <f>IF(D850="","",IFERROR(XLOOKUP(TRIM(D850),INVENTARIO!$A$2:$A$2000,INVENTARIO!$C$2:$C$2000),""))</f>
        <v/>
      </c>
      <c r="G850" s="2">
        <f>IF(D850="","",IF(E850="NO ENCONTRADO","CODIGO NO EXISTE",IF(COUNTIF($D$2:D850,D850)&gt;1,"DUPLICADO",IF(C850="","OK SIN PEDIDO",IF(COUNTIFS(PEDIDO_ITEMS!$A$2:$A$501,C850,PEDIDO_ITEMS!$B$2:$B$501,E850)=0,"NO PEDIDO",IF(COUNTIFS($C$2:C850,C850,$E$2:E850,E850)&gt;SUMIFS(PEDIDO_ITEMS!$C$2:$C$501,PEDIDO_ITEMS!$A$2:$A$501,C850,PEDIDO_ITEMS!$B$2:$B$501,E850),"EXCEDE PEDIDO","OK"))))))</f>
        <v/>
      </c>
    </row>
    <row r="851">
      <c r="A851" s="9" t="inlineStr"/>
      <c r="B851" s="2" t="inlineStr"/>
      <c r="C851" s="2" t="inlineStr"/>
      <c r="D851" s="2" t="inlineStr"/>
      <c r="E851" s="2">
        <f>IF(D851="","",IFERROR(XLOOKUP(TRIM(D851),INVENTARIO!$A$2:$A$2000,INVENTARIO!$B$2:$B$2000),"NO ENCONTRADO"))</f>
        <v/>
      </c>
      <c r="F851" s="2">
        <f>IF(D851="","",IFERROR(XLOOKUP(TRIM(D851),INVENTARIO!$A$2:$A$2000,INVENTARIO!$C$2:$C$2000),""))</f>
        <v/>
      </c>
      <c r="G851" s="2">
        <f>IF(D851="","",IF(E851="NO ENCONTRADO","CODIGO NO EXISTE",IF(COUNTIF($D$2:D851,D851)&gt;1,"DUPLICADO",IF(C851="","OK SIN PEDIDO",IF(COUNTIFS(PEDIDO_ITEMS!$A$2:$A$501,C851,PEDIDO_ITEMS!$B$2:$B$501,E851)=0,"NO PEDIDO",IF(COUNTIFS($C$2:C851,C851,$E$2:E851,E851)&gt;SUMIFS(PEDIDO_ITEMS!$C$2:$C$501,PEDIDO_ITEMS!$A$2:$A$501,C851,PEDIDO_ITEMS!$B$2:$B$501,E851),"EXCEDE PEDIDO","OK"))))))</f>
        <v/>
      </c>
    </row>
    <row r="852">
      <c r="A852" s="9" t="inlineStr"/>
      <c r="B852" s="2" t="inlineStr"/>
      <c r="C852" s="2" t="inlineStr"/>
      <c r="D852" s="2" t="inlineStr"/>
      <c r="E852" s="2">
        <f>IF(D852="","",IFERROR(XLOOKUP(TRIM(D852),INVENTARIO!$A$2:$A$2000,INVENTARIO!$B$2:$B$2000),"NO ENCONTRADO"))</f>
        <v/>
      </c>
      <c r="F852" s="2">
        <f>IF(D852="","",IFERROR(XLOOKUP(TRIM(D852),INVENTARIO!$A$2:$A$2000,INVENTARIO!$C$2:$C$2000),""))</f>
        <v/>
      </c>
      <c r="G852" s="2">
        <f>IF(D852="","",IF(E852="NO ENCONTRADO","CODIGO NO EXISTE",IF(COUNTIF($D$2:D852,D852)&gt;1,"DUPLICADO",IF(C852="","OK SIN PEDIDO",IF(COUNTIFS(PEDIDO_ITEMS!$A$2:$A$501,C852,PEDIDO_ITEMS!$B$2:$B$501,E852)=0,"NO PEDIDO",IF(COUNTIFS($C$2:C852,C852,$E$2:E852,E852)&gt;SUMIFS(PEDIDO_ITEMS!$C$2:$C$501,PEDIDO_ITEMS!$A$2:$A$501,C852,PEDIDO_ITEMS!$B$2:$B$501,E852),"EXCEDE PEDIDO","OK"))))))</f>
        <v/>
      </c>
    </row>
    <row r="853">
      <c r="A853" s="9" t="inlineStr"/>
      <c r="B853" s="2" t="inlineStr"/>
      <c r="C853" s="2" t="inlineStr"/>
      <c r="D853" s="2" t="inlineStr"/>
      <c r="E853" s="2">
        <f>IF(D853="","",IFERROR(XLOOKUP(TRIM(D853),INVENTARIO!$A$2:$A$2000,INVENTARIO!$B$2:$B$2000),"NO ENCONTRADO"))</f>
        <v/>
      </c>
      <c r="F853" s="2">
        <f>IF(D853="","",IFERROR(XLOOKUP(TRIM(D853),INVENTARIO!$A$2:$A$2000,INVENTARIO!$C$2:$C$2000),""))</f>
        <v/>
      </c>
      <c r="G853" s="2">
        <f>IF(D853="","",IF(E853="NO ENCONTRADO","CODIGO NO EXISTE",IF(COUNTIF($D$2:D853,D853)&gt;1,"DUPLICADO",IF(C853="","OK SIN PEDIDO",IF(COUNTIFS(PEDIDO_ITEMS!$A$2:$A$501,C853,PEDIDO_ITEMS!$B$2:$B$501,E853)=0,"NO PEDIDO",IF(COUNTIFS($C$2:C853,C853,$E$2:E853,E853)&gt;SUMIFS(PEDIDO_ITEMS!$C$2:$C$501,PEDIDO_ITEMS!$A$2:$A$501,C853,PEDIDO_ITEMS!$B$2:$B$501,E853),"EXCEDE PEDIDO","OK"))))))</f>
        <v/>
      </c>
    </row>
    <row r="854">
      <c r="A854" s="9" t="inlineStr"/>
      <c r="B854" s="2" t="inlineStr"/>
      <c r="C854" s="2" t="inlineStr"/>
      <c r="D854" s="2" t="inlineStr"/>
      <c r="E854" s="2">
        <f>IF(D854="","",IFERROR(XLOOKUP(TRIM(D854),INVENTARIO!$A$2:$A$2000,INVENTARIO!$B$2:$B$2000),"NO ENCONTRADO"))</f>
        <v/>
      </c>
      <c r="F854" s="2">
        <f>IF(D854="","",IFERROR(XLOOKUP(TRIM(D854),INVENTARIO!$A$2:$A$2000,INVENTARIO!$C$2:$C$2000),""))</f>
        <v/>
      </c>
      <c r="G854" s="2">
        <f>IF(D854="","",IF(E854="NO ENCONTRADO","CODIGO NO EXISTE",IF(COUNTIF($D$2:D854,D854)&gt;1,"DUPLICADO",IF(C854="","OK SIN PEDIDO",IF(COUNTIFS(PEDIDO_ITEMS!$A$2:$A$501,C854,PEDIDO_ITEMS!$B$2:$B$501,E854)=0,"NO PEDIDO",IF(COUNTIFS($C$2:C854,C854,$E$2:E854,E854)&gt;SUMIFS(PEDIDO_ITEMS!$C$2:$C$501,PEDIDO_ITEMS!$A$2:$A$501,C854,PEDIDO_ITEMS!$B$2:$B$501,E854),"EXCEDE PEDIDO","OK"))))))</f>
        <v/>
      </c>
    </row>
    <row r="855">
      <c r="A855" s="9" t="inlineStr"/>
      <c r="B855" s="2" t="inlineStr"/>
      <c r="C855" s="2" t="inlineStr"/>
      <c r="D855" s="2" t="inlineStr"/>
      <c r="E855" s="2">
        <f>IF(D855="","",IFERROR(XLOOKUP(TRIM(D855),INVENTARIO!$A$2:$A$2000,INVENTARIO!$B$2:$B$2000),"NO ENCONTRADO"))</f>
        <v/>
      </c>
      <c r="F855" s="2">
        <f>IF(D855="","",IFERROR(XLOOKUP(TRIM(D855),INVENTARIO!$A$2:$A$2000,INVENTARIO!$C$2:$C$2000),""))</f>
        <v/>
      </c>
      <c r="G855" s="2">
        <f>IF(D855="","",IF(E855="NO ENCONTRADO","CODIGO NO EXISTE",IF(COUNTIF($D$2:D855,D855)&gt;1,"DUPLICADO",IF(C855="","OK SIN PEDIDO",IF(COUNTIFS(PEDIDO_ITEMS!$A$2:$A$501,C855,PEDIDO_ITEMS!$B$2:$B$501,E855)=0,"NO PEDIDO",IF(COUNTIFS($C$2:C855,C855,$E$2:E855,E855)&gt;SUMIFS(PEDIDO_ITEMS!$C$2:$C$501,PEDIDO_ITEMS!$A$2:$A$501,C855,PEDIDO_ITEMS!$B$2:$B$501,E855),"EXCEDE PEDIDO","OK"))))))</f>
        <v/>
      </c>
    </row>
    <row r="856">
      <c r="A856" s="9" t="inlineStr"/>
      <c r="B856" s="2" t="inlineStr"/>
      <c r="C856" s="2" t="inlineStr"/>
      <c r="D856" s="2" t="inlineStr"/>
      <c r="E856" s="2">
        <f>IF(D856="","",IFERROR(XLOOKUP(TRIM(D856),INVENTARIO!$A$2:$A$2000,INVENTARIO!$B$2:$B$2000),"NO ENCONTRADO"))</f>
        <v/>
      </c>
      <c r="F856" s="2">
        <f>IF(D856="","",IFERROR(XLOOKUP(TRIM(D856),INVENTARIO!$A$2:$A$2000,INVENTARIO!$C$2:$C$2000),""))</f>
        <v/>
      </c>
      <c r="G856" s="2">
        <f>IF(D856="","",IF(E856="NO ENCONTRADO","CODIGO NO EXISTE",IF(COUNTIF($D$2:D856,D856)&gt;1,"DUPLICADO",IF(C856="","OK SIN PEDIDO",IF(COUNTIFS(PEDIDO_ITEMS!$A$2:$A$501,C856,PEDIDO_ITEMS!$B$2:$B$501,E856)=0,"NO PEDIDO",IF(COUNTIFS($C$2:C856,C856,$E$2:E856,E856)&gt;SUMIFS(PEDIDO_ITEMS!$C$2:$C$501,PEDIDO_ITEMS!$A$2:$A$501,C856,PEDIDO_ITEMS!$B$2:$B$501,E856),"EXCEDE PEDIDO","OK"))))))</f>
        <v/>
      </c>
    </row>
    <row r="857">
      <c r="A857" s="9" t="inlineStr"/>
      <c r="B857" s="2" t="inlineStr"/>
      <c r="C857" s="2" t="inlineStr"/>
      <c r="D857" s="2" t="inlineStr"/>
      <c r="E857" s="2">
        <f>IF(D857="","",IFERROR(XLOOKUP(TRIM(D857),INVENTARIO!$A$2:$A$2000,INVENTARIO!$B$2:$B$2000),"NO ENCONTRADO"))</f>
        <v/>
      </c>
      <c r="F857" s="2">
        <f>IF(D857="","",IFERROR(XLOOKUP(TRIM(D857),INVENTARIO!$A$2:$A$2000,INVENTARIO!$C$2:$C$2000),""))</f>
        <v/>
      </c>
      <c r="G857" s="2">
        <f>IF(D857="","",IF(E857="NO ENCONTRADO","CODIGO NO EXISTE",IF(COUNTIF($D$2:D857,D857)&gt;1,"DUPLICADO",IF(C857="","OK SIN PEDIDO",IF(COUNTIFS(PEDIDO_ITEMS!$A$2:$A$501,C857,PEDIDO_ITEMS!$B$2:$B$501,E857)=0,"NO PEDIDO",IF(COUNTIFS($C$2:C857,C857,$E$2:E857,E857)&gt;SUMIFS(PEDIDO_ITEMS!$C$2:$C$501,PEDIDO_ITEMS!$A$2:$A$501,C857,PEDIDO_ITEMS!$B$2:$B$501,E857),"EXCEDE PEDIDO","OK"))))))</f>
        <v/>
      </c>
    </row>
    <row r="858">
      <c r="A858" s="9" t="inlineStr"/>
      <c r="B858" s="2" t="inlineStr"/>
      <c r="C858" s="2" t="inlineStr"/>
      <c r="D858" s="2" t="inlineStr"/>
      <c r="E858" s="2">
        <f>IF(D858="","",IFERROR(XLOOKUP(TRIM(D858),INVENTARIO!$A$2:$A$2000,INVENTARIO!$B$2:$B$2000),"NO ENCONTRADO"))</f>
        <v/>
      </c>
      <c r="F858" s="2">
        <f>IF(D858="","",IFERROR(XLOOKUP(TRIM(D858),INVENTARIO!$A$2:$A$2000,INVENTARIO!$C$2:$C$2000),""))</f>
        <v/>
      </c>
      <c r="G858" s="2">
        <f>IF(D858="","",IF(E858="NO ENCONTRADO","CODIGO NO EXISTE",IF(COUNTIF($D$2:D858,D858)&gt;1,"DUPLICADO",IF(C858="","OK SIN PEDIDO",IF(COUNTIFS(PEDIDO_ITEMS!$A$2:$A$501,C858,PEDIDO_ITEMS!$B$2:$B$501,E858)=0,"NO PEDIDO",IF(COUNTIFS($C$2:C858,C858,$E$2:E858,E858)&gt;SUMIFS(PEDIDO_ITEMS!$C$2:$C$501,PEDIDO_ITEMS!$A$2:$A$501,C858,PEDIDO_ITEMS!$B$2:$B$501,E858),"EXCEDE PEDIDO","OK"))))))</f>
        <v/>
      </c>
    </row>
    <row r="859">
      <c r="A859" s="9" t="inlineStr"/>
      <c r="B859" s="2" t="inlineStr"/>
      <c r="C859" s="2" t="inlineStr"/>
      <c r="D859" s="2" t="inlineStr"/>
      <c r="E859" s="2">
        <f>IF(D859="","",IFERROR(XLOOKUP(TRIM(D859),INVENTARIO!$A$2:$A$2000,INVENTARIO!$B$2:$B$2000),"NO ENCONTRADO"))</f>
        <v/>
      </c>
      <c r="F859" s="2">
        <f>IF(D859="","",IFERROR(XLOOKUP(TRIM(D859),INVENTARIO!$A$2:$A$2000,INVENTARIO!$C$2:$C$2000),""))</f>
        <v/>
      </c>
      <c r="G859" s="2">
        <f>IF(D859="","",IF(E859="NO ENCONTRADO","CODIGO NO EXISTE",IF(COUNTIF($D$2:D859,D859)&gt;1,"DUPLICADO",IF(C859="","OK SIN PEDIDO",IF(COUNTIFS(PEDIDO_ITEMS!$A$2:$A$501,C859,PEDIDO_ITEMS!$B$2:$B$501,E859)=0,"NO PEDIDO",IF(COUNTIFS($C$2:C859,C859,$E$2:E859,E859)&gt;SUMIFS(PEDIDO_ITEMS!$C$2:$C$501,PEDIDO_ITEMS!$A$2:$A$501,C859,PEDIDO_ITEMS!$B$2:$B$501,E859),"EXCEDE PEDIDO","OK"))))))</f>
        <v/>
      </c>
    </row>
    <row r="860">
      <c r="A860" s="9" t="inlineStr"/>
      <c r="B860" s="2" t="inlineStr"/>
      <c r="C860" s="2" t="inlineStr"/>
      <c r="D860" s="2" t="inlineStr"/>
      <c r="E860" s="2">
        <f>IF(D860="","",IFERROR(XLOOKUP(TRIM(D860),INVENTARIO!$A$2:$A$2000,INVENTARIO!$B$2:$B$2000),"NO ENCONTRADO"))</f>
        <v/>
      </c>
      <c r="F860" s="2">
        <f>IF(D860="","",IFERROR(XLOOKUP(TRIM(D860),INVENTARIO!$A$2:$A$2000,INVENTARIO!$C$2:$C$2000),""))</f>
        <v/>
      </c>
      <c r="G860" s="2">
        <f>IF(D860="","",IF(E860="NO ENCONTRADO","CODIGO NO EXISTE",IF(COUNTIF($D$2:D860,D860)&gt;1,"DUPLICADO",IF(C860="","OK SIN PEDIDO",IF(COUNTIFS(PEDIDO_ITEMS!$A$2:$A$501,C860,PEDIDO_ITEMS!$B$2:$B$501,E860)=0,"NO PEDIDO",IF(COUNTIFS($C$2:C860,C860,$E$2:E860,E860)&gt;SUMIFS(PEDIDO_ITEMS!$C$2:$C$501,PEDIDO_ITEMS!$A$2:$A$501,C860,PEDIDO_ITEMS!$B$2:$B$501,E860),"EXCEDE PEDIDO","OK"))))))</f>
        <v/>
      </c>
    </row>
    <row r="861">
      <c r="A861" s="9" t="inlineStr"/>
      <c r="B861" s="2" t="inlineStr"/>
      <c r="C861" s="2" t="inlineStr"/>
      <c r="D861" s="2" t="inlineStr"/>
      <c r="E861" s="2">
        <f>IF(D861="","",IFERROR(XLOOKUP(TRIM(D861),INVENTARIO!$A$2:$A$2000,INVENTARIO!$B$2:$B$2000),"NO ENCONTRADO"))</f>
        <v/>
      </c>
      <c r="F861" s="2">
        <f>IF(D861="","",IFERROR(XLOOKUP(TRIM(D861),INVENTARIO!$A$2:$A$2000,INVENTARIO!$C$2:$C$2000),""))</f>
        <v/>
      </c>
      <c r="G861" s="2">
        <f>IF(D861="","",IF(E861="NO ENCONTRADO","CODIGO NO EXISTE",IF(COUNTIF($D$2:D861,D861)&gt;1,"DUPLICADO",IF(C861="","OK SIN PEDIDO",IF(COUNTIFS(PEDIDO_ITEMS!$A$2:$A$501,C861,PEDIDO_ITEMS!$B$2:$B$501,E861)=0,"NO PEDIDO",IF(COUNTIFS($C$2:C861,C861,$E$2:E861,E861)&gt;SUMIFS(PEDIDO_ITEMS!$C$2:$C$501,PEDIDO_ITEMS!$A$2:$A$501,C861,PEDIDO_ITEMS!$B$2:$B$501,E861),"EXCEDE PEDIDO","OK"))))))</f>
        <v/>
      </c>
    </row>
    <row r="862">
      <c r="A862" s="9" t="inlineStr"/>
      <c r="B862" s="2" t="inlineStr"/>
      <c r="C862" s="2" t="inlineStr"/>
      <c r="D862" s="2" t="inlineStr"/>
      <c r="E862" s="2">
        <f>IF(D862="","",IFERROR(XLOOKUP(TRIM(D862),INVENTARIO!$A$2:$A$2000,INVENTARIO!$B$2:$B$2000),"NO ENCONTRADO"))</f>
        <v/>
      </c>
      <c r="F862" s="2">
        <f>IF(D862="","",IFERROR(XLOOKUP(TRIM(D862),INVENTARIO!$A$2:$A$2000,INVENTARIO!$C$2:$C$2000),""))</f>
        <v/>
      </c>
      <c r="G862" s="2">
        <f>IF(D862="","",IF(E862="NO ENCONTRADO","CODIGO NO EXISTE",IF(COUNTIF($D$2:D862,D862)&gt;1,"DUPLICADO",IF(C862="","OK SIN PEDIDO",IF(COUNTIFS(PEDIDO_ITEMS!$A$2:$A$501,C862,PEDIDO_ITEMS!$B$2:$B$501,E862)=0,"NO PEDIDO",IF(COUNTIFS($C$2:C862,C862,$E$2:E862,E862)&gt;SUMIFS(PEDIDO_ITEMS!$C$2:$C$501,PEDIDO_ITEMS!$A$2:$A$501,C862,PEDIDO_ITEMS!$B$2:$B$501,E862),"EXCEDE PEDIDO","OK"))))))</f>
        <v/>
      </c>
    </row>
    <row r="863">
      <c r="A863" s="9" t="inlineStr"/>
      <c r="B863" s="2" t="inlineStr"/>
      <c r="C863" s="2" t="inlineStr"/>
      <c r="D863" s="2" t="inlineStr"/>
      <c r="E863" s="2">
        <f>IF(D863="","",IFERROR(XLOOKUP(TRIM(D863),INVENTARIO!$A$2:$A$2000,INVENTARIO!$B$2:$B$2000),"NO ENCONTRADO"))</f>
        <v/>
      </c>
      <c r="F863" s="2">
        <f>IF(D863="","",IFERROR(XLOOKUP(TRIM(D863),INVENTARIO!$A$2:$A$2000,INVENTARIO!$C$2:$C$2000),""))</f>
        <v/>
      </c>
      <c r="G863" s="2">
        <f>IF(D863="","",IF(E863="NO ENCONTRADO","CODIGO NO EXISTE",IF(COUNTIF($D$2:D863,D863)&gt;1,"DUPLICADO",IF(C863="","OK SIN PEDIDO",IF(COUNTIFS(PEDIDO_ITEMS!$A$2:$A$501,C863,PEDIDO_ITEMS!$B$2:$B$501,E863)=0,"NO PEDIDO",IF(COUNTIFS($C$2:C863,C863,$E$2:E863,E863)&gt;SUMIFS(PEDIDO_ITEMS!$C$2:$C$501,PEDIDO_ITEMS!$A$2:$A$501,C863,PEDIDO_ITEMS!$B$2:$B$501,E863),"EXCEDE PEDIDO","OK"))))))</f>
        <v/>
      </c>
    </row>
    <row r="864">
      <c r="A864" s="9" t="inlineStr"/>
      <c r="B864" s="2" t="inlineStr"/>
      <c r="C864" s="2" t="inlineStr"/>
      <c r="D864" s="2" t="inlineStr"/>
      <c r="E864" s="2">
        <f>IF(D864="","",IFERROR(XLOOKUP(TRIM(D864),INVENTARIO!$A$2:$A$2000,INVENTARIO!$B$2:$B$2000),"NO ENCONTRADO"))</f>
        <v/>
      </c>
      <c r="F864" s="2">
        <f>IF(D864="","",IFERROR(XLOOKUP(TRIM(D864),INVENTARIO!$A$2:$A$2000,INVENTARIO!$C$2:$C$2000),""))</f>
        <v/>
      </c>
      <c r="G864" s="2">
        <f>IF(D864="","",IF(E864="NO ENCONTRADO","CODIGO NO EXISTE",IF(COUNTIF($D$2:D864,D864)&gt;1,"DUPLICADO",IF(C864="","OK SIN PEDIDO",IF(COUNTIFS(PEDIDO_ITEMS!$A$2:$A$501,C864,PEDIDO_ITEMS!$B$2:$B$501,E864)=0,"NO PEDIDO",IF(COUNTIFS($C$2:C864,C864,$E$2:E864,E864)&gt;SUMIFS(PEDIDO_ITEMS!$C$2:$C$501,PEDIDO_ITEMS!$A$2:$A$501,C864,PEDIDO_ITEMS!$B$2:$B$501,E864),"EXCEDE PEDIDO","OK"))))))</f>
        <v/>
      </c>
    </row>
    <row r="865">
      <c r="A865" s="9" t="inlineStr"/>
      <c r="B865" s="2" t="inlineStr"/>
      <c r="C865" s="2" t="inlineStr"/>
      <c r="D865" s="2" t="inlineStr"/>
      <c r="E865" s="2">
        <f>IF(D865="","",IFERROR(XLOOKUP(TRIM(D865),INVENTARIO!$A$2:$A$2000,INVENTARIO!$B$2:$B$2000),"NO ENCONTRADO"))</f>
        <v/>
      </c>
      <c r="F865" s="2">
        <f>IF(D865="","",IFERROR(XLOOKUP(TRIM(D865),INVENTARIO!$A$2:$A$2000,INVENTARIO!$C$2:$C$2000),""))</f>
        <v/>
      </c>
      <c r="G865" s="2">
        <f>IF(D865="","",IF(E865="NO ENCONTRADO","CODIGO NO EXISTE",IF(COUNTIF($D$2:D865,D865)&gt;1,"DUPLICADO",IF(C865="","OK SIN PEDIDO",IF(COUNTIFS(PEDIDO_ITEMS!$A$2:$A$501,C865,PEDIDO_ITEMS!$B$2:$B$501,E865)=0,"NO PEDIDO",IF(COUNTIFS($C$2:C865,C865,$E$2:E865,E865)&gt;SUMIFS(PEDIDO_ITEMS!$C$2:$C$501,PEDIDO_ITEMS!$A$2:$A$501,C865,PEDIDO_ITEMS!$B$2:$B$501,E865),"EXCEDE PEDIDO","OK"))))))</f>
        <v/>
      </c>
    </row>
    <row r="866">
      <c r="A866" s="9" t="inlineStr"/>
      <c r="B866" s="2" t="inlineStr"/>
      <c r="C866" s="2" t="inlineStr"/>
      <c r="D866" s="2" t="inlineStr"/>
      <c r="E866" s="2">
        <f>IF(D866="","",IFERROR(XLOOKUP(TRIM(D866),INVENTARIO!$A$2:$A$2000,INVENTARIO!$B$2:$B$2000),"NO ENCONTRADO"))</f>
        <v/>
      </c>
      <c r="F866" s="2">
        <f>IF(D866="","",IFERROR(XLOOKUP(TRIM(D866),INVENTARIO!$A$2:$A$2000,INVENTARIO!$C$2:$C$2000),""))</f>
        <v/>
      </c>
      <c r="G866" s="2">
        <f>IF(D866="","",IF(E866="NO ENCONTRADO","CODIGO NO EXISTE",IF(COUNTIF($D$2:D866,D866)&gt;1,"DUPLICADO",IF(C866="","OK SIN PEDIDO",IF(COUNTIFS(PEDIDO_ITEMS!$A$2:$A$501,C866,PEDIDO_ITEMS!$B$2:$B$501,E866)=0,"NO PEDIDO",IF(COUNTIFS($C$2:C866,C866,$E$2:E866,E866)&gt;SUMIFS(PEDIDO_ITEMS!$C$2:$C$501,PEDIDO_ITEMS!$A$2:$A$501,C866,PEDIDO_ITEMS!$B$2:$B$501,E866),"EXCEDE PEDIDO","OK"))))))</f>
        <v/>
      </c>
    </row>
    <row r="867">
      <c r="A867" s="9" t="inlineStr"/>
      <c r="B867" s="2" t="inlineStr"/>
      <c r="C867" s="2" t="inlineStr"/>
      <c r="D867" s="2" t="inlineStr"/>
      <c r="E867" s="2">
        <f>IF(D867="","",IFERROR(XLOOKUP(TRIM(D867),INVENTARIO!$A$2:$A$2000,INVENTARIO!$B$2:$B$2000),"NO ENCONTRADO"))</f>
        <v/>
      </c>
      <c r="F867" s="2">
        <f>IF(D867="","",IFERROR(XLOOKUP(TRIM(D867),INVENTARIO!$A$2:$A$2000,INVENTARIO!$C$2:$C$2000),""))</f>
        <v/>
      </c>
      <c r="G867" s="2">
        <f>IF(D867="","",IF(E867="NO ENCONTRADO","CODIGO NO EXISTE",IF(COUNTIF($D$2:D867,D867)&gt;1,"DUPLICADO",IF(C867="","OK SIN PEDIDO",IF(COUNTIFS(PEDIDO_ITEMS!$A$2:$A$501,C867,PEDIDO_ITEMS!$B$2:$B$501,E867)=0,"NO PEDIDO",IF(COUNTIFS($C$2:C867,C867,$E$2:E867,E867)&gt;SUMIFS(PEDIDO_ITEMS!$C$2:$C$501,PEDIDO_ITEMS!$A$2:$A$501,C867,PEDIDO_ITEMS!$B$2:$B$501,E867),"EXCEDE PEDIDO","OK"))))))</f>
        <v/>
      </c>
    </row>
    <row r="868">
      <c r="A868" s="9" t="inlineStr"/>
      <c r="B868" s="2" t="inlineStr"/>
      <c r="C868" s="2" t="inlineStr"/>
      <c r="D868" s="2" t="inlineStr"/>
      <c r="E868" s="2">
        <f>IF(D868="","",IFERROR(XLOOKUP(TRIM(D868),INVENTARIO!$A$2:$A$2000,INVENTARIO!$B$2:$B$2000),"NO ENCONTRADO"))</f>
        <v/>
      </c>
      <c r="F868" s="2">
        <f>IF(D868="","",IFERROR(XLOOKUP(TRIM(D868),INVENTARIO!$A$2:$A$2000,INVENTARIO!$C$2:$C$2000),""))</f>
        <v/>
      </c>
      <c r="G868" s="2">
        <f>IF(D868="","",IF(E868="NO ENCONTRADO","CODIGO NO EXISTE",IF(COUNTIF($D$2:D868,D868)&gt;1,"DUPLICADO",IF(C868="","OK SIN PEDIDO",IF(COUNTIFS(PEDIDO_ITEMS!$A$2:$A$501,C868,PEDIDO_ITEMS!$B$2:$B$501,E868)=0,"NO PEDIDO",IF(COUNTIFS($C$2:C868,C868,$E$2:E868,E868)&gt;SUMIFS(PEDIDO_ITEMS!$C$2:$C$501,PEDIDO_ITEMS!$A$2:$A$501,C868,PEDIDO_ITEMS!$B$2:$B$501,E868),"EXCEDE PEDIDO","OK"))))))</f>
        <v/>
      </c>
    </row>
    <row r="869">
      <c r="A869" s="9" t="inlineStr"/>
      <c r="B869" s="2" t="inlineStr"/>
      <c r="C869" s="2" t="inlineStr"/>
      <c r="D869" s="2" t="inlineStr"/>
      <c r="E869" s="2">
        <f>IF(D869="","",IFERROR(XLOOKUP(TRIM(D869),INVENTARIO!$A$2:$A$2000,INVENTARIO!$B$2:$B$2000),"NO ENCONTRADO"))</f>
        <v/>
      </c>
      <c r="F869" s="2">
        <f>IF(D869="","",IFERROR(XLOOKUP(TRIM(D869),INVENTARIO!$A$2:$A$2000,INVENTARIO!$C$2:$C$2000),""))</f>
        <v/>
      </c>
      <c r="G869" s="2">
        <f>IF(D869="","",IF(E869="NO ENCONTRADO","CODIGO NO EXISTE",IF(COUNTIF($D$2:D869,D869)&gt;1,"DUPLICADO",IF(C869="","OK SIN PEDIDO",IF(COUNTIFS(PEDIDO_ITEMS!$A$2:$A$501,C869,PEDIDO_ITEMS!$B$2:$B$501,E869)=0,"NO PEDIDO",IF(COUNTIFS($C$2:C869,C869,$E$2:E869,E869)&gt;SUMIFS(PEDIDO_ITEMS!$C$2:$C$501,PEDIDO_ITEMS!$A$2:$A$501,C869,PEDIDO_ITEMS!$B$2:$B$501,E869),"EXCEDE PEDIDO","OK"))))))</f>
        <v/>
      </c>
    </row>
    <row r="870">
      <c r="A870" s="9" t="inlineStr"/>
      <c r="B870" s="2" t="inlineStr"/>
      <c r="C870" s="2" t="inlineStr"/>
      <c r="D870" s="2" t="inlineStr"/>
      <c r="E870" s="2">
        <f>IF(D870="","",IFERROR(XLOOKUP(TRIM(D870),INVENTARIO!$A$2:$A$2000,INVENTARIO!$B$2:$B$2000),"NO ENCONTRADO"))</f>
        <v/>
      </c>
      <c r="F870" s="2">
        <f>IF(D870="","",IFERROR(XLOOKUP(TRIM(D870),INVENTARIO!$A$2:$A$2000,INVENTARIO!$C$2:$C$2000),""))</f>
        <v/>
      </c>
      <c r="G870" s="2">
        <f>IF(D870="","",IF(E870="NO ENCONTRADO","CODIGO NO EXISTE",IF(COUNTIF($D$2:D870,D870)&gt;1,"DUPLICADO",IF(C870="","OK SIN PEDIDO",IF(COUNTIFS(PEDIDO_ITEMS!$A$2:$A$501,C870,PEDIDO_ITEMS!$B$2:$B$501,E870)=0,"NO PEDIDO",IF(COUNTIFS($C$2:C870,C870,$E$2:E870,E870)&gt;SUMIFS(PEDIDO_ITEMS!$C$2:$C$501,PEDIDO_ITEMS!$A$2:$A$501,C870,PEDIDO_ITEMS!$B$2:$B$501,E870),"EXCEDE PEDIDO","OK"))))))</f>
        <v/>
      </c>
    </row>
    <row r="871">
      <c r="A871" s="9" t="inlineStr"/>
      <c r="B871" s="2" t="inlineStr"/>
      <c r="C871" s="2" t="inlineStr"/>
      <c r="D871" s="2" t="inlineStr"/>
      <c r="E871" s="2">
        <f>IF(D871="","",IFERROR(XLOOKUP(TRIM(D871),INVENTARIO!$A$2:$A$2000,INVENTARIO!$B$2:$B$2000),"NO ENCONTRADO"))</f>
        <v/>
      </c>
      <c r="F871" s="2">
        <f>IF(D871="","",IFERROR(XLOOKUP(TRIM(D871),INVENTARIO!$A$2:$A$2000,INVENTARIO!$C$2:$C$2000),""))</f>
        <v/>
      </c>
      <c r="G871" s="2">
        <f>IF(D871="","",IF(E871="NO ENCONTRADO","CODIGO NO EXISTE",IF(COUNTIF($D$2:D871,D871)&gt;1,"DUPLICADO",IF(C871="","OK SIN PEDIDO",IF(COUNTIFS(PEDIDO_ITEMS!$A$2:$A$501,C871,PEDIDO_ITEMS!$B$2:$B$501,E871)=0,"NO PEDIDO",IF(COUNTIFS($C$2:C871,C871,$E$2:E871,E871)&gt;SUMIFS(PEDIDO_ITEMS!$C$2:$C$501,PEDIDO_ITEMS!$A$2:$A$501,C871,PEDIDO_ITEMS!$B$2:$B$501,E871),"EXCEDE PEDIDO","OK"))))))</f>
        <v/>
      </c>
    </row>
    <row r="872">
      <c r="A872" s="9" t="inlineStr"/>
      <c r="B872" s="2" t="inlineStr"/>
      <c r="C872" s="2" t="inlineStr"/>
      <c r="D872" s="2" t="inlineStr"/>
      <c r="E872" s="2">
        <f>IF(D872="","",IFERROR(XLOOKUP(TRIM(D872),INVENTARIO!$A$2:$A$2000,INVENTARIO!$B$2:$B$2000),"NO ENCONTRADO"))</f>
        <v/>
      </c>
      <c r="F872" s="2">
        <f>IF(D872="","",IFERROR(XLOOKUP(TRIM(D872),INVENTARIO!$A$2:$A$2000,INVENTARIO!$C$2:$C$2000),""))</f>
        <v/>
      </c>
      <c r="G872" s="2">
        <f>IF(D872="","",IF(E872="NO ENCONTRADO","CODIGO NO EXISTE",IF(COUNTIF($D$2:D872,D872)&gt;1,"DUPLICADO",IF(C872="","OK SIN PEDIDO",IF(COUNTIFS(PEDIDO_ITEMS!$A$2:$A$501,C872,PEDIDO_ITEMS!$B$2:$B$501,E872)=0,"NO PEDIDO",IF(COUNTIFS($C$2:C872,C872,$E$2:E872,E872)&gt;SUMIFS(PEDIDO_ITEMS!$C$2:$C$501,PEDIDO_ITEMS!$A$2:$A$501,C872,PEDIDO_ITEMS!$B$2:$B$501,E872),"EXCEDE PEDIDO","OK"))))))</f>
        <v/>
      </c>
    </row>
    <row r="873">
      <c r="A873" s="9" t="inlineStr"/>
      <c r="B873" s="2" t="inlineStr"/>
      <c r="C873" s="2" t="inlineStr"/>
      <c r="D873" s="2" t="inlineStr"/>
      <c r="E873" s="2">
        <f>IF(D873="","",IFERROR(XLOOKUP(TRIM(D873),INVENTARIO!$A$2:$A$2000,INVENTARIO!$B$2:$B$2000),"NO ENCONTRADO"))</f>
        <v/>
      </c>
      <c r="F873" s="2">
        <f>IF(D873="","",IFERROR(XLOOKUP(TRIM(D873),INVENTARIO!$A$2:$A$2000,INVENTARIO!$C$2:$C$2000),""))</f>
        <v/>
      </c>
      <c r="G873" s="2">
        <f>IF(D873="","",IF(E873="NO ENCONTRADO","CODIGO NO EXISTE",IF(COUNTIF($D$2:D873,D873)&gt;1,"DUPLICADO",IF(C873="","OK SIN PEDIDO",IF(COUNTIFS(PEDIDO_ITEMS!$A$2:$A$501,C873,PEDIDO_ITEMS!$B$2:$B$501,E873)=0,"NO PEDIDO",IF(COUNTIFS($C$2:C873,C873,$E$2:E873,E873)&gt;SUMIFS(PEDIDO_ITEMS!$C$2:$C$501,PEDIDO_ITEMS!$A$2:$A$501,C873,PEDIDO_ITEMS!$B$2:$B$501,E873),"EXCEDE PEDIDO","OK"))))))</f>
        <v/>
      </c>
    </row>
    <row r="874">
      <c r="A874" s="9" t="inlineStr"/>
      <c r="B874" s="2" t="inlineStr"/>
      <c r="C874" s="2" t="inlineStr"/>
      <c r="D874" s="2" t="inlineStr"/>
      <c r="E874" s="2">
        <f>IF(D874="","",IFERROR(XLOOKUP(TRIM(D874),INVENTARIO!$A$2:$A$2000,INVENTARIO!$B$2:$B$2000),"NO ENCONTRADO"))</f>
        <v/>
      </c>
      <c r="F874" s="2">
        <f>IF(D874="","",IFERROR(XLOOKUP(TRIM(D874),INVENTARIO!$A$2:$A$2000,INVENTARIO!$C$2:$C$2000),""))</f>
        <v/>
      </c>
      <c r="G874" s="2">
        <f>IF(D874="","",IF(E874="NO ENCONTRADO","CODIGO NO EXISTE",IF(COUNTIF($D$2:D874,D874)&gt;1,"DUPLICADO",IF(C874="","OK SIN PEDIDO",IF(COUNTIFS(PEDIDO_ITEMS!$A$2:$A$501,C874,PEDIDO_ITEMS!$B$2:$B$501,E874)=0,"NO PEDIDO",IF(COUNTIFS($C$2:C874,C874,$E$2:E874,E874)&gt;SUMIFS(PEDIDO_ITEMS!$C$2:$C$501,PEDIDO_ITEMS!$A$2:$A$501,C874,PEDIDO_ITEMS!$B$2:$B$501,E874),"EXCEDE PEDIDO","OK"))))))</f>
        <v/>
      </c>
    </row>
    <row r="875">
      <c r="A875" s="9" t="inlineStr"/>
      <c r="B875" s="2" t="inlineStr"/>
      <c r="C875" s="2" t="inlineStr"/>
      <c r="D875" s="2" t="inlineStr"/>
      <c r="E875" s="2">
        <f>IF(D875="","",IFERROR(XLOOKUP(TRIM(D875),INVENTARIO!$A$2:$A$2000,INVENTARIO!$B$2:$B$2000),"NO ENCONTRADO"))</f>
        <v/>
      </c>
      <c r="F875" s="2">
        <f>IF(D875="","",IFERROR(XLOOKUP(TRIM(D875),INVENTARIO!$A$2:$A$2000,INVENTARIO!$C$2:$C$2000),""))</f>
        <v/>
      </c>
      <c r="G875" s="2">
        <f>IF(D875="","",IF(E875="NO ENCONTRADO","CODIGO NO EXISTE",IF(COUNTIF($D$2:D875,D875)&gt;1,"DUPLICADO",IF(C875="","OK SIN PEDIDO",IF(COUNTIFS(PEDIDO_ITEMS!$A$2:$A$501,C875,PEDIDO_ITEMS!$B$2:$B$501,E875)=0,"NO PEDIDO",IF(COUNTIFS($C$2:C875,C875,$E$2:E875,E875)&gt;SUMIFS(PEDIDO_ITEMS!$C$2:$C$501,PEDIDO_ITEMS!$A$2:$A$501,C875,PEDIDO_ITEMS!$B$2:$B$501,E875),"EXCEDE PEDIDO","OK"))))))</f>
        <v/>
      </c>
    </row>
    <row r="876">
      <c r="A876" s="9" t="inlineStr"/>
      <c r="B876" s="2" t="inlineStr"/>
      <c r="C876" s="2" t="inlineStr"/>
      <c r="D876" s="2" t="inlineStr"/>
      <c r="E876" s="2">
        <f>IF(D876="","",IFERROR(XLOOKUP(TRIM(D876),INVENTARIO!$A$2:$A$2000,INVENTARIO!$B$2:$B$2000),"NO ENCONTRADO"))</f>
        <v/>
      </c>
      <c r="F876" s="2">
        <f>IF(D876="","",IFERROR(XLOOKUP(TRIM(D876),INVENTARIO!$A$2:$A$2000,INVENTARIO!$C$2:$C$2000),""))</f>
        <v/>
      </c>
      <c r="G876" s="2">
        <f>IF(D876="","",IF(E876="NO ENCONTRADO","CODIGO NO EXISTE",IF(COUNTIF($D$2:D876,D876)&gt;1,"DUPLICADO",IF(C876="","OK SIN PEDIDO",IF(COUNTIFS(PEDIDO_ITEMS!$A$2:$A$501,C876,PEDIDO_ITEMS!$B$2:$B$501,E876)=0,"NO PEDIDO",IF(COUNTIFS($C$2:C876,C876,$E$2:E876,E876)&gt;SUMIFS(PEDIDO_ITEMS!$C$2:$C$501,PEDIDO_ITEMS!$A$2:$A$501,C876,PEDIDO_ITEMS!$B$2:$B$501,E876),"EXCEDE PEDIDO","OK"))))))</f>
        <v/>
      </c>
    </row>
    <row r="877">
      <c r="A877" s="9" t="inlineStr"/>
      <c r="B877" s="2" t="inlineStr"/>
      <c r="C877" s="2" t="inlineStr"/>
      <c r="D877" s="2" t="inlineStr"/>
      <c r="E877" s="2">
        <f>IF(D877="","",IFERROR(XLOOKUP(TRIM(D877),INVENTARIO!$A$2:$A$2000,INVENTARIO!$B$2:$B$2000),"NO ENCONTRADO"))</f>
        <v/>
      </c>
      <c r="F877" s="2">
        <f>IF(D877="","",IFERROR(XLOOKUP(TRIM(D877),INVENTARIO!$A$2:$A$2000,INVENTARIO!$C$2:$C$2000),""))</f>
        <v/>
      </c>
      <c r="G877" s="2">
        <f>IF(D877="","",IF(E877="NO ENCONTRADO","CODIGO NO EXISTE",IF(COUNTIF($D$2:D877,D877)&gt;1,"DUPLICADO",IF(C877="","OK SIN PEDIDO",IF(COUNTIFS(PEDIDO_ITEMS!$A$2:$A$501,C877,PEDIDO_ITEMS!$B$2:$B$501,E877)=0,"NO PEDIDO",IF(COUNTIFS($C$2:C877,C877,$E$2:E877,E877)&gt;SUMIFS(PEDIDO_ITEMS!$C$2:$C$501,PEDIDO_ITEMS!$A$2:$A$501,C877,PEDIDO_ITEMS!$B$2:$B$501,E877),"EXCEDE PEDIDO","OK"))))))</f>
        <v/>
      </c>
    </row>
    <row r="878">
      <c r="A878" s="9" t="inlineStr"/>
      <c r="B878" s="2" t="inlineStr"/>
      <c r="C878" s="2" t="inlineStr"/>
      <c r="D878" s="2" t="inlineStr"/>
      <c r="E878" s="2">
        <f>IF(D878="","",IFERROR(XLOOKUP(TRIM(D878),INVENTARIO!$A$2:$A$2000,INVENTARIO!$B$2:$B$2000),"NO ENCONTRADO"))</f>
        <v/>
      </c>
      <c r="F878" s="2">
        <f>IF(D878="","",IFERROR(XLOOKUP(TRIM(D878),INVENTARIO!$A$2:$A$2000,INVENTARIO!$C$2:$C$2000),""))</f>
        <v/>
      </c>
      <c r="G878" s="2">
        <f>IF(D878="","",IF(E878="NO ENCONTRADO","CODIGO NO EXISTE",IF(COUNTIF($D$2:D878,D878)&gt;1,"DUPLICADO",IF(C878="","OK SIN PEDIDO",IF(COUNTIFS(PEDIDO_ITEMS!$A$2:$A$501,C878,PEDIDO_ITEMS!$B$2:$B$501,E878)=0,"NO PEDIDO",IF(COUNTIFS($C$2:C878,C878,$E$2:E878,E878)&gt;SUMIFS(PEDIDO_ITEMS!$C$2:$C$501,PEDIDO_ITEMS!$A$2:$A$501,C878,PEDIDO_ITEMS!$B$2:$B$501,E878),"EXCEDE PEDIDO","OK"))))))</f>
        <v/>
      </c>
    </row>
    <row r="879">
      <c r="A879" s="9" t="inlineStr"/>
      <c r="B879" s="2" t="inlineStr"/>
      <c r="C879" s="2" t="inlineStr"/>
      <c r="D879" s="2" t="inlineStr"/>
      <c r="E879" s="2">
        <f>IF(D879="","",IFERROR(XLOOKUP(TRIM(D879),INVENTARIO!$A$2:$A$2000,INVENTARIO!$B$2:$B$2000),"NO ENCONTRADO"))</f>
        <v/>
      </c>
      <c r="F879" s="2">
        <f>IF(D879="","",IFERROR(XLOOKUP(TRIM(D879),INVENTARIO!$A$2:$A$2000,INVENTARIO!$C$2:$C$2000),""))</f>
        <v/>
      </c>
      <c r="G879" s="2">
        <f>IF(D879="","",IF(E879="NO ENCONTRADO","CODIGO NO EXISTE",IF(COUNTIF($D$2:D879,D879)&gt;1,"DUPLICADO",IF(C879="","OK SIN PEDIDO",IF(COUNTIFS(PEDIDO_ITEMS!$A$2:$A$501,C879,PEDIDO_ITEMS!$B$2:$B$501,E879)=0,"NO PEDIDO",IF(COUNTIFS($C$2:C879,C879,$E$2:E879,E879)&gt;SUMIFS(PEDIDO_ITEMS!$C$2:$C$501,PEDIDO_ITEMS!$A$2:$A$501,C879,PEDIDO_ITEMS!$B$2:$B$501,E879),"EXCEDE PEDIDO","OK"))))))</f>
        <v/>
      </c>
    </row>
    <row r="880">
      <c r="A880" s="9" t="inlineStr"/>
      <c r="B880" s="2" t="inlineStr"/>
      <c r="C880" s="2" t="inlineStr"/>
      <c r="D880" s="2" t="inlineStr"/>
      <c r="E880" s="2">
        <f>IF(D880="","",IFERROR(XLOOKUP(TRIM(D880),INVENTARIO!$A$2:$A$2000,INVENTARIO!$B$2:$B$2000),"NO ENCONTRADO"))</f>
        <v/>
      </c>
      <c r="F880" s="2">
        <f>IF(D880="","",IFERROR(XLOOKUP(TRIM(D880),INVENTARIO!$A$2:$A$2000,INVENTARIO!$C$2:$C$2000),""))</f>
        <v/>
      </c>
      <c r="G880" s="2">
        <f>IF(D880="","",IF(E880="NO ENCONTRADO","CODIGO NO EXISTE",IF(COUNTIF($D$2:D880,D880)&gt;1,"DUPLICADO",IF(C880="","OK SIN PEDIDO",IF(COUNTIFS(PEDIDO_ITEMS!$A$2:$A$501,C880,PEDIDO_ITEMS!$B$2:$B$501,E880)=0,"NO PEDIDO",IF(COUNTIFS($C$2:C880,C880,$E$2:E880,E880)&gt;SUMIFS(PEDIDO_ITEMS!$C$2:$C$501,PEDIDO_ITEMS!$A$2:$A$501,C880,PEDIDO_ITEMS!$B$2:$B$501,E880),"EXCEDE PEDIDO","OK"))))))</f>
        <v/>
      </c>
    </row>
    <row r="881">
      <c r="A881" s="9" t="inlineStr"/>
      <c r="B881" s="2" t="inlineStr"/>
      <c r="C881" s="2" t="inlineStr"/>
      <c r="D881" s="2" t="inlineStr"/>
      <c r="E881" s="2">
        <f>IF(D881="","",IFERROR(XLOOKUP(TRIM(D881),INVENTARIO!$A$2:$A$2000,INVENTARIO!$B$2:$B$2000),"NO ENCONTRADO"))</f>
        <v/>
      </c>
      <c r="F881" s="2">
        <f>IF(D881="","",IFERROR(XLOOKUP(TRIM(D881),INVENTARIO!$A$2:$A$2000,INVENTARIO!$C$2:$C$2000),""))</f>
        <v/>
      </c>
      <c r="G881" s="2">
        <f>IF(D881="","",IF(E881="NO ENCONTRADO","CODIGO NO EXISTE",IF(COUNTIF($D$2:D881,D881)&gt;1,"DUPLICADO",IF(C881="","OK SIN PEDIDO",IF(COUNTIFS(PEDIDO_ITEMS!$A$2:$A$501,C881,PEDIDO_ITEMS!$B$2:$B$501,E881)=0,"NO PEDIDO",IF(COUNTIFS($C$2:C881,C881,$E$2:E881,E881)&gt;SUMIFS(PEDIDO_ITEMS!$C$2:$C$501,PEDIDO_ITEMS!$A$2:$A$501,C881,PEDIDO_ITEMS!$B$2:$B$501,E881),"EXCEDE PEDIDO","OK"))))))</f>
        <v/>
      </c>
    </row>
    <row r="882">
      <c r="A882" s="9" t="inlineStr"/>
      <c r="B882" s="2" t="inlineStr"/>
      <c r="C882" s="2" t="inlineStr"/>
      <c r="D882" s="2" t="inlineStr"/>
      <c r="E882" s="2">
        <f>IF(D882="","",IFERROR(XLOOKUP(TRIM(D882),INVENTARIO!$A$2:$A$2000,INVENTARIO!$B$2:$B$2000),"NO ENCONTRADO"))</f>
        <v/>
      </c>
      <c r="F882" s="2">
        <f>IF(D882="","",IFERROR(XLOOKUP(TRIM(D882),INVENTARIO!$A$2:$A$2000,INVENTARIO!$C$2:$C$2000),""))</f>
        <v/>
      </c>
      <c r="G882" s="2">
        <f>IF(D882="","",IF(E882="NO ENCONTRADO","CODIGO NO EXISTE",IF(COUNTIF($D$2:D882,D882)&gt;1,"DUPLICADO",IF(C882="","OK SIN PEDIDO",IF(COUNTIFS(PEDIDO_ITEMS!$A$2:$A$501,C882,PEDIDO_ITEMS!$B$2:$B$501,E882)=0,"NO PEDIDO",IF(COUNTIFS($C$2:C882,C882,$E$2:E882,E882)&gt;SUMIFS(PEDIDO_ITEMS!$C$2:$C$501,PEDIDO_ITEMS!$A$2:$A$501,C882,PEDIDO_ITEMS!$B$2:$B$501,E882),"EXCEDE PEDIDO","OK"))))))</f>
        <v/>
      </c>
    </row>
    <row r="883">
      <c r="A883" s="9" t="inlineStr"/>
      <c r="B883" s="2" t="inlineStr"/>
      <c r="C883" s="2" t="inlineStr"/>
      <c r="D883" s="2" t="inlineStr"/>
      <c r="E883" s="2">
        <f>IF(D883="","",IFERROR(XLOOKUP(TRIM(D883),INVENTARIO!$A$2:$A$2000,INVENTARIO!$B$2:$B$2000),"NO ENCONTRADO"))</f>
        <v/>
      </c>
      <c r="F883" s="2">
        <f>IF(D883="","",IFERROR(XLOOKUP(TRIM(D883),INVENTARIO!$A$2:$A$2000,INVENTARIO!$C$2:$C$2000),""))</f>
        <v/>
      </c>
      <c r="G883" s="2">
        <f>IF(D883="","",IF(E883="NO ENCONTRADO","CODIGO NO EXISTE",IF(COUNTIF($D$2:D883,D883)&gt;1,"DUPLICADO",IF(C883="","OK SIN PEDIDO",IF(COUNTIFS(PEDIDO_ITEMS!$A$2:$A$501,C883,PEDIDO_ITEMS!$B$2:$B$501,E883)=0,"NO PEDIDO",IF(COUNTIFS($C$2:C883,C883,$E$2:E883,E883)&gt;SUMIFS(PEDIDO_ITEMS!$C$2:$C$501,PEDIDO_ITEMS!$A$2:$A$501,C883,PEDIDO_ITEMS!$B$2:$B$501,E883),"EXCEDE PEDIDO","OK"))))))</f>
        <v/>
      </c>
    </row>
    <row r="884">
      <c r="A884" s="9" t="inlineStr"/>
      <c r="B884" s="2" t="inlineStr"/>
      <c r="C884" s="2" t="inlineStr"/>
      <c r="D884" s="2" t="inlineStr"/>
      <c r="E884" s="2">
        <f>IF(D884="","",IFERROR(XLOOKUP(TRIM(D884),INVENTARIO!$A$2:$A$2000,INVENTARIO!$B$2:$B$2000),"NO ENCONTRADO"))</f>
        <v/>
      </c>
      <c r="F884" s="2">
        <f>IF(D884="","",IFERROR(XLOOKUP(TRIM(D884),INVENTARIO!$A$2:$A$2000,INVENTARIO!$C$2:$C$2000),""))</f>
        <v/>
      </c>
      <c r="G884" s="2">
        <f>IF(D884="","",IF(E884="NO ENCONTRADO","CODIGO NO EXISTE",IF(COUNTIF($D$2:D884,D884)&gt;1,"DUPLICADO",IF(C884="","OK SIN PEDIDO",IF(COUNTIFS(PEDIDO_ITEMS!$A$2:$A$501,C884,PEDIDO_ITEMS!$B$2:$B$501,E884)=0,"NO PEDIDO",IF(COUNTIFS($C$2:C884,C884,$E$2:E884,E884)&gt;SUMIFS(PEDIDO_ITEMS!$C$2:$C$501,PEDIDO_ITEMS!$A$2:$A$501,C884,PEDIDO_ITEMS!$B$2:$B$501,E884),"EXCEDE PEDIDO","OK"))))))</f>
        <v/>
      </c>
    </row>
    <row r="885">
      <c r="A885" s="9" t="inlineStr"/>
      <c r="B885" s="2" t="inlineStr"/>
      <c r="C885" s="2" t="inlineStr"/>
      <c r="D885" s="2" t="inlineStr"/>
      <c r="E885" s="2">
        <f>IF(D885="","",IFERROR(XLOOKUP(TRIM(D885),INVENTARIO!$A$2:$A$2000,INVENTARIO!$B$2:$B$2000),"NO ENCONTRADO"))</f>
        <v/>
      </c>
      <c r="F885" s="2">
        <f>IF(D885="","",IFERROR(XLOOKUP(TRIM(D885),INVENTARIO!$A$2:$A$2000,INVENTARIO!$C$2:$C$2000),""))</f>
        <v/>
      </c>
      <c r="G885" s="2">
        <f>IF(D885="","",IF(E885="NO ENCONTRADO","CODIGO NO EXISTE",IF(COUNTIF($D$2:D885,D885)&gt;1,"DUPLICADO",IF(C885="","OK SIN PEDIDO",IF(COUNTIFS(PEDIDO_ITEMS!$A$2:$A$501,C885,PEDIDO_ITEMS!$B$2:$B$501,E885)=0,"NO PEDIDO",IF(COUNTIFS($C$2:C885,C885,$E$2:E885,E885)&gt;SUMIFS(PEDIDO_ITEMS!$C$2:$C$501,PEDIDO_ITEMS!$A$2:$A$501,C885,PEDIDO_ITEMS!$B$2:$B$501,E885),"EXCEDE PEDIDO","OK"))))))</f>
        <v/>
      </c>
    </row>
    <row r="886">
      <c r="A886" s="9" t="inlineStr"/>
      <c r="B886" s="2" t="inlineStr"/>
      <c r="C886" s="2" t="inlineStr"/>
      <c r="D886" s="2" t="inlineStr"/>
      <c r="E886" s="2">
        <f>IF(D886="","",IFERROR(XLOOKUP(TRIM(D886),INVENTARIO!$A$2:$A$2000,INVENTARIO!$B$2:$B$2000),"NO ENCONTRADO"))</f>
        <v/>
      </c>
      <c r="F886" s="2">
        <f>IF(D886="","",IFERROR(XLOOKUP(TRIM(D886),INVENTARIO!$A$2:$A$2000,INVENTARIO!$C$2:$C$2000),""))</f>
        <v/>
      </c>
      <c r="G886" s="2">
        <f>IF(D886="","",IF(E886="NO ENCONTRADO","CODIGO NO EXISTE",IF(COUNTIF($D$2:D886,D886)&gt;1,"DUPLICADO",IF(C886="","OK SIN PEDIDO",IF(COUNTIFS(PEDIDO_ITEMS!$A$2:$A$501,C886,PEDIDO_ITEMS!$B$2:$B$501,E886)=0,"NO PEDIDO",IF(COUNTIFS($C$2:C886,C886,$E$2:E886,E886)&gt;SUMIFS(PEDIDO_ITEMS!$C$2:$C$501,PEDIDO_ITEMS!$A$2:$A$501,C886,PEDIDO_ITEMS!$B$2:$B$501,E886),"EXCEDE PEDIDO","OK"))))))</f>
        <v/>
      </c>
    </row>
    <row r="887">
      <c r="A887" s="9" t="inlineStr"/>
      <c r="B887" s="2" t="inlineStr"/>
      <c r="C887" s="2" t="inlineStr"/>
      <c r="D887" s="2" t="inlineStr"/>
      <c r="E887" s="2">
        <f>IF(D887="","",IFERROR(XLOOKUP(TRIM(D887),INVENTARIO!$A$2:$A$2000,INVENTARIO!$B$2:$B$2000),"NO ENCONTRADO"))</f>
        <v/>
      </c>
      <c r="F887" s="2">
        <f>IF(D887="","",IFERROR(XLOOKUP(TRIM(D887),INVENTARIO!$A$2:$A$2000,INVENTARIO!$C$2:$C$2000),""))</f>
        <v/>
      </c>
      <c r="G887" s="2">
        <f>IF(D887="","",IF(E887="NO ENCONTRADO","CODIGO NO EXISTE",IF(COUNTIF($D$2:D887,D887)&gt;1,"DUPLICADO",IF(C887="","OK SIN PEDIDO",IF(COUNTIFS(PEDIDO_ITEMS!$A$2:$A$501,C887,PEDIDO_ITEMS!$B$2:$B$501,E887)=0,"NO PEDIDO",IF(COUNTIFS($C$2:C887,C887,$E$2:E887,E887)&gt;SUMIFS(PEDIDO_ITEMS!$C$2:$C$501,PEDIDO_ITEMS!$A$2:$A$501,C887,PEDIDO_ITEMS!$B$2:$B$501,E887),"EXCEDE PEDIDO","OK"))))))</f>
        <v/>
      </c>
    </row>
    <row r="888">
      <c r="A888" s="9" t="inlineStr"/>
      <c r="B888" s="2" t="inlineStr"/>
      <c r="C888" s="2" t="inlineStr"/>
      <c r="D888" s="2" t="inlineStr"/>
      <c r="E888" s="2">
        <f>IF(D888="","",IFERROR(XLOOKUP(TRIM(D888),INVENTARIO!$A$2:$A$2000,INVENTARIO!$B$2:$B$2000),"NO ENCONTRADO"))</f>
        <v/>
      </c>
      <c r="F888" s="2">
        <f>IF(D888="","",IFERROR(XLOOKUP(TRIM(D888),INVENTARIO!$A$2:$A$2000,INVENTARIO!$C$2:$C$2000),""))</f>
        <v/>
      </c>
      <c r="G888" s="2">
        <f>IF(D888="","",IF(E888="NO ENCONTRADO","CODIGO NO EXISTE",IF(COUNTIF($D$2:D888,D888)&gt;1,"DUPLICADO",IF(C888="","OK SIN PEDIDO",IF(COUNTIFS(PEDIDO_ITEMS!$A$2:$A$501,C888,PEDIDO_ITEMS!$B$2:$B$501,E888)=0,"NO PEDIDO",IF(COUNTIFS($C$2:C888,C888,$E$2:E888,E888)&gt;SUMIFS(PEDIDO_ITEMS!$C$2:$C$501,PEDIDO_ITEMS!$A$2:$A$501,C888,PEDIDO_ITEMS!$B$2:$B$501,E888),"EXCEDE PEDIDO","OK"))))))</f>
        <v/>
      </c>
    </row>
    <row r="889">
      <c r="A889" s="9" t="inlineStr"/>
      <c r="B889" s="2" t="inlineStr"/>
      <c r="C889" s="2" t="inlineStr"/>
      <c r="D889" s="2" t="inlineStr"/>
      <c r="E889" s="2">
        <f>IF(D889="","",IFERROR(XLOOKUP(TRIM(D889),INVENTARIO!$A$2:$A$2000,INVENTARIO!$B$2:$B$2000),"NO ENCONTRADO"))</f>
        <v/>
      </c>
      <c r="F889" s="2">
        <f>IF(D889="","",IFERROR(XLOOKUP(TRIM(D889),INVENTARIO!$A$2:$A$2000,INVENTARIO!$C$2:$C$2000),""))</f>
        <v/>
      </c>
      <c r="G889" s="2">
        <f>IF(D889="","",IF(E889="NO ENCONTRADO","CODIGO NO EXISTE",IF(COUNTIF($D$2:D889,D889)&gt;1,"DUPLICADO",IF(C889="","OK SIN PEDIDO",IF(COUNTIFS(PEDIDO_ITEMS!$A$2:$A$501,C889,PEDIDO_ITEMS!$B$2:$B$501,E889)=0,"NO PEDIDO",IF(COUNTIFS($C$2:C889,C889,$E$2:E889,E889)&gt;SUMIFS(PEDIDO_ITEMS!$C$2:$C$501,PEDIDO_ITEMS!$A$2:$A$501,C889,PEDIDO_ITEMS!$B$2:$B$501,E889),"EXCEDE PEDIDO","OK"))))))</f>
        <v/>
      </c>
    </row>
    <row r="890">
      <c r="A890" s="9" t="inlineStr"/>
      <c r="B890" s="2" t="inlineStr"/>
      <c r="C890" s="2" t="inlineStr"/>
      <c r="D890" s="2" t="inlineStr"/>
      <c r="E890" s="2">
        <f>IF(D890="","",IFERROR(XLOOKUP(TRIM(D890),INVENTARIO!$A$2:$A$2000,INVENTARIO!$B$2:$B$2000),"NO ENCONTRADO"))</f>
        <v/>
      </c>
      <c r="F890" s="2">
        <f>IF(D890="","",IFERROR(XLOOKUP(TRIM(D890),INVENTARIO!$A$2:$A$2000,INVENTARIO!$C$2:$C$2000),""))</f>
        <v/>
      </c>
      <c r="G890" s="2">
        <f>IF(D890="","",IF(E890="NO ENCONTRADO","CODIGO NO EXISTE",IF(COUNTIF($D$2:D890,D890)&gt;1,"DUPLICADO",IF(C890="","OK SIN PEDIDO",IF(COUNTIFS(PEDIDO_ITEMS!$A$2:$A$501,C890,PEDIDO_ITEMS!$B$2:$B$501,E890)=0,"NO PEDIDO",IF(COUNTIFS($C$2:C890,C890,$E$2:E890,E890)&gt;SUMIFS(PEDIDO_ITEMS!$C$2:$C$501,PEDIDO_ITEMS!$A$2:$A$501,C890,PEDIDO_ITEMS!$B$2:$B$501,E890),"EXCEDE PEDIDO","OK"))))))</f>
        <v/>
      </c>
    </row>
    <row r="891">
      <c r="A891" s="9" t="inlineStr"/>
      <c r="B891" s="2" t="inlineStr"/>
      <c r="C891" s="2" t="inlineStr"/>
      <c r="D891" s="2" t="inlineStr"/>
      <c r="E891" s="2">
        <f>IF(D891="","",IFERROR(XLOOKUP(TRIM(D891),INVENTARIO!$A$2:$A$2000,INVENTARIO!$B$2:$B$2000),"NO ENCONTRADO"))</f>
        <v/>
      </c>
      <c r="F891" s="2">
        <f>IF(D891="","",IFERROR(XLOOKUP(TRIM(D891),INVENTARIO!$A$2:$A$2000,INVENTARIO!$C$2:$C$2000),""))</f>
        <v/>
      </c>
      <c r="G891" s="2">
        <f>IF(D891="","",IF(E891="NO ENCONTRADO","CODIGO NO EXISTE",IF(COUNTIF($D$2:D891,D891)&gt;1,"DUPLICADO",IF(C891="","OK SIN PEDIDO",IF(COUNTIFS(PEDIDO_ITEMS!$A$2:$A$501,C891,PEDIDO_ITEMS!$B$2:$B$501,E891)=0,"NO PEDIDO",IF(COUNTIFS($C$2:C891,C891,$E$2:E891,E891)&gt;SUMIFS(PEDIDO_ITEMS!$C$2:$C$501,PEDIDO_ITEMS!$A$2:$A$501,C891,PEDIDO_ITEMS!$B$2:$B$501,E891),"EXCEDE PEDIDO","OK"))))))</f>
        <v/>
      </c>
    </row>
    <row r="892">
      <c r="A892" s="9" t="inlineStr"/>
      <c r="B892" s="2" t="inlineStr"/>
      <c r="C892" s="2" t="inlineStr"/>
      <c r="D892" s="2" t="inlineStr"/>
      <c r="E892" s="2">
        <f>IF(D892="","",IFERROR(XLOOKUP(TRIM(D892),INVENTARIO!$A$2:$A$2000,INVENTARIO!$B$2:$B$2000),"NO ENCONTRADO"))</f>
        <v/>
      </c>
      <c r="F892" s="2">
        <f>IF(D892="","",IFERROR(XLOOKUP(TRIM(D892),INVENTARIO!$A$2:$A$2000,INVENTARIO!$C$2:$C$2000),""))</f>
        <v/>
      </c>
      <c r="G892" s="2">
        <f>IF(D892="","",IF(E892="NO ENCONTRADO","CODIGO NO EXISTE",IF(COUNTIF($D$2:D892,D892)&gt;1,"DUPLICADO",IF(C892="","OK SIN PEDIDO",IF(COUNTIFS(PEDIDO_ITEMS!$A$2:$A$501,C892,PEDIDO_ITEMS!$B$2:$B$501,E892)=0,"NO PEDIDO",IF(COUNTIFS($C$2:C892,C892,$E$2:E892,E892)&gt;SUMIFS(PEDIDO_ITEMS!$C$2:$C$501,PEDIDO_ITEMS!$A$2:$A$501,C892,PEDIDO_ITEMS!$B$2:$B$501,E892),"EXCEDE PEDIDO","OK"))))))</f>
        <v/>
      </c>
    </row>
    <row r="893">
      <c r="A893" s="9" t="inlineStr"/>
      <c r="B893" s="2" t="inlineStr"/>
      <c r="C893" s="2" t="inlineStr"/>
      <c r="D893" s="2" t="inlineStr"/>
      <c r="E893" s="2">
        <f>IF(D893="","",IFERROR(XLOOKUP(TRIM(D893),INVENTARIO!$A$2:$A$2000,INVENTARIO!$B$2:$B$2000),"NO ENCONTRADO"))</f>
        <v/>
      </c>
      <c r="F893" s="2">
        <f>IF(D893="","",IFERROR(XLOOKUP(TRIM(D893),INVENTARIO!$A$2:$A$2000,INVENTARIO!$C$2:$C$2000),""))</f>
        <v/>
      </c>
      <c r="G893" s="2">
        <f>IF(D893="","",IF(E893="NO ENCONTRADO","CODIGO NO EXISTE",IF(COUNTIF($D$2:D893,D893)&gt;1,"DUPLICADO",IF(C893="","OK SIN PEDIDO",IF(COUNTIFS(PEDIDO_ITEMS!$A$2:$A$501,C893,PEDIDO_ITEMS!$B$2:$B$501,E893)=0,"NO PEDIDO",IF(COUNTIFS($C$2:C893,C893,$E$2:E893,E893)&gt;SUMIFS(PEDIDO_ITEMS!$C$2:$C$501,PEDIDO_ITEMS!$A$2:$A$501,C893,PEDIDO_ITEMS!$B$2:$B$501,E893),"EXCEDE PEDIDO","OK"))))))</f>
        <v/>
      </c>
    </row>
    <row r="894">
      <c r="A894" s="9" t="inlineStr"/>
      <c r="B894" s="2" t="inlineStr"/>
      <c r="C894" s="2" t="inlineStr"/>
      <c r="D894" s="2" t="inlineStr"/>
      <c r="E894" s="2">
        <f>IF(D894="","",IFERROR(XLOOKUP(TRIM(D894),INVENTARIO!$A$2:$A$2000,INVENTARIO!$B$2:$B$2000),"NO ENCONTRADO"))</f>
        <v/>
      </c>
      <c r="F894" s="2">
        <f>IF(D894="","",IFERROR(XLOOKUP(TRIM(D894),INVENTARIO!$A$2:$A$2000,INVENTARIO!$C$2:$C$2000),""))</f>
        <v/>
      </c>
      <c r="G894" s="2">
        <f>IF(D894="","",IF(E894="NO ENCONTRADO","CODIGO NO EXISTE",IF(COUNTIF($D$2:D894,D894)&gt;1,"DUPLICADO",IF(C894="","OK SIN PEDIDO",IF(COUNTIFS(PEDIDO_ITEMS!$A$2:$A$501,C894,PEDIDO_ITEMS!$B$2:$B$501,E894)=0,"NO PEDIDO",IF(COUNTIFS($C$2:C894,C894,$E$2:E894,E894)&gt;SUMIFS(PEDIDO_ITEMS!$C$2:$C$501,PEDIDO_ITEMS!$A$2:$A$501,C894,PEDIDO_ITEMS!$B$2:$B$501,E894),"EXCEDE PEDIDO","OK"))))))</f>
        <v/>
      </c>
    </row>
    <row r="895">
      <c r="A895" s="9" t="inlineStr"/>
      <c r="B895" s="2" t="inlineStr"/>
      <c r="C895" s="2" t="inlineStr"/>
      <c r="D895" s="2" t="inlineStr"/>
      <c r="E895" s="2">
        <f>IF(D895="","",IFERROR(XLOOKUP(TRIM(D895),INVENTARIO!$A$2:$A$2000,INVENTARIO!$B$2:$B$2000),"NO ENCONTRADO"))</f>
        <v/>
      </c>
      <c r="F895" s="2">
        <f>IF(D895="","",IFERROR(XLOOKUP(TRIM(D895),INVENTARIO!$A$2:$A$2000,INVENTARIO!$C$2:$C$2000),""))</f>
        <v/>
      </c>
      <c r="G895" s="2">
        <f>IF(D895="","",IF(E895="NO ENCONTRADO","CODIGO NO EXISTE",IF(COUNTIF($D$2:D895,D895)&gt;1,"DUPLICADO",IF(C895="","OK SIN PEDIDO",IF(COUNTIFS(PEDIDO_ITEMS!$A$2:$A$501,C895,PEDIDO_ITEMS!$B$2:$B$501,E895)=0,"NO PEDIDO",IF(COUNTIFS($C$2:C895,C895,$E$2:E895,E895)&gt;SUMIFS(PEDIDO_ITEMS!$C$2:$C$501,PEDIDO_ITEMS!$A$2:$A$501,C895,PEDIDO_ITEMS!$B$2:$B$501,E895),"EXCEDE PEDIDO","OK"))))))</f>
        <v/>
      </c>
    </row>
    <row r="896">
      <c r="A896" s="9" t="inlineStr"/>
      <c r="B896" s="2" t="inlineStr"/>
      <c r="C896" s="2" t="inlineStr"/>
      <c r="D896" s="2" t="inlineStr"/>
      <c r="E896" s="2">
        <f>IF(D896="","",IFERROR(XLOOKUP(TRIM(D896),INVENTARIO!$A$2:$A$2000,INVENTARIO!$B$2:$B$2000),"NO ENCONTRADO"))</f>
        <v/>
      </c>
      <c r="F896" s="2">
        <f>IF(D896="","",IFERROR(XLOOKUP(TRIM(D896),INVENTARIO!$A$2:$A$2000,INVENTARIO!$C$2:$C$2000),""))</f>
        <v/>
      </c>
      <c r="G896" s="2">
        <f>IF(D896="","",IF(E896="NO ENCONTRADO","CODIGO NO EXISTE",IF(COUNTIF($D$2:D896,D896)&gt;1,"DUPLICADO",IF(C896="","OK SIN PEDIDO",IF(COUNTIFS(PEDIDO_ITEMS!$A$2:$A$501,C896,PEDIDO_ITEMS!$B$2:$B$501,E896)=0,"NO PEDIDO",IF(COUNTIFS($C$2:C896,C896,$E$2:E896,E896)&gt;SUMIFS(PEDIDO_ITEMS!$C$2:$C$501,PEDIDO_ITEMS!$A$2:$A$501,C896,PEDIDO_ITEMS!$B$2:$B$501,E896),"EXCEDE PEDIDO","OK"))))))</f>
        <v/>
      </c>
    </row>
    <row r="897">
      <c r="A897" s="9" t="inlineStr"/>
      <c r="B897" s="2" t="inlineStr"/>
      <c r="C897" s="2" t="inlineStr"/>
      <c r="D897" s="2" t="inlineStr"/>
      <c r="E897" s="2">
        <f>IF(D897="","",IFERROR(XLOOKUP(TRIM(D897),INVENTARIO!$A$2:$A$2000,INVENTARIO!$B$2:$B$2000),"NO ENCONTRADO"))</f>
        <v/>
      </c>
      <c r="F897" s="2">
        <f>IF(D897="","",IFERROR(XLOOKUP(TRIM(D897),INVENTARIO!$A$2:$A$2000,INVENTARIO!$C$2:$C$2000),""))</f>
        <v/>
      </c>
      <c r="G897" s="2">
        <f>IF(D897="","",IF(E897="NO ENCONTRADO","CODIGO NO EXISTE",IF(COUNTIF($D$2:D897,D897)&gt;1,"DUPLICADO",IF(C897="","OK SIN PEDIDO",IF(COUNTIFS(PEDIDO_ITEMS!$A$2:$A$501,C897,PEDIDO_ITEMS!$B$2:$B$501,E897)=0,"NO PEDIDO",IF(COUNTIFS($C$2:C897,C897,$E$2:E897,E897)&gt;SUMIFS(PEDIDO_ITEMS!$C$2:$C$501,PEDIDO_ITEMS!$A$2:$A$501,C897,PEDIDO_ITEMS!$B$2:$B$501,E897),"EXCEDE PEDIDO","OK"))))))</f>
        <v/>
      </c>
    </row>
    <row r="898">
      <c r="A898" s="9" t="inlineStr"/>
      <c r="B898" s="2" t="inlineStr"/>
      <c r="C898" s="2" t="inlineStr"/>
      <c r="D898" s="2" t="inlineStr"/>
      <c r="E898" s="2">
        <f>IF(D898="","",IFERROR(XLOOKUP(TRIM(D898),INVENTARIO!$A$2:$A$2000,INVENTARIO!$B$2:$B$2000),"NO ENCONTRADO"))</f>
        <v/>
      </c>
      <c r="F898" s="2">
        <f>IF(D898="","",IFERROR(XLOOKUP(TRIM(D898),INVENTARIO!$A$2:$A$2000,INVENTARIO!$C$2:$C$2000),""))</f>
        <v/>
      </c>
      <c r="G898" s="2">
        <f>IF(D898="","",IF(E898="NO ENCONTRADO","CODIGO NO EXISTE",IF(COUNTIF($D$2:D898,D898)&gt;1,"DUPLICADO",IF(C898="","OK SIN PEDIDO",IF(COUNTIFS(PEDIDO_ITEMS!$A$2:$A$501,C898,PEDIDO_ITEMS!$B$2:$B$501,E898)=0,"NO PEDIDO",IF(COUNTIFS($C$2:C898,C898,$E$2:E898,E898)&gt;SUMIFS(PEDIDO_ITEMS!$C$2:$C$501,PEDIDO_ITEMS!$A$2:$A$501,C898,PEDIDO_ITEMS!$B$2:$B$501,E898),"EXCEDE PEDIDO","OK"))))))</f>
        <v/>
      </c>
    </row>
    <row r="899">
      <c r="A899" s="9" t="inlineStr"/>
      <c r="B899" s="2" t="inlineStr"/>
      <c r="C899" s="2" t="inlineStr"/>
      <c r="D899" s="2" t="inlineStr"/>
      <c r="E899" s="2">
        <f>IF(D899="","",IFERROR(XLOOKUP(TRIM(D899),INVENTARIO!$A$2:$A$2000,INVENTARIO!$B$2:$B$2000),"NO ENCONTRADO"))</f>
        <v/>
      </c>
      <c r="F899" s="2">
        <f>IF(D899="","",IFERROR(XLOOKUP(TRIM(D899),INVENTARIO!$A$2:$A$2000,INVENTARIO!$C$2:$C$2000),""))</f>
        <v/>
      </c>
      <c r="G899" s="2">
        <f>IF(D899="","",IF(E899="NO ENCONTRADO","CODIGO NO EXISTE",IF(COUNTIF($D$2:D899,D899)&gt;1,"DUPLICADO",IF(C899="","OK SIN PEDIDO",IF(COUNTIFS(PEDIDO_ITEMS!$A$2:$A$501,C899,PEDIDO_ITEMS!$B$2:$B$501,E899)=0,"NO PEDIDO",IF(COUNTIFS($C$2:C899,C899,$E$2:E899,E899)&gt;SUMIFS(PEDIDO_ITEMS!$C$2:$C$501,PEDIDO_ITEMS!$A$2:$A$501,C899,PEDIDO_ITEMS!$B$2:$B$501,E899),"EXCEDE PEDIDO","OK"))))))</f>
        <v/>
      </c>
    </row>
    <row r="900">
      <c r="A900" s="9" t="inlineStr"/>
      <c r="B900" s="2" t="inlineStr"/>
      <c r="C900" s="2" t="inlineStr"/>
      <c r="D900" s="2" t="inlineStr"/>
      <c r="E900" s="2">
        <f>IF(D900="","",IFERROR(XLOOKUP(TRIM(D900),INVENTARIO!$A$2:$A$2000,INVENTARIO!$B$2:$B$2000),"NO ENCONTRADO"))</f>
        <v/>
      </c>
      <c r="F900" s="2">
        <f>IF(D900="","",IFERROR(XLOOKUP(TRIM(D900),INVENTARIO!$A$2:$A$2000,INVENTARIO!$C$2:$C$2000),""))</f>
        <v/>
      </c>
      <c r="G900" s="2">
        <f>IF(D900="","",IF(E900="NO ENCONTRADO","CODIGO NO EXISTE",IF(COUNTIF($D$2:D900,D900)&gt;1,"DUPLICADO",IF(C900="","OK SIN PEDIDO",IF(COUNTIFS(PEDIDO_ITEMS!$A$2:$A$501,C900,PEDIDO_ITEMS!$B$2:$B$501,E900)=0,"NO PEDIDO",IF(COUNTIFS($C$2:C900,C900,$E$2:E900,E900)&gt;SUMIFS(PEDIDO_ITEMS!$C$2:$C$501,PEDIDO_ITEMS!$A$2:$A$501,C900,PEDIDO_ITEMS!$B$2:$B$501,E900),"EXCEDE PEDIDO","OK"))))))</f>
        <v/>
      </c>
    </row>
    <row r="901">
      <c r="A901" s="9" t="inlineStr"/>
      <c r="B901" s="2" t="inlineStr"/>
      <c r="C901" s="2" t="inlineStr"/>
      <c r="D901" s="2" t="inlineStr"/>
      <c r="E901" s="2">
        <f>IF(D901="","",IFERROR(XLOOKUP(TRIM(D901),INVENTARIO!$A$2:$A$2000,INVENTARIO!$B$2:$B$2000),"NO ENCONTRADO"))</f>
        <v/>
      </c>
      <c r="F901" s="2">
        <f>IF(D901="","",IFERROR(XLOOKUP(TRIM(D901),INVENTARIO!$A$2:$A$2000,INVENTARIO!$C$2:$C$2000),""))</f>
        <v/>
      </c>
      <c r="G901" s="2">
        <f>IF(D901="","",IF(E901="NO ENCONTRADO","CODIGO NO EXISTE",IF(COUNTIF($D$2:D901,D901)&gt;1,"DUPLICADO",IF(C901="","OK SIN PEDIDO",IF(COUNTIFS(PEDIDO_ITEMS!$A$2:$A$501,C901,PEDIDO_ITEMS!$B$2:$B$501,E901)=0,"NO PEDIDO",IF(COUNTIFS($C$2:C901,C901,$E$2:E901,E901)&gt;SUMIFS(PEDIDO_ITEMS!$C$2:$C$501,PEDIDO_ITEMS!$A$2:$A$501,C901,PEDIDO_ITEMS!$B$2:$B$501,E901),"EXCEDE PEDIDO","OK"))))))</f>
        <v/>
      </c>
    </row>
    <row r="902">
      <c r="A902" s="9" t="inlineStr"/>
      <c r="B902" s="2" t="inlineStr"/>
      <c r="C902" s="2" t="inlineStr"/>
      <c r="D902" s="2" t="inlineStr"/>
      <c r="E902" s="2">
        <f>IF(D902="","",IFERROR(XLOOKUP(TRIM(D902),INVENTARIO!$A$2:$A$2000,INVENTARIO!$B$2:$B$2000),"NO ENCONTRADO"))</f>
        <v/>
      </c>
      <c r="F902" s="2">
        <f>IF(D902="","",IFERROR(XLOOKUP(TRIM(D902),INVENTARIO!$A$2:$A$2000,INVENTARIO!$C$2:$C$2000),""))</f>
        <v/>
      </c>
      <c r="G902" s="2">
        <f>IF(D902="","",IF(E902="NO ENCONTRADO","CODIGO NO EXISTE",IF(COUNTIF($D$2:D902,D902)&gt;1,"DUPLICADO",IF(C902="","OK SIN PEDIDO",IF(COUNTIFS(PEDIDO_ITEMS!$A$2:$A$501,C902,PEDIDO_ITEMS!$B$2:$B$501,E902)=0,"NO PEDIDO",IF(COUNTIFS($C$2:C902,C902,$E$2:E902,E902)&gt;SUMIFS(PEDIDO_ITEMS!$C$2:$C$501,PEDIDO_ITEMS!$A$2:$A$501,C902,PEDIDO_ITEMS!$B$2:$B$501,E902),"EXCEDE PEDIDO","OK"))))))</f>
        <v/>
      </c>
    </row>
    <row r="903">
      <c r="A903" s="9" t="inlineStr"/>
      <c r="B903" s="2" t="inlineStr"/>
      <c r="C903" s="2" t="inlineStr"/>
      <c r="D903" s="2" t="inlineStr"/>
      <c r="E903" s="2">
        <f>IF(D903="","",IFERROR(XLOOKUP(TRIM(D903),INVENTARIO!$A$2:$A$2000,INVENTARIO!$B$2:$B$2000),"NO ENCONTRADO"))</f>
        <v/>
      </c>
      <c r="F903" s="2">
        <f>IF(D903="","",IFERROR(XLOOKUP(TRIM(D903),INVENTARIO!$A$2:$A$2000,INVENTARIO!$C$2:$C$2000),""))</f>
        <v/>
      </c>
      <c r="G903" s="2">
        <f>IF(D903="","",IF(E903="NO ENCONTRADO","CODIGO NO EXISTE",IF(COUNTIF($D$2:D903,D903)&gt;1,"DUPLICADO",IF(C903="","OK SIN PEDIDO",IF(COUNTIFS(PEDIDO_ITEMS!$A$2:$A$501,C903,PEDIDO_ITEMS!$B$2:$B$501,E903)=0,"NO PEDIDO",IF(COUNTIFS($C$2:C903,C903,$E$2:E903,E903)&gt;SUMIFS(PEDIDO_ITEMS!$C$2:$C$501,PEDIDO_ITEMS!$A$2:$A$501,C903,PEDIDO_ITEMS!$B$2:$B$501,E903),"EXCEDE PEDIDO","OK"))))))</f>
        <v/>
      </c>
    </row>
    <row r="904">
      <c r="A904" s="9" t="inlineStr"/>
      <c r="B904" s="2" t="inlineStr"/>
      <c r="C904" s="2" t="inlineStr"/>
      <c r="D904" s="2" t="inlineStr"/>
      <c r="E904" s="2">
        <f>IF(D904="","",IFERROR(XLOOKUP(TRIM(D904),INVENTARIO!$A$2:$A$2000,INVENTARIO!$B$2:$B$2000),"NO ENCONTRADO"))</f>
        <v/>
      </c>
      <c r="F904" s="2">
        <f>IF(D904="","",IFERROR(XLOOKUP(TRIM(D904),INVENTARIO!$A$2:$A$2000,INVENTARIO!$C$2:$C$2000),""))</f>
        <v/>
      </c>
      <c r="G904" s="2">
        <f>IF(D904="","",IF(E904="NO ENCONTRADO","CODIGO NO EXISTE",IF(COUNTIF($D$2:D904,D904)&gt;1,"DUPLICADO",IF(C904="","OK SIN PEDIDO",IF(COUNTIFS(PEDIDO_ITEMS!$A$2:$A$501,C904,PEDIDO_ITEMS!$B$2:$B$501,E904)=0,"NO PEDIDO",IF(COUNTIFS($C$2:C904,C904,$E$2:E904,E904)&gt;SUMIFS(PEDIDO_ITEMS!$C$2:$C$501,PEDIDO_ITEMS!$A$2:$A$501,C904,PEDIDO_ITEMS!$B$2:$B$501,E904),"EXCEDE PEDIDO","OK"))))))</f>
        <v/>
      </c>
    </row>
    <row r="905">
      <c r="A905" s="9" t="inlineStr"/>
      <c r="B905" s="2" t="inlineStr"/>
      <c r="C905" s="2" t="inlineStr"/>
      <c r="D905" s="2" t="inlineStr"/>
      <c r="E905" s="2">
        <f>IF(D905="","",IFERROR(XLOOKUP(TRIM(D905),INVENTARIO!$A$2:$A$2000,INVENTARIO!$B$2:$B$2000),"NO ENCONTRADO"))</f>
        <v/>
      </c>
      <c r="F905" s="2">
        <f>IF(D905="","",IFERROR(XLOOKUP(TRIM(D905),INVENTARIO!$A$2:$A$2000,INVENTARIO!$C$2:$C$2000),""))</f>
        <v/>
      </c>
      <c r="G905" s="2">
        <f>IF(D905="","",IF(E905="NO ENCONTRADO","CODIGO NO EXISTE",IF(COUNTIF($D$2:D905,D905)&gt;1,"DUPLICADO",IF(C905="","OK SIN PEDIDO",IF(COUNTIFS(PEDIDO_ITEMS!$A$2:$A$501,C905,PEDIDO_ITEMS!$B$2:$B$501,E905)=0,"NO PEDIDO",IF(COUNTIFS($C$2:C905,C905,$E$2:E905,E905)&gt;SUMIFS(PEDIDO_ITEMS!$C$2:$C$501,PEDIDO_ITEMS!$A$2:$A$501,C905,PEDIDO_ITEMS!$B$2:$B$501,E905),"EXCEDE PEDIDO","OK"))))))</f>
        <v/>
      </c>
    </row>
    <row r="906">
      <c r="A906" s="9" t="inlineStr"/>
      <c r="B906" s="2" t="inlineStr"/>
      <c r="C906" s="2" t="inlineStr"/>
      <c r="D906" s="2" t="inlineStr"/>
      <c r="E906" s="2">
        <f>IF(D906="","",IFERROR(XLOOKUP(TRIM(D906),INVENTARIO!$A$2:$A$2000,INVENTARIO!$B$2:$B$2000),"NO ENCONTRADO"))</f>
        <v/>
      </c>
      <c r="F906" s="2">
        <f>IF(D906="","",IFERROR(XLOOKUP(TRIM(D906),INVENTARIO!$A$2:$A$2000,INVENTARIO!$C$2:$C$2000),""))</f>
        <v/>
      </c>
      <c r="G906" s="2">
        <f>IF(D906="","",IF(E906="NO ENCONTRADO","CODIGO NO EXISTE",IF(COUNTIF($D$2:D906,D906)&gt;1,"DUPLICADO",IF(C906="","OK SIN PEDIDO",IF(COUNTIFS(PEDIDO_ITEMS!$A$2:$A$501,C906,PEDIDO_ITEMS!$B$2:$B$501,E906)=0,"NO PEDIDO",IF(COUNTIFS($C$2:C906,C906,$E$2:E906,E906)&gt;SUMIFS(PEDIDO_ITEMS!$C$2:$C$501,PEDIDO_ITEMS!$A$2:$A$501,C906,PEDIDO_ITEMS!$B$2:$B$501,E906),"EXCEDE PEDIDO","OK"))))))</f>
        <v/>
      </c>
    </row>
    <row r="907">
      <c r="A907" s="9" t="inlineStr"/>
      <c r="B907" s="2" t="inlineStr"/>
      <c r="C907" s="2" t="inlineStr"/>
      <c r="D907" s="2" t="inlineStr"/>
      <c r="E907" s="2">
        <f>IF(D907="","",IFERROR(XLOOKUP(TRIM(D907),INVENTARIO!$A$2:$A$2000,INVENTARIO!$B$2:$B$2000),"NO ENCONTRADO"))</f>
        <v/>
      </c>
      <c r="F907" s="2">
        <f>IF(D907="","",IFERROR(XLOOKUP(TRIM(D907),INVENTARIO!$A$2:$A$2000,INVENTARIO!$C$2:$C$2000),""))</f>
        <v/>
      </c>
      <c r="G907" s="2">
        <f>IF(D907="","",IF(E907="NO ENCONTRADO","CODIGO NO EXISTE",IF(COUNTIF($D$2:D907,D907)&gt;1,"DUPLICADO",IF(C907="","OK SIN PEDIDO",IF(COUNTIFS(PEDIDO_ITEMS!$A$2:$A$501,C907,PEDIDO_ITEMS!$B$2:$B$501,E907)=0,"NO PEDIDO",IF(COUNTIFS($C$2:C907,C907,$E$2:E907,E907)&gt;SUMIFS(PEDIDO_ITEMS!$C$2:$C$501,PEDIDO_ITEMS!$A$2:$A$501,C907,PEDIDO_ITEMS!$B$2:$B$501,E907),"EXCEDE PEDIDO","OK"))))))</f>
        <v/>
      </c>
    </row>
    <row r="908">
      <c r="A908" s="9" t="inlineStr"/>
      <c r="B908" s="2" t="inlineStr"/>
      <c r="C908" s="2" t="inlineStr"/>
      <c r="D908" s="2" t="inlineStr"/>
      <c r="E908" s="2">
        <f>IF(D908="","",IFERROR(XLOOKUP(TRIM(D908),INVENTARIO!$A$2:$A$2000,INVENTARIO!$B$2:$B$2000),"NO ENCONTRADO"))</f>
        <v/>
      </c>
      <c r="F908" s="2">
        <f>IF(D908="","",IFERROR(XLOOKUP(TRIM(D908),INVENTARIO!$A$2:$A$2000,INVENTARIO!$C$2:$C$2000),""))</f>
        <v/>
      </c>
      <c r="G908" s="2">
        <f>IF(D908="","",IF(E908="NO ENCONTRADO","CODIGO NO EXISTE",IF(COUNTIF($D$2:D908,D908)&gt;1,"DUPLICADO",IF(C908="","OK SIN PEDIDO",IF(COUNTIFS(PEDIDO_ITEMS!$A$2:$A$501,C908,PEDIDO_ITEMS!$B$2:$B$501,E908)=0,"NO PEDIDO",IF(COUNTIFS($C$2:C908,C908,$E$2:E908,E908)&gt;SUMIFS(PEDIDO_ITEMS!$C$2:$C$501,PEDIDO_ITEMS!$A$2:$A$501,C908,PEDIDO_ITEMS!$B$2:$B$501,E908),"EXCEDE PEDIDO","OK"))))))</f>
        <v/>
      </c>
    </row>
    <row r="909">
      <c r="A909" s="9" t="inlineStr"/>
      <c r="B909" s="2" t="inlineStr"/>
      <c r="C909" s="2" t="inlineStr"/>
      <c r="D909" s="2" t="inlineStr"/>
      <c r="E909" s="2">
        <f>IF(D909="","",IFERROR(XLOOKUP(TRIM(D909),INVENTARIO!$A$2:$A$2000,INVENTARIO!$B$2:$B$2000),"NO ENCONTRADO"))</f>
        <v/>
      </c>
      <c r="F909" s="2">
        <f>IF(D909="","",IFERROR(XLOOKUP(TRIM(D909),INVENTARIO!$A$2:$A$2000,INVENTARIO!$C$2:$C$2000),""))</f>
        <v/>
      </c>
      <c r="G909" s="2">
        <f>IF(D909="","",IF(E909="NO ENCONTRADO","CODIGO NO EXISTE",IF(COUNTIF($D$2:D909,D909)&gt;1,"DUPLICADO",IF(C909="","OK SIN PEDIDO",IF(COUNTIFS(PEDIDO_ITEMS!$A$2:$A$501,C909,PEDIDO_ITEMS!$B$2:$B$501,E909)=0,"NO PEDIDO",IF(COUNTIFS($C$2:C909,C909,$E$2:E909,E909)&gt;SUMIFS(PEDIDO_ITEMS!$C$2:$C$501,PEDIDO_ITEMS!$A$2:$A$501,C909,PEDIDO_ITEMS!$B$2:$B$501,E909),"EXCEDE PEDIDO","OK"))))))</f>
        <v/>
      </c>
    </row>
    <row r="910">
      <c r="A910" s="9" t="inlineStr"/>
      <c r="B910" s="2" t="inlineStr"/>
      <c r="C910" s="2" t="inlineStr"/>
      <c r="D910" s="2" t="inlineStr"/>
      <c r="E910" s="2">
        <f>IF(D910="","",IFERROR(XLOOKUP(TRIM(D910),INVENTARIO!$A$2:$A$2000,INVENTARIO!$B$2:$B$2000),"NO ENCONTRADO"))</f>
        <v/>
      </c>
      <c r="F910" s="2">
        <f>IF(D910="","",IFERROR(XLOOKUP(TRIM(D910),INVENTARIO!$A$2:$A$2000,INVENTARIO!$C$2:$C$2000),""))</f>
        <v/>
      </c>
      <c r="G910" s="2">
        <f>IF(D910="","",IF(E910="NO ENCONTRADO","CODIGO NO EXISTE",IF(COUNTIF($D$2:D910,D910)&gt;1,"DUPLICADO",IF(C910="","OK SIN PEDIDO",IF(COUNTIFS(PEDIDO_ITEMS!$A$2:$A$501,C910,PEDIDO_ITEMS!$B$2:$B$501,E910)=0,"NO PEDIDO",IF(COUNTIFS($C$2:C910,C910,$E$2:E910,E910)&gt;SUMIFS(PEDIDO_ITEMS!$C$2:$C$501,PEDIDO_ITEMS!$A$2:$A$501,C910,PEDIDO_ITEMS!$B$2:$B$501,E910),"EXCEDE PEDIDO","OK"))))))</f>
        <v/>
      </c>
    </row>
    <row r="911">
      <c r="A911" s="9" t="inlineStr"/>
      <c r="B911" s="2" t="inlineStr"/>
      <c r="C911" s="2" t="inlineStr"/>
      <c r="D911" s="2" t="inlineStr"/>
      <c r="E911" s="2">
        <f>IF(D911="","",IFERROR(XLOOKUP(TRIM(D911),INVENTARIO!$A$2:$A$2000,INVENTARIO!$B$2:$B$2000),"NO ENCONTRADO"))</f>
        <v/>
      </c>
      <c r="F911" s="2">
        <f>IF(D911="","",IFERROR(XLOOKUP(TRIM(D911),INVENTARIO!$A$2:$A$2000,INVENTARIO!$C$2:$C$2000),""))</f>
        <v/>
      </c>
      <c r="G911" s="2">
        <f>IF(D911="","",IF(E911="NO ENCONTRADO","CODIGO NO EXISTE",IF(COUNTIF($D$2:D911,D911)&gt;1,"DUPLICADO",IF(C911="","OK SIN PEDIDO",IF(COUNTIFS(PEDIDO_ITEMS!$A$2:$A$501,C911,PEDIDO_ITEMS!$B$2:$B$501,E911)=0,"NO PEDIDO",IF(COUNTIFS($C$2:C911,C911,$E$2:E911,E911)&gt;SUMIFS(PEDIDO_ITEMS!$C$2:$C$501,PEDIDO_ITEMS!$A$2:$A$501,C911,PEDIDO_ITEMS!$B$2:$B$501,E911),"EXCEDE PEDIDO","OK"))))))</f>
        <v/>
      </c>
    </row>
    <row r="912">
      <c r="A912" s="9" t="inlineStr"/>
      <c r="B912" s="2" t="inlineStr"/>
      <c r="C912" s="2" t="inlineStr"/>
      <c r="D912" s="2" t="inlineStr"/>
      <c r="E912" s="2">
        <f>IF(D912="","",IFERROR(XLOOKUP(TRIM(D912),INVENTARIO!$A$2:$A$2000,INVENTARIO!$B$2:$B$2000),"NO ENCONTRADO"))</f>
        <v/>
      </c>
      <c r="F912" s="2">
        <f>IF(D912="","",IFERROR(XLOOKUP(TRIM(D912),INVENTARIO!$A$2:$A$2000,INVENTARIO!$C$2:$C$2000),""))</f>
        <v/>
      </c>
      <c r="G912" s="2">
        <f>IF(D912="","",IF(E912="NO ENCONTRADO","CODIGO NO EXISTE",IF(COUNTIF($D$2:D912,D912)&gt;1,"DUPLICADO",IF(C912="","OK SIN PEDIDO",IF(COUNTIFS(PEDIDO_ITEMS!$A$2:$A$501,C912,PEDIDO_ITEMS!$B$2:$B$501,E912)=0,"NO PEDIDO",IF(COUNTIFS($C$2:C912,C912,$E$2:E912,E912)&gt;SUMIFS(PEDIDO_ITEMS!$C$2:$C$501,PEDIDO_ITEMS!$A$2:$A$501,C912,PEDIDO_ITEMS!$B$2:$B$501,E912),"EXCEDE PEDIDO","OK"))))))</f>
        <v/>
      </c>
    </row>
    <row r="913">
      <c r="A913" s="9" t="inlineStr"/>
      <c r="B913" s="2" t="inlineStr"/>
      <c r="C913" s="2" t="inlineStr"/>
      <c r="D913" s="2" t="inlineStr"/>
      <c r="E913" s="2">
        <f>IF(D913="","",IFERROR(XLOOKUP(TRIM(D913),INVENTARIO!$A$2:$A$2000,INVENTARIO!$B$2:$B$2000),"NO ENCONTRADO"))</f>
        <v/>
      </c>
      <c r="F913" s="2">
        <f>IF(D913="","",IFERROR(XLOOKUP(TRIM(D913),INVENTARIO!$A$2:$A$2000,INVENTARIO!$C$2:$C$2000),""))</f>
        <v/>
      </c>
      <c r="G913" s="2">
        <f>IF(D913="","",IF(E913="NO ENCONTRADO","CODIGO NO EXISTE",IF(COUNTIF($D$2:D913,D913)&gt;1,"DUPLICADO",IF(C913="","OK SIN PEDIDO",IF(COUNTIFS(PEDIDO_ITEMS!$A$2:$A$501,C913,PEDIDO_ITEMS!$B$2:$B$501,E913)=0,"NO PEDIDO",IF(COUNTIFS($C$2:C913,C913,$E$2:E913,E913)&gt;SUMIFS(PEDIDO_ITEMS!$C$2:$C$501,PEDIDO_ITEMS!$A$2:$A$501,C913,PEDIDO_ITEMS!$B$2:$B$501,E913),"EXCEDE PEDIDO","OK"))))))</f>
        <v/>
      </c>
    </row>
    <row r="914">
      <c r="A914" s="9" t="inlineStr"/>
      <c r="B914" s="2" t="inlineStr"/>
      <c r="C914" s="2" t="inlineStr"/>
      <c r="D914" s="2" t="inlineStr"/>
      <c r="E914" s="2">
        <f>IF(D914="","",IFERROR(XLOOKUP(TRIM(D914),INVENTARIO!$A$2:$A$2000,INVENTARIO!$B$2:$B$2000),"NO ENCONTRADO"))</f>
        <v/>
      </c>
      <c r="F914" s="2">
        <f>IF(D914="","",IFERROR(XLOOKUP(TRIM(D914),INVENTARIO!$A$2:$A$2000,INVENTARIO!$C$2:$C$2000),""))</f>
        <v/>
      </c>
      <c r="G914" s="2">
        <f>IF(D914="","",IF(E914="NO ENCONTRADO","CODIGO NO EXISTE",IF(COUNTIF($D$2:D914,D914)&gt;1,"DUPLICADO",IF(C914="","OK SIN PEDIDO",IF(COUNTIFS(PEDIDO_ITEMS!$A$2:$A$501,C914,PEDIDO_ITEMS!$B$2:$B$501,E914)=0,"NO PEDIDO",IF(COUNTIFS($C$2:C914,C914,$E$2:E914,E914)&gt;SUMIFS(PEDIDO_ITEMS!$C$2:$C$501,PEDIDO_ITEMS!$A$2:$A$501,C914,PEDIDO_ITEMS!$B$2:$B$501,E914),"EXCEDE PEDIDO","OK"))))))</f>
        <v/>
      </c>
    </row>
    <row r="915">
      <c r="A915" s="9" t="inlineStr"/>
      <c r="B915" s="2" t="inlineStr"/>
      <c r="C915" s="2" t="inlineStr"/>
      <c r="D915" s="2" t="inlineStr"/>
      <c r="E915" s="2">
        <f>IF(D915="","",IFERROR(XLOOKUP(TRIM(D915),INVENTARIO!$A$2:$A$2000,INVENTARIO!$B$2:$B$2000),"NO ENCONTRADO"))</f>
        <v/>
      </c>
      <c r="F915" s="2">
        <f>IF(D915="","",IFERROR(XLOOKUP(TRIM(D915),INVENTARIO!$A$2:$A$2000,INVENTARIO!$C$2:$C$2000),""))</f>
        <v/>
      </c>
      <c r="G915" s="2">
        <f>IF(D915="","",IF(E915="NO ENCONTRADO","CODIGO NO EXISTE",IF(COUNTIF($D$2:D915,D915)&gt;1,"DUPLICADO",IF(C915="","OK SIN PEDIDO",IF(COUNTIFS(PEDIDO_ITEMS!$A$2:$A$501,C915,PEDIDO_ITEMS!$B$2:$B$501,E915)=0,"NO PEDIDO",IF(COUNTIFS($C$2:C915,C915,$E$2:E915,E915)&gt;SUMIFS(PEDIDO_ITEMS!$C$2:$C$501,PEDIDO_ITEMS!$A$2:$A$501,C915,PEDIDO_ITEMS!$B$2:$B$501,E915),"EXCEDE PEDIDO","OK"))))))</f>
        <v/>
      </c>
    </row>
    <row r="916">
      <c r="A916" s="9" t="inlineStr"/>
      <c r="B916" s="2" t="inlineStr"/>
      <c r="C916" s="2" t="inlineStr"/>
      <c r="D916" s="2" t="inlineStr"/>
      <c r="E916" s="2">
        <f>IF(D916="","",IFERROR(XLOOKUP(TRIM(D916),INVENTARIO!$A$2:$A$2000,INVENTARIO!$B$2:$B$2000),"NO ENCONTRADO"))</f>
        <v/>
      </c>
      <c r="F916" s="2">
        <f>IF(D916="","",IFERROR(XLOOKUP(TRIM(D916),INVENTARIO!$A$2:$A$2000,INVENTARIO!$C$2:$C$2000),""))</f>
        <v/>
      </c>
      <c r="G916" s="2">
        <f>IF(D916="","",IF(E916="NO ENCONTRADO","CODIGO NO EXISTE",IF(COUNTIF($D$2:D916,D916)&gt;1,"DUPLICADO",IF(C916="","OK SIN PEDIDO",IF(COUNTIFS(PEDIDO_ITEMS!$A$2:$A$501,C916,PEDIDO_ITEMS!$B$2:$B$501,E916)=0,"NO PEDIDO",IF(COUNTIFS($C$2:C916,C916,$E$2:E916,E916)&gt;SUMIFS(PEDIDO_ITEMS!$C$2:$C$501,PEDIDO_ITEMS!$A$2:$A$501,C916,PEDIDO_ITEMS!$B$2:$B$501,E916),"EXCEDE PEDIDO","OK"))))))</f>
        <v/>
      </c>
    </row>
    <row r="917">
      <c r="A917" s="9" t="inlineStr"/>
      <c r="B917" s="2" t="inlineStr"/>
      <c r="C917" s="2" t="inlineStr"/>
      <c r="D917" s="2" t="inlineStr"/>
      <c r="E917" s="2">
        <f>IF(D917="","",IFERROR(XLOOKUP(TRIM(D917),INVENTARIO!$A$2:$A$2000,INVENTARIO!$B$2:$B$2000),"NO ENCONTRADO"))</f>
        <v/>
      </c>
      <c r="F917" s="2">
        <f>IF(D917="","",IFERROR(XLOOKUP(TRIM(D917),INVENTARIO!$A$2:$A$2000,INVENTARIO!$C$2:$C$2000),""))</f>
        <v/>
      </c>
      <c r="G917" s="2">
        <f>IF(D917="","",IF(E917="NO ENCONTRADO","CODIGO NO EXISTE",IF(COUNTIF($D$2:D917,D917)&gt;1,"DUPLICADO",IF(C917="","OK SIN PEDIDO",IF(COUNTIFS(PEDIDO_ITEMS!$A$2:$A$501,C917,PEDIDO_ITEMS!$B$2:$B$501,E917)=0,"NO PEDIDO",IF(COUNTIFS($C$2:C917,C917,$E$2:E917,E917)&gt;SUMIFS(PEDIDO_ITEMS!$C$2:$C$501,PEDIDO_ITEMS!$A$2:$A$501,C917,PEDIDO_ITEMS!$B$2:$B$501,E917),"EXCEDE PEDIDO","OK"))))))</f>
        <v/>
      </c>
    </row>
    <row r="918">
      <c r="A918" s="9" t="inlineStr"/>
      <c r="B918" s="2" t="inlineStr"/>
      <c r="C918" s="2" t="inlineStr"/>
      <c r="D918" s="2" t="inlineStr"/>
      <c r="E918" s="2">
        <f>IF(D918="","",IFERROR(XLOOKUP(TRIM(D918),INVENTARIO!$A$2:$A$2000,INVENTARIO!$B$2:$B$2000),"NO ENCONTRADO"))</f>
        <v/>
      </c>
      <c r="F918" s="2">
        <f>IF(D918="","",IFERROR(XLOOKUP(TRIM(D918),INVENTARIO!$A$2:$A$2000,INVENTARIO!$C$2:$C$2000),""))</f>
        <v/>
      </c>
      <c r="G918" s="2">
        <f>IF(D918="","",IF(E918="NO ENCONTRADO","CODIGO NO EXISTE",IF(COUNTIF($D$2:D918,D918)&gt;1,"DUPLICADO",IF(C918="","OK SIN PEDIDO",IF(COUNTIFS(PEDIDO_ITEMS!$A$2:$A$501,C918,PEDIDO_ITEMS!$B$2:$B$501,E918)=0,"NO PEDIDO",IF(COUNTIFS($C$2:C918,C918,$E$2:E918,E918)&gt;SUMIFS(PEDIDO_ITEMS!$C$2:$C$501,PEDIDO_ITEMS!$A$2:$A$501,C918,PEDIDO_ITEMS!$B$2:$B$501,E918),"EXCEDE PEDIDO","OK"))))))</f>
        <v/>
      </c>
    </row>
    <row r="919">
      <c r="A919" s="9" t="inlineStr"/>
      <c r="B919" s="2" t="inlineStr"/>
      <c r="C919" s="2" t="inlineStr"/>
      <c r="D919" s="2" t="inlineStr"/>
      <c r="E919" s="2">
        <f>IF(D919="","",IFERROR(XLOOKUP(TRIM(D919),INVENTARIO!$A$2:$A$2000,INVENTARIO!$B$2:$B$2000),"NO ENCONTRADO"))</f>
        <v/>
      </c>
      <c r="F919" s="2">
        <f>IF(D919="","",IFERROR(XLOOKUP(TRIM(D919),INVENTARIO!$A$2:$A$2000,INVENTARIO!$C$2:$C$2000),""))</f>
        <v/>
      </c>
      <c r="G919" s="2">
        <f>IF(D919="","",IF(E919="NO ENCONTRADO","CODIGO NO EXISTE",IF(COUNTIF($D$2:D919,D919)&gt;1,"DUPLICADO",IF(C919="","OK SIN PEDIDO",IF(COUNTIFS(PEDIDO_ITEMS!$A$2:$A$501,C919,PEDIDO_ITEMS!$B$2:$B$501,E919)=0,"NO PEDIDO",IF(COUNTIFS($C$2:C919,C919,$E$2:E919,E919)&gt;SUMIFS(PEDIDO_ITEMS!$C$2:$C$501,PEDIDO_ITEMS!$A$2:$A$501,C919,PEDIDO_ITEMS!$B$2:$B$501,E919),"EXCEDE PEDIDO","OK"))))))</f>
        <v/>
      </c>
    </row>
    <row r="920">
      <c r="A920" s="9" t="inlineStr"/>
      <c r="B920" s="2" t="inlineStr"/>
      <c r="C920" s="2" t="inlineStr"/>
      <c r="D920" s="2" t="inlineStr"/>
      <c r="E920" s="2">
        <f>IF(D920="","",IFERROR(XLOOKUP(TRIM(D920),INVENTARIO!$A$2:$A$2000,INVENTARIO!$B$2:$B$2000),"NO ENCONTRADO"))</f>
        <v/>
      </c>
      <c r="F920" s="2">
        <f>IF(D920="","",IFERROR(XLOOKUP(TRIM(D920),INVENTARIO!$A$2:$A$2000,INVENTARIO!$C$2:$C$2000),""))</f>
        <v/>
      </c>
      <c r="G920" s="2">
        <f>IF(D920="","",IF(E920="NO ENCONTRADO","CODIGO NO EXISTE",IF(COUNTIF($D$2:D920,D920)&gt;1,"DUPLICADO",IF(C920="","OK SIN PEDIDO",IF(COUNTIFS(PEDIDO_ITEMS!$A$2:$A$501,C920,PEDIDO_ITEMS!$B$2:$B$501,E920)=0,"NO PEDIDO",IF(COUNTIFS($C$2:C920,C920,$E$2:E920,E920)&gt;SUMIFS(PEDIDO_ITEMS!$C$2:$C$501,PEDIDO_ITEMS!$A$2:$A$501,C920,PEDIDO_ITEMS!$B$2:$B$501,E920),"EXCEDE PEDIDO","OK"))))))</f>
        <v/>
      </c>
    </row>
    <row r="921">
      <c r="A921" s="9" t="inlineStr"/>
      <c r="B921" s="2" t="inlineStr"/>
      <c r="C921" s="2" t="inlineStr"/>
      <c r="D921" s="2" t="inlineStr"/>
      <c r="E921" s="2">
        <f>IF(D921="","",IFERROR(XLOOKUP(TRIM(D921),INVENTARIO!$A$2:$A$2000,INVENTARIO!$B$2:$B$2000),"NO ENCONTRADO"))</f>
        <v/>
      </c>
      <c r="F921" s="2">
        <f>IF(D921="","",IFERROR(XLOOKUP(TRIM(D921),INVENTARIO!$A$2:$A$2000,INVENTARIO!$C$2:$C$2000),""))</f>
        <v/>
      </c>
      <c r="G921" s="2">
        <f>IF(D921="","",IF(E921="NO ENCONTRADO","CODIGO NO EXISTE",IF(COUNTIF($D$2:D921,D921)&gt;1,"DUPLICADO",IF(C921="","OK SIN PEDIDO",IF(COUNTIFS(PEDIDO_ITEMS!$A$2:$A$501,C921,PEDIDO_ITEMS!$B$2:$B$501,E921)=0,"NO PEDIDO",IF(COUNTIFS($C$2:C921,C921,$E$2:E921,E921)&gt;SUMIFS(PEDIDO_ITEMS!$C$2:$C$501,PEDIDO_ITEMS!$A$2:$A$501,C921,PEDIDO_ITEMS!$B$2:$B$501,E921),"EXCEDE PEDIDO","OK"))))))</f>
        <v/>
      </c>
    </row>
    <row r="922">
      <c r="A922" s="9" t="inlineStr"/>
      <c r="B922" s="2" t="inlineStr"/>
      <c r="C922" s="2" t="inlineStr"/>
      <c r="D922" s="2" t="inlineStr"/>
      <c r="E922" s="2">
        <f>IF(D922="","",IFERROR(XLOOKUP(TRIM(D922),INVENTARIO!$A$2:$A$2000,INVENTARIO!$B$2:$B$2000),"NO ENCONTRADO"))</f>
        <v/>
      </c>
      <c r="F922" s="2">
        <f>IF(D922="","",IFERROR(XLOOKUP(TRIM(D922),INVENTARIO!$A$2:$A$2000,INVENTARIO!$C$2:$C$2000),""))</f>
        <v/>
      </c>
      <c r="G922" s="2">
        <f>IF(D922="","",IF(E922="NO ENCONTRADO","CODIGO NO EXISTE",IF(COUNTIF($D$2:D922,D922)&gt;1,"DUPLICADO",IF(C922="","OK SIN PEDIDO",IF(COUNTIFS(PEDIDO_ITEMS!$A$2:$A$501,C922,PEDIDO_ITEMS!$B$2:$B$501,E922)=0,"NO PEDIDO",IF(COUNTIFS($C$2:C922,C922,$E$2:E922,E922)&gt;SUMIFS(PEDIDO_ITEMS!$C$2:$C$501,PEDIDO_ITEMS!$A$2:$A$501,C922,PEDIDO_ITEMS!$B$2:$B$501,E922),"EXCEDE PEDIDO","OK"))))))</f>
        <v/>
      </c>
    </row>
    <row r="923">
      <c r="A923" s="9" t="inlineStr"/>
      <c r="B923" s="2" t="inlineStr"/>
      <c r="C923" s="2" t="inlineStr"/>
      <c r="D923" s="2" t="inlineStr"/>
      <c r="E923" s="2">
        <f>IF(D923="","",IFERROR(XLOOKUP(TRIM(D923),INVENTARIO!$A$2:$A$2000,INVENTARIO!$B$2:$B$2000),"NO ENCONTRADO"))</f>
        <v/>
      </c>
      <c r="F923" s="2">
        <f>IF(D923="","",IFERROR(XLOOKUP(TRIM(D923),INVENTARIO!$A$2:$A$2000,INVENTARIO!$C$2:$C$2000),""))</f>
        <v/>
      </c>
      <c r="G923" s="2">
        <f>IF(D923="","",IF(E923="NO ENCONTRADO","CODIGO NO EXISTE",IF(COUNTIF($D$2:D923,D923)&gt;1,"DUPLICADO",IF(C923="","OK SIN PEDIDO",IF(COUNTIFS(PEDIDO_ITEMS!$A$2:$A$501,C923,PEDIDO_ITEMS!$B$2:$B$501,E923)=0,"NO PEDIDO",IF(COUNTIFS($C$2:C923,C923,$E$2:E923,E923)&gt;SUMIFS(PEDIDO_ITEMS!$C$2:$C$501,PEDIDO_ITEMS!$A$2:$A$501,C923,PEDIDO_ITEMS!$B$2:$B$501,E923),"EXCEDE PEDIDO","OK"))))))</f>
        <v/>
      </c>
    </row>
    <row r="924">
      <c r="A924" s="9" t="inlineStr"/>
      <c r="B924" s="2" t="inlineStr"/>
      <c r="C924" s="2" t="inlineStr"/>
      <c r="D924" s="2" t="inlineStr"/>
      <c r="E924" s="2">
        <f>IF(D924="","",IFERROR(XLOOKUP(TRIM(D924),INVENTARIO!$A$2:$A$2000,INVENTARIO!$B$2:$B$2000),"NO ENCONTRADO"))</f>
        <v/>
      </c>
      <c r="F924" s="2">
        <f>IF(D924="","",IFERROR(XLOOKUP(TRIM(D924),INVENTARIO!$A$2:$A$2000,INVENTARIO!$C$2:$C$2000),""))</f>
        <v/>
      </c>
      <c r="G924" s="2">
        <f>IF(D924="","",IF(E924="NO ENCONTRADO","CODIGO NO EXISTE",IF(COUNTIF($D$2:D924,D924)&gt;1,"DUPLICADO",IF(C924="","OK SIN PEDIDO",IF(COUNTIFS(PEDIDO_ITEMS!$A$2:$A$501,C924,PEDIDO_ITEMS!$B$2:$B$501,E924)=0,"NO PEDIDO",IF(COUNTIFS($C$2:C924,C924,$E$2:E924,E924)&gt;SUMIFS(PEDIDO_ITEMS!$C$2:$C$501,PEDIDO_ITEMS!$A$2:$A$501,C924,PEDIDO_ITEMS!$B$2:$B$501,E924),"EXCEDE PEDIDO","OK"))))))</f>
        <v/>
      </c>
    </row>
    <row r="925">
      <c r="A925" s="9" t="inlineStr"/>
      <c r="B925" s="2" t="inlineStr"/>
      <c r="C925" s="2" t="inlineStr"/>
      <c r="D925" s="2" t="inlineStr"/>
      <c r="E925" s="2">
        <f>IF(D925="","",IFERROR(XLOOKUP(TRIM(D925),INVENTARIO!$A$2:$A$2000,INVENTARIO!$B$2:$B$2000),"NO ENCONTRADO"))</f>
        <v/>
      </c>
      <c r="F925" s="2">
        <f>IF(D925="","",IFERROR(XLOOKUP(TRIM(D925),INVENTARIO!$A$2:$A$2000,INVENTARIO!$C$2:$C$2000),""))</f>
        <v/>
      </c>
      <c r="G925" s="2">
        <f>IF(D925="","",IF(E925="NO ENCONTRADO","CODIGO NO EXISTE",IF(COUNTIF($D$2:D925,D925)&gt;1,"DUPLICADO",IF(C925="","OK SIN PEDIDO",IF(COUNTIFS(PEDIDO_ITEMS!$A$2:$A$501,C925,PEDIDO_ITEMS!$B$2:$B$501,E925)=0,"NO PEDIDO",IF(COUNTIFS($C$2:C925,C925,$E$2:E925,E925)&gt;SUMIFS(PEDIDO_ITEMS!$C$2:$C$501,PEDIDO_ITEMS!$A$2:$A$501,C925,PEDIDO_ITEMS!$B$2:$B$501,E925),"EXCEDE PEDIDO","OK"))))))</f>
        <v/>
      </c>
    </row>
    <row r="926">
      <c r="A926" s="9" t="inlineStr"/>
      <c r="B926" s="2" t="inlineStr"/>
      <c r="C926" s="2" t="inlineStr"/>
      <c r="D926" s="2" t="inlineStr"/>
      <c r="E926" s="2">
        <f>IF(D926="","",IFERROR(XLOOKUP(TRIM(D926),INVENTARIO!$A$2:$A$2000,INVENTARIO!$B$2:$B$2000),"NO ENCONTRADO"))</f>
        <v/>
      </c>
      <c r="F926" s="2">
        <f>IF(D926="","",IFERROR(XLOOKUP(TRIM(D926),INVENTARIO!$A$2:$A$2000,INVENTARIO!$C$2:$C$2000),""))</f>
        <v/>
      </c>
      <c r="G926" s="2">
        <f>IF(D926="","",IF(E926="NO ENCONTRADO","CODIGO NO EXISTE",IF(COUNTIF($D$2:D926,D926)&gt;1,"DUPLICADO",IF(C926="","OK SIN PEDIDO",IF(COUNTIFS(PEDIDO_ITEMS!$A$2:$A$501,C926,PEDIDO_ITEMS!$B$2:$B$501,E926)=0,"NO PEDIDO",IF(COUNTIFS($C$2:C926,C926,$E$2:E926,E926)&gt;SUMIFS(PEDIDO_ITEMS!$C$2:$C$501,PEDIDO_ITEMS!$A$2:$A$501,C926,PEDIDO_ITEMS!$B$2:$B$501,E926),"EXCEDE PEDIDO","OK"))))))</f>
        <v/>
      </c>
    </row>
    <row r="927">
      <c r="A927" s="9" t="inlineStr"/>
      <c r="B927" s="2" t="inlineStr"/>
      <c r="C927" s="2" t="inlineStr"/>
      <c r="D927" s="2" t="inlineStr"/>
      <c r="E927" s="2">
        <f>IF(D927="","",IFERROR(XLOOKUP(TRIM(D927),INVENTARIO!$A$2:$A$2000,INVENTARIO!$B$2:$B$2000),"NO ENCONTRADO"))</f>
        <v/>
      </c>
      <c r="F927" s="2">
        <f>IF(D927="","",IFERROR(XLOOKUP(TRIM(D927),INVENTARIO!$A$2:$A$2000,INVENTARIO!$C$2:$C$2000),""))</f>
        <v/>
      </c>
      <c r="G927" s="2">
        <f>IF(D927="","",IF(E927="NO ENCONTRADO","CODIGO NO EXISTE",IF(COUNTIF($D$2:D927,D927)&gt;1,"DUPLICADO",IF(C927="","OK SIN PEDIDO",IF(COUNTIFS(PEDIDO_ITEMS!$A$2:$A$501,C927,PEDIDO_ITEMS!$B$2:$B$501,E927)=0,"NO PEDIDO",IF(COUNTIFS($C$2:C927,C927,$E$2:E927,E927)&gt;SUMIFS(PEDIDO_ITEMS!$C$2:$C$501,PEDIDO_ITEMS!$A$2:$A$501,C927,PEDIDO_ITEMS!$B$2:$B$501,E927),"EXCEDE PEDIDO","OK"))))))</f>
        <v/>
      </c>
    </row>
    <row r="928">
      <c r="A928" s="9" t="inlineStr"/>
      <c r="B928" s="2" t="inlineStr"/>
      <c r="C928" s="2" t="inlineStr"/>
      <c r="D928" s="2" t="inlineStr"/>
      <c r="E928" s="2">
        <f>IF(D928="","",IFERROR(XLOOKUP(TRIM(D928),INVENTARIO!$A$2:$A$2000,INVENTARIO!$B$2:$B$2000),"NO ENCONTRADO"))</f>
        <v/>
      </c>
      <c r="F928" s="2">
        <f>IF(D928="","",IFERROR(XLOOKUP(TRIM(D928),INVENTARIO!$A$2:$A$2000,INVENTARIO!$C$2:$C$2000),""))</f>
        <v/>
      </c>
      <c r="G928" s="2">
        <f>IF(D928="","",IF(E928="NO ENCONTRADO","CODIGO NO EXISTE",IF(COUNTIF($D$2:D928,D928)&gt;1,"DUPLICADO",IF(C928="","OK SIN PEDIDO",IF(COUNTIFS(PEDIDO_ITEMS!$A$2:$A$501,C928,PEDIDO_ITEMS!$B$2:$B$501,E928)=0,"NO PEDIDO",IF(COUNTIFS($C$2:C928,C928,$E$2:E928,E928)&gt;SUMIFS(PEDIDO_ITEMS!$C$2:$C$501,PEDIDO_ITEMS!$A$2:$A$501,C928,PEDIDO_ITEMS!$B$2:$B$501,E928),"EXCEDE PEDIDO","OK"))))))</f>
        <v/>
      </c>
    </row>
    <row r="929">
      <c r="A929" s="9" t="inlineStr"/>
      <c r="B929" s="2" t="inlineStr"/>
      <c r="C929" s="2" t="inlineStr"/>
      <c r="D929" s="2" t="inlineStr"/>
      <c r="E929" s="2">
        <f>IF(D929="","",IFERROR(XLOOKUP(TRIM(D929),INVENTARIO!$A$2:$A$2000,INVENTARIO!$B$2:$B$2000),"NO ENCONTRADO"))</f>
        <v/>
      </c>
      <c r="F929" s="2">
        <f>IF(D929="","",IFERROR(XLOOKUP(TRIM(D929),INVENTARIO!$A$2:$A$2000,INVENTARIO!$C$2:$C$2000),""))</f>
        <v/>
      </c>
      <c r="G929" s="2">
        <f>IF(D929="","",IF(E929="NO ENCONTRADO","CODIGO NO EXISTE",IF(COUNTIF($D$2:D929,D929)&gt;1,"DUPLICADO",IF(C929="","OK SIN PEDIDO",IF(COUNTIFS(PEDIDO_ITEMS!$A$2:$A$501,C929,PEDIDO_ITEMS!$B$2:$B$501,E929)=0,"NO PEDIDO",IF(COUNTIFS($C$2:C929,C929,$E$2:E929,E929)&gt;SUMIFS(PEDIDO_ITEMS!$C$2:$C$501,PEDIDO_ITEMS!$A$2:$A$501,C929,PEDIDO_ITEMS!$B$2:$B$501,E929),"EXCEDE PEDIDO","OK"))))))</f>
        <v/>
      </c>
    </row>
    <row r="930">
      <c r="A930" s="9" t="inlineStr"/>
      <c r="B930" s="2" t="inlineStr"/>
      <c r="C930" s="2" t="inlineStr"/>
      <c r="D930" s="2" t="inlineStr"/>
      <c r="E930" s="2">
        <f>IF(D930="","",IFERROR(XLOOKUP(TRIM(D930),INVENTARIO!$A$2:$A$2000,INVENTARIO!$B$2:$B$2000),"NO ENCONTRADO"))</f>
        <v/>
      </c>
      <c r="F930" s="2">
        <f>IF(D930="","",IFERROR(XLOOKUP(TRIM(D930),INVENTARIO!$A$2:$A$2000,INVENTARIO!$C$2:$C$2000),""))</f>
        <v/>
      </c>
      <c r="G930" s="2">
        <f>IF(D930="","",IF(E930="NO ENCONTRADO","CODIGO NO EXISTE",IF(COUNTIF($D$2:D930,D930)&gt;1,"DUPLICADO",IF(C930="","OK SIN PEDIDO",IF(COUNTIFS(PEDIDO_ITEMS!$A$2:$A$501,C930,PEDIDO_ITEMS!$B$2:$B$501,E930)=0,"NO PEDIDO",IF(COUNTIFS($C$2:C930,C930,$E$2:E930,E930)&gt;SUMIFS(PEDIDO_ITEMS!$C$2:$C$501,PEDIDO_ITEMS!$A$2:$A$501,C930,PEDIDO_ITEMS!$B$2:$B$501,E930),"EXCEDE PEDIDO","OK"))))))</f>
        <v/>
      </c>
    </row>
    <row r="931">
      <c r="A931" s="9" t="inlineStr"/>
      <c r="B931" s="2" t="inlineStr"/>
      <c r="C931" s="2" t="inlineStr"/>
      <c r="D931" s="2" t="inlineStr"/>
      <c r="E931" s="2">
        <f>IF(D931="","",IFERROR(XLOOKUP(TRIM(D931),INVENTARIO!$A$2:$A$2000,INVENTARIO!$B$2:$B$2000),"NO ENCONTRADO"))</f>
        <v/>
      </c>
      <c r="F931" s="2">
        <f>IF(D931="","",IFERROR(XLOOKUP(TRIM(D931),INVENTARIO!$A$2:$A$2000,INVENTARIO!$C$2:$C$2000),""))</f>
        <v/>
      </c>
      <c r="G931" s="2">
        <f>IF(D931="","",IF(E931="NO ENCONTRADO","CODIGO NO EXISTE",IF(COUNTIF($D$2:D931,D931)&gt;1,"DUPLICADO",IF(C931="","OK SIN PEDIDO",IF(COUNTIFS(PEDIDO_ITEMS!$A$2:$A$501,C931,PEDIDO_ITEMS!$B$2:$B$501,E931)=0,"NO PEDIDO",IF(COUNTIFS($C$2:C931,C931,$E$2:E931,E931)&gt;SUMIFS(PEDIDO_ITEMS!$C$2:$C$501,PEDIDO_ITEMS!$A$2:$A$501,C931,PEDIDO_ITEMS!$B$2:$B$501,E931),"EXCEDE PEDIDO","OK"))))))</f>
        <v/>
      </c>
    </row>
    <row r="932">
      <c r="A932" s="9" t="inlineStr"/>
      <c r="B932" s="2" t="inlineStr"/>
      <c r="C932" s="2" t="inlineStr"/>
      <c r="D932" s="2" t="inlineStr"/>
      <c r="E932" s="2">
        <f>IF(D932="","",IFERROR(XLOOKUP(TRIM(D932),INVENTARIO!$A$2:$A$2000,INVENTARIO!$B$2:$B$2000),"NO ENCONTRADO"))</f>
        <v/>
      </c>
      <c r="F932" s="2">
        <f>IF(D932="","",IFERROR(XLOOKUP(TRIM(D932),INVENTARIO!$A$2:$A$2000,INVENTARIO!$C$2:$C$2000),""))</f>
        <v/>
      </c>
      <c r="G932" s="2">
        <f>IF(D932="","",IF(E932="NO ENCONTRADO","CODIGO NO EXISTE",IF(COUNTIF($D$2:D932,D932)&gt;1,"DUPLICADO",IF(C932="","OK SIN PEDIDO",IF(COUNTIFS(PEDIDO_ITEMS!$A$2:$A$501,C932,PEDIDO_ITEMS!$B$2:$B$501,E932)=0,"NO PEDIDO",IF(COUNTIFS($C$2:C932,C932,$E$2:E932,E932)&gt;SUMIFS(PEDIDO_ITEMS!$C$2:$C$501,PEDIDO_ITEMS!$A$2:$A$501,C932,PEDIDO_ITEMS!$B$2:$B$501,E932),"EXCEDE PEDIDO","OK"))))))</f>
        <v/>
      </c>
    </row>
    <row r="933">
      <c r="A933" s="9" t="inlineStr"/>
      <c r="B933" s="2" t="inlineStr"/>
      <c r="C933" s="2" t="inlineStr"/>
      <c r="D933" s="2" t="inlineStr"/>
      <c r="E933" s="2">
        <f>IF(D933="","",IFERROR(XLOOKUP(TRIM(D933),INVENTARIO!$A$2:$A$2000,INVENTARIO!$B$2:$B$2000),"NO ENCONTRADO"))</f>
        <v/>
      </c>
      <c r="F933" s="2">
        <f>IF(D933="","",IFERROR(XLOOKUP(TRIM(D933),INVENTARIO!$A$2:$A$2000,INVENTARIO!$C$2:$C$2000),""))</f>
        <v/>
      </c>
      <c r="G933" s="2">
        <f>IF(D933="","",IF(E933="NO ENCONTRADO","CODIGO NO EXISTE",IF(COUNTIF($D$2:D933,D933)&gt;1,"DUPLICADO",IF(C933="","OK SIN PEDIDO",IF(COUNTIFS(PEDIDO_ITEMS!$A$2:$A$501,C933,PEDIDO_ITEMS!$B$2:$B$501,E933)=0,"NO PEDIDO",IF(COUNTIFS($C$2:C933,C933,$E$2:E933,E933)&gt;SUMIFS(PEDIDO_ITEMS!$C$2:$C$501,PEDIDO_ITEMS!$A$2:$A$501,C933,PEDIDO_ITEMS!$B$2:$B$501,E933),"EXCEDE PEDIDO","OK"))))))</f>
        <v/>
      </c>
    </row>
    <row r="934">
      <c r="A934" s="9" t="inlineStr"/>
      <c r="B934" s="2" t="inlineStr"/>
      <c r="C934" s="2" t="inlineStr"/>
      <c r="D934" s="2" t="inlineStr"/>
      <c r="E934" s="2">
        <f>IF(D934="","",IFERROR(XLOOKUP(TRIM(D934),INVENTARIO!$A$2:$A$2000,INVENTARIO!$B$2:$B$2000),"NO ENCONTRADO"))</f>
        <v/>
      </c>
      <c r="F934" s="2">
        <f>IF(D934="","",IFERROR(XLOOKUP(TRIM(D934),INVENTARIO!$A$2:$A$2000,INVENTARIO!$C$2:$C$2000),""))</f>
        <v/>
      </c>
      <c r="G934" s="2">
        <f>IF(D934="","",IF(E934="NO ENCONTRADO","CODIGO NO EXISTE",IF(COUNTIF($D$2:D934,D934)&gt;1,"DUPLICADO",IF(C934="","OK SIN PEDIDO",IF(COUNTIFS(PEDIDO_ITEMS!$A$2:$A$501,C934,PEDIDO_ITEMS!$B$2:$B$501,E934)=0,"NO PEDIDO",IF(COUNTIFS($C$2:C934,C934,$E$2:E934,E934)&gt;SUMIFS(PEDIDO_ITEMS!$C$2:$C$501,PEDIDO_ITEMS!$A$2:$A$501,C934,PEDIDO_ITEMS!$B$2:$B$501,E934),"EXCEDE PEDIDO","OK"))))))</f>
        <v/>
      </c>
    </row>
    <row r="935">
      <c r="A935" s="9" t="inlineStr"/>
      <c r="B935" s="2" t="inlineStr"/>
      <c r="C935" s="2" t="inlineStr"/>
      <c r="D935" s="2" t="inlineStr"/>
      <c r="E935" s="2">
        <f>IF(D935="","",IFERROR(XLOOKUP(TRIM(D935),INVENTARIO!$A$2:$A$2000,INVENTARIO!$B$2:$B$2000),"NO ENCONTRADO"))</f>
        <v/>
      </c>
      <c r="F935" s="2">
        <f>IF(D935="","",IFERROR(XLOOKUP(TRIM(D935),INVENTARIO!$A$2:$A$2000,INVENTARIO!$C$2:$C$2000),""))</f>
        <v/>
      </c>
      <c r="G935" s="2">
        <f>IF(D935="","",IF(E935="NO ENCONTRADO","CODIGO NO EXISTE",IF(COUNTIF($D$2:D935,D935)&gt;1,"DUPLICADO",IF(C935="","OK SIN PEDIDO",IF(COUNTIFS(PEDIDO_ITEMS!$A$2:$A$501,C935,PEDIDO_ITEMS!$B$2:$B$501,E935)=0,"NO PEDIDO",IF(COUNTIFS($C$2:C935,C935,$E$2:E935,E935)&gt;SUMIFS(PEDIDO_ITEMS!$C$2:$C$501,PEDIDO_ITEMS!$A$2:$A$501,C935,PEDIDO_ITEMS!$B$2:$B$501,E935),"EXCEDE PEDIDO","OK"))))))</f>
        <v/>
      </c>
    </row>
    <row r="936">
      <c r="A936" s="9" t="inlineStr"/>
      <c r="B936" s="2" t="inlineStr"/>
      <c r="C936" s="2" t="inlineStr"/>
      <c r="D936" s="2" t="inlineStr"/>
      <c r="E936" s="2">
        <f>IF(D936="","",IFERROR(XLOOKUP(TRIM(D936),INVENTARIO!$A$2:$A$2000,INVENTARIO!$B$2:$B$2000),"NO ENCONTRADO"))</f>
        <v/>
      </c>
      <c r="F936" s="2">
        <f>IF(D936="","",IFERROR(XLOOKUP(TRIM(D936),INVENTARIO!$A$2:$A$2000,INVENTARIO!$C$2:$C$2000),""))</f>
        <v/>
      </c>
      <c r="G936" s="2">
        <f>IF(D936="","",IF(E936="NO ENCONTRADO","CODIGO NO EXISTE",IF(COUNTIF($D$2:D936,D936)&gt;1,"DUPLICADO",IF(C936="","OK SIN PEDIDO",IF(COUNTIFS(PEDIDO_ITEMS!$A$2:$A$501,C936,PEDIDO_ITEMS!$B$2:$B$501,E936)=0,"NO PEDIDO",IF(COUNTIFS($C$2:C936,C936,$E$2:E936,E936)&gt;SUMIFS(PEDIDO_ITEMS!$C$2:$C$501,PEDIDO_ITEMS!$A$2:$A$501,C936,PEDIDO_ITEMS!$B$2:$B$501,E936),"EXCEDE PEDIDO","OK"))))))</f>
        <v/>
      </c>
    </row>
    <row r="937">
      <c r="A937" s="9" t="inlineStr"/>
      <c r="B937" s="2" t="inlineStr"/>
      <c r="C937" s="2" t="inlineStr"/>
      <c r="D937" s="2" t="inlineStr"/>
      <c r="E937" s="2">
        <f>IF(D937="","",IFERROR(XLOOKUP(TRIM(D937),INVENTARIO!$A$2:$A$2000,INVENTARIO!$B$2:$B$2000),"NO ENCONTRADO"))</f>
        <v/>
      </c>
      <c r="F937" s="2">
        <f>IF(D937="","",IFERROR(XLOOKUP(TRIM(D937),INVENTARIO!$A$2:$A$2000,INVENTARIO!$C$2:$C$2000),""))</f>
        <v/>
      </c>
      <c r="G937" s="2">
        <f>IF(D937="","",IF(E937="NO ENCONTRADO","CODIGO NO EXISTE",IF(COUNTIF($D$2:D937,D937)&gt;1,"DUPLICADO",IF(C937="","OK SIN PEDIDO",IF(COUNTIFS(PEDIDO_ITEMS!$A$2:$A$501,C937,PEDIDO_ITEMS!$B$2:$B$501,E937)=0,"NO PEDIDO",IF(COUNTIFS($C$2:C937,C937,$E$2:E937,E937)&gt;SUMIFS(PEDIDO_ITEMS!$C$2:$C$501,PEDIDO_ITEMS!$A$2:$A$501,C937,PEDIDO_ITEMS!$B$2:$B$501,E937),"EXCEDE PEDIDO","OK"))))))</f>
        <v/>
      </c>
    </row>
    <row r="938">
      <c r="A938" s="9" t="inlineStr"/>
      <c r="B938" s="2" t="inlineStr"/>
      <c r="C938" s="2" t="inlineStr"/>
      <c r="D938" s="2" t="inlineStr"/>
      <c r="E938" s="2">
        <f>IF(D938="","",IFERROR(XLOOKUP(TRIM(D938),INVENTARIO!$A$2:$A$2000,INVENTARIO!$B$2:$B$2000),"NO ENCONTRADO"))</f>
        <v/>
      </c>
      <c r="F938" s="2">
        <f>IF(D938="","",IFERROR(XLOOKUP(TRIM(D938),INVENTARIO!$A$2:$A$2000,INVENTARIO!$C$2:$C$2000),""))</f>
        <v/>
      </c>
      <c r="G938" s="2">
        <f>IF(D938="","",IF(E938="NO ENCONTRADO","CODIGO NO EXISTE",IF(COUNTIF($D$2:D938,D938)&gt;1,"DUPLICADO",IF(C938="","OK SIN PEDIDO",IF(COUNTIFS(PEDIDO_ITEMS!$A$2:$A$501,C938,PEDIDO_ITEMS!$B$2:$B$501,E938)=0,"NO PEDIDO",IF(COUNTIFS($C$2:C938,C938,$E$2:E938,E938)&gt;SUMIFS(PEDIDO_ITEMS!$C$2:$C$501,PEDIDO_ITEMS!$A$2:$A$501,C938,PEDIDO_ITEMS!$B$2:$B$501,E938),"EXCEDE PEDIDO","OK"))))))</f>
        <v/>
      </c>
    </row>
    <row r="939">
      <c r="A939" s="9" t="inlineStr"/>
      <c r="B939" s="2" t="inlineStr"/>
      <c r="C939" s="2" t="inlineStr"/>
      <c r="D939" s="2" t="inlineStr"/>
      <c r="E939" s="2">
        <f>IF(D939="","",IFERROR(XLOOKUP(TRIM(D939),INVENTARIO!$A$2:$A$2000,INVENTARIO!$B$2:$B$2000),"NO ENCONTRADO"))</f>
        <v/>
      </c>
      <c r="F939" s="2">
        <f>IF(D939="","",IFERROR(XLOOKUP(TRIM(D939),INVENTARIO!$A$2:$A$2000,INVENTARIO!$C$2:$C$2000),""))</f>
        <v/>
      </c>
      <c r="G939" s="2">
        <f>IF(D939="","",IF(E939="NO ENCONTRADO","CODIGO NO EXISTE",IF(COUNTIF($D$2:D939,D939)&gt;1,"DUPLICADO",IF(C939="","OK SIN PEDIDO",IF(COUNTIFS(PEDIDO_ITEMS!$A$2:$A$501,C939,PEDIDO_ITEMS!$B$2:$B$501,E939)=0,"NO PEDIDO",IF(COUNTIFS($C$2:C939,C939,$E$2:E939,E939)&gt;SUMIFS(PEDIDO_ITEMS!$C$2:$C$501,PEDIDO_ITEMS!$A$2:$A$501,C939,PEDIDO_ITEMS!$B$2:$B$501,E939),"EXCEDE PEDIDO","OK"))))))</f>
        <v/>
      </c>
    </row>
    <row r="940">
      <c r="A940" s="9" t="inlineStr"/>
      <c r="B940" s="2" t="inlineStr"/>
      <c r="C940" s="2" t="inlineStr"/>
      <c r="D940" s="2" t="inlineStr"/>
      <c r="E940" s="2">
        <f>IF(D940="","",IFERROR(XLOOKUP(TRIM(D940),INVENTARIO!$A$2:$A$2000,INVENTARIO!$B$2:$B$2000),"NO ENCONTRADO"))</f>
        <v/>
      </c>
      <c r="F940" s="2">
        <f>IF(D940="","",IFERROR(XLOOKUP(TRIM(D940),INVENTARIO!$A$2:$A$2000,INVENTARIO!$C$2:$C$2000),""))</f>
        <v/>
      </c>
      <c r="G940" s="2">
        <f>IF(D940="","",IF(E940="NO ENCONTRADO","CODIGO NO EXISTE",IF(COUNTIF($D$2:D940,D940)&gt;1,"DUPLICADO",IF(C940="","OK SIN PEDIDO",IF(COUNTIFS(PEDIDO_ITEMS!$A$2:$A$501,C940,PEDIDO_ITEMS!$B$2:$B$501,E940)=0,"NO PEDIDO",IF(COUNTIFS($C$2:C940,C940,$E$2:E940,E940)&gt;SUMIFS(PEDIDO_ITEMS!$C$2:$C$501,PEDIDO_ITEMS!$A$2:$A$501,C940,PEDIDO_ITEMS!$B$2:$B$501,E940),"EXCEDE PEDIDO","OK"))))))</f>
        <v/>
      </c>
    </row>
    <row r="941">
      <c r="A941" s="9" t="inlineStr"/>
      <c r="B941" s="2" t="inlineStr"/>
      <c r="C941" s="2" t="inlineStr"/>
      <c r="D941" s="2" t="inlineStr"/>
      <c r="E941" s="2">
        <f>IF(D941="","",IFERROR(XLOOKUP(TRIM(D941),INVENTARIO!$A$2:$A$2000,INVENTARIO!$B$2:$B$2000),"NO ENCONTRADO"))</f>
        <v/>
      </c>
      <c r="F941" s="2">
        <f>IF(D941="","",IFERROR(XLOOKUP(TRIM(D941),INVENTARIO!$A$2:$A$2000,INVENTARIO!$C$2:$C$2000),""))</f>
        <v/>
      </c>
      <c r="G941" s="2">
        <f>IF(D941="","",IF(E941="NO ENCONTRADO","CODIGO NO EXISTE",IF(COUNTIF($D$2:D941,D941)&gt;1,"DUPLICADO",IF(C941="","OK SIN PEDIDO",IF(COUNTIFS(PEDIDO_ITEMS!$A$2:$A$501,C941,PEDIDO_ITEMS!$B$2:$B$501,E941)=0,"NO PEDIDO",IF(COUNTIFS($C$2:C941,C941,$E$2:E941,E941)&gt;SUMIFS(PEDIDO_ITEMS!$C$2:$C$501,PEDIDO_ITEMS!$A$2:$A$501,C941,PEDIDO_ITEMS!$B$2:$B$501,E941),"EXCEDE PEDIDO","OK"))))))</f>
        <v/>
      </c>
    </row>
    <row r="942">
      <c r="A942" s="9" t="inlineStr"/>
      <c r="B942" s="2" t="inlineStr"/>
      <c r="C942" s="2" t="inlineStr"/>
      <c r="D942" s="2" t="inlineStr"/>
      <c r="E942" s="2">
        <f>IF(D942="","",IFERROR(XLOOKUP(TRIM(D942),INVENTARIO!$A$2:$A$2000,INVENTARIO!$B$2:$B$2000),"NO ENCONTRADO"))</f>
        <v/>
      </c>
      <c r="F942" s="2">
        <f>IF(D942="","",IFERROR(XLOOKUP(TRIM(D942),INVENTARIO!$A$2:$A$2000,INVENTARIO!$C$2:$C$2000),""))</f>
        <v/>
      </c>
      <c r="G942" s="2">
        <f>IF(D942="","",IF(E942="NO ENCONTRADO","CODIGO NO EXISTE",IF(COUNTIF($D$2:D942,D942)&gt;1,"DUPLICADO",IF(C942="","OK SIN PEDIDO",IF(COUNTIFS(PEDIDO_ITEMS!$A$2:$A$501,C942,PEDIDO_ITEMS!$B$2:$B$501,E942)=0,"NO PEDIDO",IF(COUNTIFS($C$2:C942,C942,$E$2:E942,E942)&gt;SUMIFS(PEDIDO_ITEMS!$C$2:$C$501,PEDIDO_ITEMS!$A$2:$A$501,C942,PEDIDO_ITEMS!$B$2:$B$501,E942),"EXCEDE PEDIDO","OK"))))))</f>
        <v/>
      </c>
    </row>
    <row r="943">
      <c r="A943" s="9" t="inlineStr"/>
      <c r="B943" s="2" t="inlineStr"/>
      <c r="C943" s="2" t="inlineStr"/>
      <c r="D943" s="2" t="inlineStr"/>
      <c r="E943" s="2">
        <f>IF(D943="","",IFERROR(XLOOKUP(TRIM(D943),INVENTARIO!$A$2:$A$2000,INVENTARIO!$B$2:$B$2000),"NO ENCONTRADO"))</f>
        <v/>
      </c>
      <c r="F943" s="2">
        <f>IF(D943="","",IFERROR(XLOOKUP(TRIM(D943),INVENTARIO!$A$2:$A$2000,INVENTARIO!$C$2:$C$2000),""))</f>
        <v/>
      </c>
      <c r="G943" s="2">
        <f>IF(D943="","",IF(E943="NO ENCONTRADO","CODIGO NO EXISTE",IF(COUNTIF($D$2:D943,D943)&gt;1,"DUPLICADO",IF(C943="","OK SIN PEDIDO",IF(COUNTIFS(PEDIDO_ITEMS!$A$2:$A$501,C943,PEDIDO_ITEMS!$B$2:$B$501,E943)=0,"NO PEDIDO",IF(COUNTIFS($C$2:C943,C943,$E$2:E943,E943)&gt;SUMIFS(PEDIDO_ITEMS!$C$2:$C$501,PEDIDO_ITEMS!$A$2:$A$501,C943,PEDIDO_ITEMS!$B$2:$B$501,E943),"EXCEDE PEDIDO","OK"))))))</f>
        <v/>
      </c>
    </row>
    <row r="944">
      <c r="A944" s="9" t="inlineStr"/>
      <c r="B944" s="2" t="inlineStr"/>
      <c r="C944" s="2" t="inlineStr"/>
      <c r="D944" s="2" t="inlineStr"/>
      <c r="E944" s="2">
        <f>IF(D944="","",IFERROR(XLOOKUP(TRIM(D944),INVENTARIO!$A$2:$A$2000,INVENTARIO!$B$2:$B$2000),"NO ENCONTRADO"))</f>
        <v/>
      </c>
      <c r="F944" s="2">
        <f>IF(D944="","",IFERROR(XLOOKUP(TRIM(D944),INVENTARIO!$A$2:$A$2000,INVENTARIO!$C$2:$C$2000),""))</f>
        <v/>
      </c>
      <c r="G944" s="2">
        <f>IF(D944="","",IF(E944="NO ENCONTRADO","CODIGO NO EXISTE",IF(COUNTIF($D$2:D944,D944)&gt;1,"DUPLICADO",IF(C944="","OK SIN PEDIDO",IF(COUNTIFS(PEDIDO_ITEMS!$A$2:$A$501,C944,PEDIDO_ITEMS!$B$2:$B$501,E944)=0,"NO PEDIDO",IF(COUNTIFS($C$2:C944,C944,$E$2:E944,E944)&gt;SUMIFS(PEDIDO_ITEMS!$C$2:$C$501,PEDIDO_ITEMS!$A$2:$A$501,C944,PEDIDO_ITEMS!$B$2:$B$501,E944),"EXCEDE PEDIDO","OK"))))))</f>
        <v/>
      </c>
    </row>
    <row r="945">
      <c r="A945" s="9" t="inlineStr"/>
      <c r="B945" s="2" t="inlineStr"/>
      <c r="C945" s="2" t="inlineStr"/>
      <c r="D945" s="2" t="inlineStr"/>
      <c r="E945" s="2">
        <f>IF(D945="","",IFERROR(XLOOKUP(TRIM(D945),INVENTARIO!$A$2:$A$2000,INVENTARIO!$B$2:$B$2000),"NO ENCONTRADO"))</f>
        <v/>
      </c>
      <c r="F945" s="2">
        <f>IF(D945="","",IFERROR(XLOOKUP(TRIM(D945),INVENTARIO!$A$2:$A$2000,INVENTARIO!$C$2:$C$2000),""))</f>
        <v/>
      </c>
      <c r="G945" s="2">
        <f>IF(D945="","",IF(E945="NO ENCONTRADO","CODIGO NO EXISTE",IF(COUNTIF($D$2:D945,D945)&gt;1,"DUPLICADO",IF(C945="","OK SIN PEDIDO",IF(COUNTIFS(PEDIDO_ITEMS!$A$2:$A$501,C945,PEDIDO_ITEMS!$B$2:$B$501,E945)=0,"NO PEDIDO",IF(COUNTIFS($C$2:C945,C945,$E$2:E945,E945)&gt;SUMIFS(PEDIDO_ITEMS!$C$2:$C$501,PEDIDO_ITEMS!$A$2:$A$501,C945,PEDIDO_ITEMS!$B$2:$B$501,E945),"EXCEDE PEDIDO","OK"))))))</f>
        <v/>
      </c>
    </row>
    <row r="946">
      <c r="A946" s="9" t="inlineStr"/>
      <c r="B946" s="2" t="inlineStr"/>
      <c r="C946" s="2" t="inlineStr"/>
      <c r="D946" s="2" t="inlineStr"/>
      <c r="E946" s="2">
        <f>IF(D946="","",IFERROR(XLOOKUP(TRIM(D946),INVENTARIO!$A$2:$A$2000,INVENTARIO!$B$2:$B$2000),"NO ENCONTRADO"))</f>
        <v/>
      </c>
      <c r="F946" s="2">
        <f>IF(D946="","",IFERROR(XLOOKUP(TRIM(D946),INVENTARIO!$A$2:$A$2000,INVENTARIO!$C$2:$C$2000),""))</f>
        <v/>
      </c>
      <c r="G946" s="2">
        <f>IF(D946="","",IF(E946="NO ENCONTRADO","CODIGO NO EXISTE",IF(COUNTIF($D$2:D946,D946)&gt;1,"DUPLICADO",IF(C946="","OK SIN PEDIDO",IF(COUNTIFS(PEDIDO_ITEMS!$A$2:$A$501,C946,PEDIDO_ITEMS!$B$2:$B$501,E946)=0,"NO PEDIDO",IF(COUNTIFS($C$2:C946,C946,$E$2:E946,E946)&gt;SUMIFS(PEDIDO_ITEMS!$C$2:$C$501,PEDIDO_ITEMS!$A$2:$A$501,C946,PEDIDO_ITEMS!$B$2:$B$501,E946),"EXCEDE PEDIDO","OK"))))))</f>
        <v/>
      </c>
    </row>
    <row r="947">
      <c r="A947" s="9" t="inlineStr"/>
      <c r="B947" s="2" t="inlineStr"/>
      <c r="C947" s="2" t="inlineStr"/>
      <c r="D947" s="2" t="inlineStr"/>
      <c r="E947" s="2">
        <f>IF(D947="","",IFERROR(XLOOKUP(TRIM(D947),INVENTARIO!$A$2:$A$2000,INVENTARIO!$B$2:$B$2000),"NO ENCONTRADO"))</f>
        <v/>
      </c>
      <c r="F947" s="2">
        <f>IF(D947="","",IFERROR(XLOOKUP(TRIM(D947),INVENTARIO!$A$2:$A$2000,INVENTARIO!$C$2:$C$2000),""))</f>
        <v/>
      </c>
      <c r="G947" s="2">
        <f>IF(D947="","",IF(E947="NO ENCONTRADO","CODIGO NO EXISTE",IF(COUNTIF($D$2:D947,D947)&gt;1,"DUPLICADO",IF(C947="","OK SIN PEDIDO",IF(COUNTIFS(PEDIDO_ITEMS!$A$2:$A$501,C947,PEDIDO_ITEMS!$B$2:$B$501,E947)=0,"NO PEDIDO",IF(COUNTIFS($C$2:C947,C947,$E$2:E947,E947)&gt;SUMIFS(PEDIDO_ITEMS!$C$2:$C$501,PEDIDO_ITEMS!$A$2:$A$501,C947,PEDIDO_ITEMS!$B$2:$B$501,E947),"EXCEDE PEDIDO","OK"))))))</f>
        <v/>
      </c>
    </row>
    <row r="948">
      <c r="A948" s="9" t="inlineStr"/>
      <c r="B948" s="2" t="inlineStr"/>
      <c r="C948" s="2" t="inlineStr"/>
      <c r="D948" s="2" t="inlineStr"/>
      <c r="E948" s="2">
        <f>IF(D948="","",IFERROR(XLOOKUP(TRIM(D948),INVENTARIO!$A$2:$A$2000,INVENTARIO!$B$2:$B$2000),"NO ENCONTRADO"))</f>
        <v/>
      </c>
      <c r="F948" s="2">
        <f>IF(D948="","",IFERROR(XLOOKUP(TRIM(D948),INVENTARIO!$A$2:$A$2000,INVENTARIO!$C$2:$C$2000),""))</f>
        <v/>
      </c>
      <c r="G948" s="2">
        <f>IF(D948="","",IF(E948="NO ENCONTRADO","CODIGO NO EXISTE",IF(COUNTIF($D$2:D948,D948)&gt;1,"DUPLICADO",IF(C948="","OK SIN PEDIDO",IF(COUNTIFS(PEDIDO_ITEMS!$A$2:$A$501,C948,PEDIDO_ITEMS!$B$2:$B$501,E948)=0,"NO PEDIDO",IF(COUNTIFS($C$2:C948,C948,$E$2:E948,E948)&gt;SUMIFS(PEDIDO_ITEMS!$C$2:$C$501,PEDIDO_ITEMS!$A$2:$A$501,C948,PEDIDO_ITEMS!$B$2:$B$501,E948),"EXCEDE PEDIDO","OK"))))))</f>
        <v/>
      </c>
    </row>
    <row r="949">
      <c r="A949" s="9" t="inlineStr"/>
      <c r="B949" s="2" t="inlineStr"/>
      <c r="C949" s="2" t="inlineStr"/>
      <c r="D949" s="2" t="inlineStr"/>
      <c r="E949" s="2">
        <f>IF(D949="","",IFERROR(XLOOKUP(TRIM(D949),INVENTARIO!$A$2:$A$2000,INVENTARIO!$B$2:$B$2000),"NO ENCONTRADO"))</f>
        <v/>
      </c>
      <c r="F949" s="2">
        <f>IF(D949="","",IFERROR(XLOOKUP(TRIM(D949),INVENTARIO!$A$2:$A$2000,INVENTARIO!$C$2:$C$2000),""))</f>
        <v/>
      </c>
      <c r="G949" s="2">
        <f>IF(D949="","",IF(E949="NO ENCONTRADO","CODIGO NO EXISTE",IF(COUNTIF($D$2:D949,D949)&gt;1,"DUPLICADO",IF(C949="","OK SIN PEDIDO",IF(COUNTIFS(PEDIDO_ITEMS!$A$2:$A$501,C949,PEDIDO_ITEMS!$B$2:$B$501,E949)=0,"NO PEDIDO",IF(COUNTIFS($C$2:C949,C949,$E$2:E949,E949)&gt;SUMIFS(PEDIDO_ITEMS!$C$2:$C$501,PEDIDO_ITEMS!$A$2:$A$501,C949,PEDIDO_ITEMS!$B$2:$B$501,E949),"EXCEDE PEDIDO","OK"))))))</f>
        <v/>
      </c>
    </row>
    <row r="950">
      <c r="A950" s="9" t="inlineStr"/>
      <c r="B950" s="2" t="inlineStr"/>
      <c r="C950" s="2" t="inlineStr"/>
      <c r="D950" s="2" t="inlineStr"/>
      <c r="E950" s="2">
        <f>IF(D950="","",IFERROR(XLOOKUP(TRIM(D950),INVENTARIO!$A$2:$A$2000,INVENTARIO!$B$2:$B$2000),"NO ENCONTRADO"))</f>
        <v/>
      </c>
      <c r="F950" s="2">
        <f>IF(D950="","",IFERROR(XLOOKUP(TRIM(D950),INVENTARIO!$A$2:$A$2000,INVENTARIO!$C$2:$C$2000),""))</f>
        <v/>
      </c>
      <c r="G950" s="2">
        <f>IF(D950="","",IF(E950="NO ENCONTRADO","CODIGO NO EXISTE",IF(COUNTIF($D$2:D950,D950)&gt;1,"DUPLICADO",IF(C950="","OK SIN PEDIDO",IF(COUNTIFS(PEDIDO_ITEMS!$A$2:$A$501,C950,PEDIDO_ITEMS!$B$2:$B$501,E950)=0,"NO PEDIDO",IF(COUNTIFS($C$2:C950,C950,$E$2:E950,E950)&gt;SUMIFS(PEDIDO_ITEMS!$C$2:$C$501,PEDIDO_ITEMS!$A$2:$A$501,C950,PEDIDO_ITEMS!$B$2:$B$501,E950),"EXCEDE PEDIDO","OK"))))))</f>
        <v/>
      </c>
    </row>
    <row r="951">
      <c r="A951" s="9" t="inlineStr"/>
      <c r="B951" s="2" t="inlineStr"/>
      <c r="C951" s="2" t="inlineStr"/>
      <c r="D951" s="2" t="inlineStr"/>
      <c r="E951" s="2">
        <f>IF(D951="","",IFERROR(XLOOKUP(TRIM(D951),INVENTARIO!$A$2:$A$2000,INVENTARIO!$B$2:$B$2000),"NO ENCONTRADO"))</f>
        <v/>
      </c>
      <c r="F951" s="2">
        <f>IF(D951="","",IFERROR(XLOOKUP(TRIM(D951),INVENTARIO!$A$2:$A$2000,INVENTARIO!$C$2:$C$2000),""))</f>
        <v/>
      </c>
      <c r="G951" s="2">
        <f>IF(D951="","",IF(E951="NO ENCONTRADO","CODIGO NO EXISTE",IF(COUNTIF($D$2:D951,D951)&gt;1,"DUPLICADO",IF(C951="","OK SIN PEDIDO",IF(COUNTIFS(PEDIDO_ITEMS!$A$2:$A$501,C951,PEDIDO_ITEMS!$B$2:$B$501,E951)=0,"NO PEDIDO",IF(COUNTIFS($C$2:C951,C951,$E$2:E951,E951)&gt;SUMIFS(PEDIDO_ITEMS!$C$2:$C$501,PEDIDO_ITEMS!$A$2:$A$501,C951,PEDIDO_ITEMS!$B$2:$B$501,E951),"EXCEDE PEDIDO","OK"))))))</f>
        <v/>
      </c>
    </row>
    <row r="952">
      <c r="A952" s="9" t="inlineStr"/>
      <c r="B952" s="2" t="inlineStr"/>
      <c r="C952" s="2" t="inlineStr"/>
      <c r="D952" s="2" t="inlineStr"/>
      <c r="E952" s="2">
        <f>IF(D952="","",IFERROR(XLOOKUP(TRIM(D952),INVENTARIO!$A$2:$A$2000,INVENTARIO!$B$2:$B$2000),"NO ENCONTRADO"))</f>
        <v/>
      </c>
      <c r="F952" s="2">
        <f>IF(D952="","",IFERROR(XLOOKUP(TRIM(D952),INVENTARIO!$A$2:$A$2000,INVENTARIO!$C$2:$C$2000),""))</f>
        <v/>
      </c>
      <c r="G952" s="2">
        <f>IF(D952="","",IF(E952="NO ENCONTRADO","CODIGO NO EXISTE",IF(COUNTIF($D$2:D952,D952)&gt;1,"DUPLICADO",IF(C952="","OK SIN PEDIDO",IF(COUNTIFS(PEDIDO_ITEMS!$A$2:$A$501,C952,PEDIDO_ITEMS!$B$2:$B$501,E952)=0,"NO PEDIDO",IF(COUNTIFS($C$2:C952,C952,$E$2:E952,E952)&gt;SUMIFS(PEDIDO_ITEMS!$C$2:$C$501,PEDIDO_ITEMS!$A$2:$A$501,C952,PEDIDO_ITEMS!$B$2:$B$501,E952),"EXCEDE PEDIDO","OK"))))))</f>
        <v/>
      </c>
    </row>
    <row r="953">
      <c r="A953" s="9" t="inlineStr"/>
      <c r="B953" s="2" t="inlineStr"/>
      <c r="C953" s="2" t="inlineStr"/>
      <c r="D953" s="2" t="inlineStr"/>
      <c r="E953" s="2">
        <f>IF(D953="","",IFERROR(XLOOKUP(TRIM(D953),INVENTARIO!$A$2:$A$2000,INVENTARIO!$B$2:$B$2000),"NO ENCONTRADO"))</f>
        <v/>
      </c>
      <c r="F953" s="2">
        <f>IF(D953="","",IFERROR(XLOOKUP(TRIM(D953),INVENTARIO!$A$2:$A$2000,INVENTARIO!$C$2:$C$2000),""))</f>
        <v/>
      </c>
      <c r="G953" s="2">
        <f>IF(D953="","",IF(E953="NO ENCONTRADO","CODIGO NO EXISTE",IF(COUNTIF($D$2:D953,D953)&gt;1,"DUPLICADO",IF(C953="","OK SIN PEDIDO",IF(COUNTIFS(PEDIDO_ITEMS!$A$2:$A$501,C953,PEDIDO_ITEMS!$B$2:$B$501,E953)=0,"NO PEDIDO",IF(COUNTIFS($C$2:C953,C953,$E$2:E953,E953)&gt;SUMIFS(PEDIDO_ITEMS!$C$2:$C$501,PEDIDO_ITEMS!$A$2:$A$501,C953,PEDIDO_ITEMS!$B$2:$B$501,E953),"EXCEDE PEDIDO","OK"))))))</f>
        <v/>
      </c>
    </row>
    <row r="954">
      <c r="A954" s="9" t="inlineStr"/>
      <c r="B954" s="2" t="inlineStr"/>
      <c r="C954" s="2" t="inlineStr"/>
      <c r="D954" s="2" t="inlineStr"/>
      <c r="E954" s="2">
        <f>IF(D954="","",IFERROR(XLOOKUP(TRIM(D954),INVENTARIO!$A$2:$A$2000,INVENTARIO!$B$2:$B$2000),"NO ENCONTRADO"))</f>
        <v/>
      </c>
      <c r="F954" s="2">
        <f>IF(D954="","",IFERROR(XLOOKUP(TRIM(D954),INVENTARIO!$A$2:$A$2000,INVENTARIO!$C$2:$C$2000),""))</f>
        <v/>
      </c>
      <c r="G954" s="2">
        <f>IF(D954="","",IF(E954="NO ENCONTRADO","CODIGO NO EXISTE",IF(COUNTIF($D$2:D954,D954)&gt;1,"DUPLICADO",IF(C954="","OK SIN PEDIDO",IF(COUNTIFS(PEDIDO_ITEMS!$A$2:$A$501,C954,PEDIDO_ITEMS!$B$2:$B$501,E954)=0,"NO PEDIDO",IF(COUNTIFS($C$2:C954,C954,$E$2:E954,E954)&gt;SUMIFS(PEDIDO_ITEMS!$C$2:$C$501,PEDIDO_ITEMS!$A$2:$A$501,C954,PEDIDO_ITEMS!$B$2:$B$501,E954),"EXCEDE PEDIDO","OK"))))))</f>
        <v/>
      </c>
    </row>
    <row r="955">
      <c r="A955" s="9" t="inlineStr"/>
      <c r="B955" s="2" t="inlineStr"/>
      <c r="C955" s="2" t="inlineStr"/>
      <c r="D955" s="2" t="inlineStr"/>
      <c r="E955" s="2">
        <f>IF(D955="","",IFERROR(XLOOKUP(TRIM(D955),INVENTARIO!$A$2:$A$2000,INVENTARIO!$B$2:$B$2000),"NO ENCONTRADO"))</f>
        <v/>
      </c>
      <c r="F955" s="2">
        <f>IF(D955="","",IFERROR(XLOOKUP(TRIM(D955),INVENTARIO!$A$2:$A$2000,INVENTARIO!$C$2:$C$2000),""))</f>
        <v/>
      </c>
      <c r="G955" s="2">
        <f>IF(D955="","",IF(E955="NO ENCONTRADO","CODIGO NO EXISTE",IF(COUNTIF($D$2:D955,D955)&gt;1,"DUPLICADO",IF(C955="","OK SIN PEDIDO",IF(COUNTIFS(PEDIDO_ITEMS!$A$2:$A$501,C955,PEDIDO_ITEMS!$B$2:$B$501,E955)=0,"NO PEDIDO",IF(COUNTIFS($C$2:C955,C955,$E$2:E955,E955)&gt;SUMIFS(PEDIDO_ITEMS!$C$2:$C$501,PEDIDO_ITEMS!$A$2:$A$501,C955,PEDIDO_ITEMS!$B$2:$B$501,E955),"EXCEDE PEDIDO","OK"))))))</f>
        <v/>
      </c>
    </row>
    <row r="956">
      <c r="A956" s="9" t="inlineStr"/>
      <c r="B956" s="2" t="inlineStr"/>
      <c r="C956" s="2" t="inlineStr"/>
      <c r="D956" s="2" t="inlineStr"/>
      <c r="E956" s="2">
        <f>IF(D956="","",IFERROR(XLOOKUP(TRIM(D956),INVENTARIO!$A$2:$A$2000,INVENTARIO!$B$2:$B$2000),"NO ENCONTRADO"))</f>
        <v/>
      </c>
      <c r="F956" s="2">
        <f>IF(D956="","",IFERROR(XLOOKUP(TRIM(D956),INVENTARIO!$A$2:$A$2000,INVENTARIO!$C$2:$C$2000),""))</f>
        <v/>
      </c>
      <c r="G956" s="2">
        <f>IF(D956="","",IF(E956="NO ENCONTRADO","CODIGO NO EXISTE",IF(COUNTIF($D$2:D956,D956)&gt;1,"DUPLICADO",IF(C956="","OK SIN PEDIDO",IF(COUNTIFS(PEDIDO_ITEMS!$A$2:$A$501,C956,PEDIDO_ITEMS!$B$2:$B$501,E956)=0,"NO PEDIDO",IF(COUNTIFS($C$2:C956,C956,$E$2:E956,E956)&gt;SUMIFS(PEDIDO_ITEMS!$C$2:$C$501,PEDIDO_ITEMS!$A$2:$A$501,C956,PEDIDO_ITEMS!$B$2:$B$501,E956),"EXCEDE PEDIDO","OK"))))))</f>
        <v/>
      </c>
    </row>
    <row r="957">
      <c r="A957" s="9" t="inlineStr"/>
      <c r="B957" s="2" t="inlineStr"/>
      <c r="C957" s="2" t="inlineStr"/>
      <c r="D957" s="2" t="inlineStr"/>
      <c r="E957" s="2">
        <f>IF(D957="","",IFERROR(XLOOKUP(TRIM(D957),INVENTARIO!$A$2:$A$2000,INVENTARIO!$B$2:$B$2000),"NO ENCONTRADO"))</f>
        <v/>
      </c>
      <c r="F957" s="2">
        <f>IF(D957="","",IFERROR(XLOOKUP(TRIM(D957),INVENTARIO!$A$2:$A$2000,INVENTARIO!$C$2:$C$2000),""))</f>
        <v/>
      </c>
      <c r="G957" s="2">
        <f>IF(D957="","",IF(E957="NO ENCONTRADO","CODIGO NO EXISTE",IF(COUNTIF($D$2:D957,D957)&gt;1,"DUPLICADO",IF(C957="","OK SIN PEDIDO",IF(COUNTIFS(PEDIDO_ITEMS!$A$2:$A$501,C957,PEDIDO_ITEMS!$B$2:$B$501,E957)=0,"NO PEDIDO",IF(COUNTIFS($C$2:C957,C957,$E$2:E957,E957)&gt;SUMIFS(PEDIDO_ITEMS!$C$2:$C$501,PEDIDO_ITEMS!$A$2:$A$501,C957,PEDIDO_ITEMS!$B$2:$B$501,E957),"EXCEDE PEDIDO","OK"))))))</f>
        <v/>
      </c>
    </row>
    <row r="958">
      <c r="A958" s="9" t="inlineStr"/>
      <c r="B958" s="2" t="inlineStr"/>
      <c r="C958" s="2" t="inlineStr"/>
      <c r="D958" s="2" t="inlineStr"/>
      <c r="E958" s="2">
        <f>IF(D958="","",IFERROR(XLOOKUP(TRIM(D958),INVENTARIO!$A$2:$A$2000,INVENTARIO!$B$2:$B$2000),"NO ENCONTRADO"))</f>
        <v/>
      </c>
      <c r="F958" s="2">
        <f>IF(D958="","",IFERROR(XLOOKUP(TRIM(D958),INVENTARIO!$A$2:$A$2000,INVENTARIO!$C$2:$C$2000),""))</f>
        <v/>
      </c>
      <c r="G958" s="2">
        <f>IF(D958="","",IF(E958="NO ENCONTRADO","CODIGO NO EXISTE",IF(COUNTIF($D$2:D958,D958)&gt;1,"DUPLICADO",IF(C958="","OK SIN PEDIDO",IF(COUNTIFS(PEDIDO_ITEMS!$A$2:$A$501,C958,PEDIDO_ITEMS!$B$2:$B$501,E958)=0,"NO PEDIDO",IF(COUNTIFS($C$2:C958,C958,$E$2:E958,E958)&gt;SUMIFS(PEDIDO_ITEMS!$C$2:$C$501,PEDIDO_ITEMS!$A$2:$A$501,C958,PEDIDO_ITEMS!$B$2:$B$501,E958),"EXCEDE PEDIDO","OK"))))))</f>
        <v/>
      </c>
    </row>
    <row r="959">
      <c r="A959" s="9" t="inlineStr"/>
      <c r="B959" s="2" t="inlineStr"/>
      <c r="C959" s="2" t="inlineStr"/>
      <c r="D959" s="2" t="inlineStr"/>
      <c r="E959" s="2">
        <f>IF(D959="","",IFERROR(XLOOKUP(TRIM(D959),INVENTARIO!$A$2:$A$2000,INVENTARIO!$B$2:$B$2000),"NO ENCONTRADO"))</f>
        <v/>
      </c>
      <c r="F959" s="2">
        <f>IF(D959="","",IFERROR(XLOOKUP(TRIM(D959),INVENTARIO!$A$2:$A$2000,INVENTARIO!$C$2:$C$2000),""))</f>
        <v/>
      </c>
      <c r="G959" s="2">
        <f>IF(D959="","",IF(E959="NO ENCONTRADO","CODIGO NO EXISTE",IF(COUNTIF($D$2:D959,D959)&gt;1,"DUPLICADO",IF(C959="","OK SIN PEDIDO",IF(COUNTIFS(PEDIDO_ITEMS!$A$2:$A$501,C959,PEDIDO_ITEMS!$B$2:$B$501,E959)=0,"NO PEDIDO",IF(COUNTIFS($C$2:C959,C959,$E$2:E959,E959)&gt;SUMIFS(PEDIDO_ITEMS!$C$2:$C$501,PEDIDO_ITEMS!$A$2:$A$501,C959,PEDIDO_ITEMS!$B$2:$B$501,E959),"EXCEDE PEDIDO","OK"))))))</f>
        <v/>
      </c>
    </row>
    <row r="960">
      <c r="A960" s="9" t="inlineStr"/>
      <c r="B960" s="2" t="inlineStr"/>
      <c r="C960" s="2" t="inlineStr"/>
      <c r="D960" s="2" t="inlineStr"/>
      <c r="E960" s="2">
        <f>IF(D960="","",IFERROR(XLOOKUP(TRIM(D960),INVENTARIO!$A$2:$A$2000,INVENTARIO!$B$2:$B$2000),"NO ENCONTRADO"))</f>
        <v/>
      </c>
      <c r="F960" s="2">
        <f>IF(D960="","",IFERROR(XLOOKUP(TRIM(D960),INVENTARIO!$A$2:$A$2000,INVENTARIO!$C$2:$C$2000),""))</f>
        <v/>
      </c>
      <c r="G960" s="2">
        <f>IF(D960="","",IF(E960="NO ENCONTRADO","CODIGO NO EXISTE",IF(COUNTIF($D$2:D960,D960)&gt;1,"DUPLICADO",IF(C960="","OK SIN PEDIDO",IF(COUNTIFS(PEDIDO_ITEMS!$A$2:$A$501,C960,PEDIDO_ITEMS!$B$2:$B$501,E960)=0,"NO PEDIDO",IF(COUNTIFS($C$2:C960,C960,$E$2:E960,E960)&gt;SUMIFS(PEDIDO_ITEMS!$C$2:$C$501,PEDIDO_ITEMS!$A$2:$A$501,C960,PEDIDO_ITEMS!$B$2:$B$501,E960),"EXCEDE PEDIDO","OK"))))))</f>
        <v/>
      </c>
    </row>
    <row r="961">
      <c r="A961" s="9" t="inlineStr"/>
      <c r="B961" s="2" t="inlineStr"/>
      <c r="C961" s="2" t="inlineStr"/>
      <c r="D961" s="2" t="inlineStr"/>
      <c r="E961" s="2">
        <f>IF(D961="","",IFERROR(XLOOKUP(TRIM(D961),INVENTARIO!$A$2:$A$2000,INVENTARIO!$B$2:$B$2000),"NO ENCONTRADO"))</f>
        <v/>
      </c>
      <c r="F961" s="2">
        <f>IF(D961="","",IFERROR(XLOOKUP(TRIM(D961),INVENTARIO!$A$2:$A$2000,INVENTARIO!$C$2:$C$2000),""))</f>
        <v/>
      </c>
      <c r="G961" s="2">
        <f>IF(D961="","",IF(E961="NO ENCONTRADO","CODIGO NO EXISTE",IF(COUNTIF($D$2:D961,D961)&gt;1,"DUPLICADO",IF(C961="","OK SIN PEDIDO",IF(COUNTIFS(PEDIDO_ITEMS!$A$2:$A$501,C961,PEDIDO_ITEMS!$B$2:$B$501,E961)=0,"NO PEDIDO",IF(COUNTIFS($C$2:C961,C961,$E$2:E961,E961)&gt;SUMIFS(PEDIDO_ITEMS!$C$2:$C$501,PEDIDO_ITEMS!$A$2:$A$501,C961,PEDIDO_ITEMS!$B$2:$B$501,E961),"EXCEDE PEDIDO","OK"))))))</f>
        <v/>
      </c>
    </row>
    <row r="962">
      <c r="A962" s="9" t="inlineStr"/>
      <c r="B962" s="2" t="inlineStr"/>
      <c r="C962" s="2" t="inlineStr"/>
      <c r="D962" s="2" t="inlineStr"/>
      <c r="E962" s="2">
        <f>IF(D962="","",IFERROR(XLOOKUP(TRIM(D962),INVENTARIO!$A$2:$A$2000,INVENTARIO!$B$2:$B$2000),"NO ENCONTRADO"))</f>
        <v/>
      </c>
      <c r="F962" s="2">
        <f>IF(D962="","",IFERROR(XLOOKUP(TRIM(D962),INVENTARIO!$A$2:$A$2000,INVENTARIO!$C$2:$C$2000),""))</f>
        <v/>
      </c>
      <c r="G962" s="2">
        <f>IF(D962="","",IF(E962="NO ENCONTRADO","CODIGO NO EXISTE",IF(COUNTIF($D$2:D962,D962)&gt;1,"DUPLICADO",IF(C962="","OK SIN PEDIDO",IF(COUNTIFS(PEDIDO_ITEMS!$A$2:$A$501,C962,PEDIDO_ITEMS!$B$2:$B$501,E962)=0,"NO PEDIDO",IF(COUNTIFS($C$2:C962,C962,$E$2:E962,E962)&gt;SUMIFS(PEDIDO_ITEMS!$C$2:$C$501,PEDIDO_ITEMS!$A$2:$A$501,C962,PEDIDO_ITEMS!$B$2:$B$501,E962),"EXCEDE PEDIDO","OK"))))))</f>
        <v/>
      </c>
    </row>
    <row r="963">
      <c r="A963" s="9" t="inlineStr"/>
      <c r="B963" s="2" t="inlineStr"/>
      <c r="C963" s="2" t="inlineStr"/>
      <c r="D963" s="2" t="inlineStr"/>
      <c r="E963" s="2">
        <f>IF(D963="","",IFERROR(XLOOKUP(TRIM(D963),INVENTARIO!$A$2:$A$2000,INVENTARIO!$B$2:$B$2000),"NO ENCONTRADO"))</f>
        <v/>
      </c>
      <c r="F963" s="2">
        <f>IF(D963="","",IFERROR(XLOOKUP(TRIM(D963),INVENTARIO!$A$2:$A$2000,INVENTARIO!$C$2:$C$2000),""))</f>
        <v/>
      </c>
      <c r="G963" s="2">
        <f>IF(D963="","",IF(E963="NO ENCONTRADO","CODIGO NO EXISTE",IF(COUNTIF($D$2:D963,D963)&gt;1,"DUPLICADO",IF(C963="","OK SIN PEDIDO",IF(COUNTIFS(PEDIDO_ITEMS!$A$2:$A$501,C963,PEDIDO_ITEMS!$B$2:$B$501,E963)=0,"NO PEDIDO",IF(COUNTIFS($C$2:C963,C963,$E$2:E963,E963)&gt;SUMIFS(PEDIDO_ITEMS!$C$2:$C$501,PEDIDO_ITEMS!$A$2:$A$501,C963,PEDIDO_ITEMS!$B$2:$B$501,E963),"EXCEDE PEDIDO","OK"))))))</f>
        <v/>
      </c>
    </row>
    <row r="964">
      <c r="A964" s="9" t="inlineStr"/>
      <c r="B964" s="2" t="inlineStr"/>
      <c r="C964" s="2" t="inlineStr"/>
      <c r="D964" s="2" t="inlineStr"/>
      <c r="E964" s="2">
        <f>IF(D964="","",IFERROR(XLOOKUP(TRIM(D964),INVENTARIO!$A$2:$A$2000,INVENTARIO!$B$2:$B$2000),"NO ENCONTRADO"))</f>
        <v/>
      </c>
      <c r="F964" s="2">
        <f>IF(D964="","",IFERROR(XLOOKUP(TRIM(D964),INVENTARIO!$A$2:$A$2000,INVENTARIO!$C$2:$C$2000),""))</f>
        <v/>
      </c>
      <c r="G964" s="2">
        <f>IF(D964="","",IF(E964="NO ENCONTRADO","CODIGO NO EXISTE",IF(COUNTIF($D$2:D964,D964)&gt;1,"DUPLICADO",IF(C964="","OK SIN PEDIDO",IF(COUNTIFS(PEDIDO_ITEMS!$A$2:$A$501,C964,PEDIDO_ITEMS!$B$2:$B$501,E964)=0,"NO PEDIDO",IF(COUNTIFS($C$2:C964,C964,$E$2:E964,E964)&gt;SUMIFS(PEDIDO_ITEMS!$C$2:$C$501,PEDIDO_ITEMS!$A$2:$A$501,C964,PEDIDO_ITEMS!$B$2:$B$501,E964),"EXCEDE PEDIDO","OK"))))))</f>
        <v/>
      </c>
    </row>
    <row r="965">
      <c r="A965" s="9" t="inlineStr"/>
      <c r="B965" s="2" t="inlineStr"/>
      <c r="C965" s="2" t="inlineStr"/>
      <c r="D965" s="2" t="inlineStr"/>
      <c r="E965" s="2">
        <f>IF(D965="","",IFERROR(XLOOKUP(TRIM(D965),INVENTARIO!$A$2:$A$2000,INVENTARIO!$B$2:$B$2000),"NO ENCONTRADO"))</f>
        <v/>
      </c>
      <c r="F965" s="2">
        <f>IF(D965="","",IFERROR(XLOOKUP(TRIM(D965),INVENTARIO!$A$2:$A$2000,INVENTARIO!$C$2:$C$2000),""))</f>
        <v/>
      </c>
      <c r="G965" s="2">
        <f>IF(D965="","",IF(E965="NO ENCONTRADO","CODIGO NO EXISTE",IF(COUNTIF($D$2:D965,D965)&gt;1,"DUPLICADO",IF(C965="","OK SIN PEDIDO",IF(COUNTIFS(PEDIDO_ITEMS!$A$2:$A$501,C965,PEDIDO_ITEMS!$B$2:$B$501,E965)=0,"NO PEDIDO",IF(COUNTIFS($C$2:C965,C965,$E$2:E965,E965)&gt;SUMIFS(PEDIDO_ITEMS!$C$2:$C$501,PEDIDO_ITEMS!$A$2:$A$501,C965,PEDIDO_ITEMS!$B$2:$B$501,E965),"EXCEDE PEDIDO","OK"))))))</f>
        <v/>
      </c>
    </row>
    <row r="966">
      <c r="A966" s="9" t="inlineStr"/>
      <c r="B966" s="2" t="inlineStr"/>
      <c r="C966" s="2" t="inlineStr"/>
      <c r="D966" s="2" t="inlineStr"/>
      <c r="E966" s="2">
        <f>IF(D966="","",IFERROR(XLOOKUP(TRIM(D966),INVENTARIO!$A$2:$A$2000,INVENTARIO!$B$2:$B$2000),"NO ENCONTRADO"))</f>
        <v/>
      </c>
      <c r="F966" s="2">
        <f>IF(D966="","",IFERROR(XLOOKUP(TRIM(D966),INVENTARIO!$A$2:$A$2000,INVENTARIO!$C$2:$C$2000),""))</f>
        <v/>
      </c>
      <c r="G966" s="2">
        <f>IF(D966="","",IF(E966="NO ENCONTRADO","CODIGO NO EXISTE",IF(COUNTIF($D$2:D966,D966)&gt;1,"DUPLICADO",IF(C966="","OK SIN PEDIDO",IF(COUNTIFS(PEDIDO_ITEMS!$A$2:$A$501,C966,PEDIDO_ITEMS!$B$2:$B$501,E966)=0,"NO PEDIDO",IF(COUNTIFS($C$2:C966,C966,$E$2:E966,E966)&gt;SUMIFS(PEDIDO_ITEMS!$C$2:$C$501,PEDIDO_ITEMS!$A$2:$A$501,C966,PEDIDO_ITEMS!$B$2:$B$501,E966),"EXCEDE PEDIDO","OK"))))))</f>
        <v/>
      </c>
    </row>
    <row r="967">
      <c r="A967" s="9" t="inlineStr"/>
      <c r="B967" s="2" t="inlineStr"/>
      <c r="C967" s="2" t="inlineStr"/>
      <c r="D967" s="2" t="inlineStr"/>
      <c r="E967" s="2">
        <f>IF(D967="","",IFERROR(XLOOKUP(TRIM(D967),INVENTARIO!$A$2:$A$2000,INVENTARIO!$B$2:$B$2000),"NO ENCONTRADO"))</f>
        <v/>
      </c>
      <c r="F967" s="2">
        <f>IF(D967="","",IFERROR(XLOOKUP(TRIM(D967),INVENTARIO!$A$2:$A$2000,INVENTARIO!$C$2:$C$2000),""))</f>
        <v/>
      </c>
      <c r="G967" s="2">
        <f>IF(D967="","",IF(E967="NO ENCONTRADO","CODIGO NO EXISTE",IF(COUNTIF($D$2:D967,D967)&gt;1,"DUPLICADO",IF(C967="","OK SIN PEDIDO",IF(COUNTIFS(PEDIDO_ITEMS!$A$2:$A$501,C967,PEDIDO_ITEMS!$B$2:$B$501,E967)=0,"NO PEDIDO",IF(COUNTIFS($C$2:C967,C967,$E$2:E967,E967)&gt;SUMIFS(PEDIDO_ITEMS!$C$2:$C$501,PEDIDO_ITEMS!$A$2:$A$501,C967,PEDIDO_ITEMS!$B$2:$B$501,E967),"EXCEDE PEDIDO","OK"))))))</f>
        <v/>
      </c>
    </row>
    <row r="968">
      <c r="A968" s="9" t="inlineStr"/>
      <c r="B968" s="2" t="inlineStr"/>
      <c r="C968" s="2" t="inlineStr"/>
      <c r="D968" s="2" t="inlineStr"/>
      <c r="E968" s="2">
        <f>IF(D968="","",IFERROR(XLOOKUP(TRIM(D968),INVENTARIO!$A$2:$A$2000,INVENTARIO!$B$2:$B$2000),"NO ENCONTRADO"))</f>
        <v/>
      </c>
      <c r="F968" s="2">
        <f>IF(D968="","",IFERROR(XLOOKUP(TRIM(D968),INVENTARIO!$A$2:$A$2000,INVENTARIO!$C$2:$C$2000),""))</f>
        <v/>
      </c>
      <c r="G968" s="2">
        <f>IF(D968="","",IF(E968="NO ENCONTRADO","CODIGO NO EXISTE",IF(COUNTIF($D$2:D968,D968)&gt;1,"DUPLICADO",IF(C968="","OK SIN PEDIDO",IF(COUNTIFS(PEDIDO_ITEMS!$A$2:$A$501,C968,PEDIDO_ITEMS!$B$2:$B$501,E968)=0,"NO PEDIDO",IF(COUNTIFS($C$2:C968,C968,$E$2:E968,E968)&gt;SUMIFS(PEDIDO_ITEMS!$C$2:$C$501,PEDIDO_ITEMS!$A$2:$A$501,C968,PEDIDO_ITEMS!$B$2:$B$501,E968),"EXCEDE PEDIDO","OK"))))))</f>
        <v/>
      </c>
    </row>
    <row r="969">
      <c r="A969" s="9" t="inlineStr"/>
      <c r="B969" s="2" t="inlineStr"/>
      <c r="C969" s="2" t="inlineStr"/>
      <c r="D969" s="2" t="inlineStr"/>
      <c r="E969" s="2">
        <f>IF(D969="","",IFERROR(XLOOKUP(TRIM(D969),INVENTARIO!$A$2:$A$2000,INVENTARIO!$B$2:$B$2000),"NO ENCONTRADO"))</f>
        <v/>
      </c>
      <c r="F969" s="2">
        <f>IF(D969="","",IFERROR(XLOOKUP(TRIM(D969),INVENTARIO!$A$2:$A$2000,INVENTARIO!$C$2:$C$2000),""))</f>
        <v/>
      </c>
      <c r="G969" s="2">
        <f>IF(D969="","",IF(E969="NO ENCONTRADO","CODIGO NO EXISTE",IF(COUNTIF($D$2:D969,D969)&gt;1,"DUPLICADO",IF(C969="","OK SIN PEDIDO",IF(COUNTIFS(PEDIDO_ITEMS!$A$2:$A$501,C969,PEDIDO_ITEMS!$B$2:$B$501,E969)=0,"NO PEDIDO",IF(COUNTIFS($C$2:C969,C969,$E$2:E969,E969)&gt;SUMIFS(PEDIDO_ITEMS!$C$2:$C$501,PEDIDO_ITEMS!$A$2:$A$501,C969,PEDIDO_ITEMS!$B$2:$B$501,E969),"EXCEDE PEDIDO","OK"))))))</f>
        <v/>
      </c>
    </row>
    <row r="970">
      <c r="A970" s="9" t="inlineStr"/>
      <c r="B970" s="2" t="inlineStr"/>
      <c r="C970" s="2" t="inlineStr"/>
      <c r="D970" s="2" t="inlineStr"/>
      <c r="E970" s="2">
        <f>IF(D970="","",IFERROR(XLOOKUP(TRIM(D970),INVENTARIO!$A$2:$A$2000,INVENTARIO!$B$2:$B$2000),"NO ENCONTRADO"))</f>
        <v/>
      </c>
      <c r="F970" s="2">
        <f>IF(D970="","",IFERROR(XLOOKUP(TRIM(D970),INVENTARIO!$A$2:$A$2000,INVENTARIO!$C$2:$C$2000),""))</f>
        <v/>
      </c>
      <c r="G970" s="2">
        <f>IF(D970="","",IF(E970="NO ENCONTRADO","CODIGO NO EXISTE",IF(COUNTIF($D$2:D970,D970)&gt;1,"DUPLICADO",IF(C970="","OK SIN PEDIDO",IF(COUNTIFS(PEDIDO_ITEMS!$A$2:$A$501,C970,PEDIDO_ITEMS!$B$2:$B$501,E970)=0,"NO PEDIDO",IF(COUNTIFS($C$2:C970,C970,$E$2:E970,E970)&gt;SUMIFS(PEDIDO_ITEMS!$C$2:$C$501,PEDIDO_ITEMS!$A$2:$A$501,C970,PEDIDO_ITEMS!$B$2:$B$501,E970),"EXCEDE PEDIDO","OK"))))))</f>
        <v/>
      </c>
    </row>
    <row r="971">
      <c r="A971" s="9" t="inlineStr"/>
      <c r="B971" s="2" t="inlineStr"/>
      <c r="C971" s="2" t="inlineStr"/>
      <c r="D971" s="2" t="inlineStr"/>
      <c r="E971" s="2">
        <f>IF(D971="","",IFERROR(XLOOKUP(TRIM(D971),INVENTARIO!$A$2:$A$2000,INVENTARIO!$B$2:$B$2000),"NO ENCONTRADO"))</f>
        <v/>
      </c>
      <c r="F971" s="2">
        <f>IF(D971="","",IFERROR(XLOOKUP(TRIM(D971),INVENTARIO!$A$2:$A$2000,INVENTARIO!$C$2:$C$2000),""))</f>
        <v/>
      </c>
      <c r="G971" s="2">
        <f>IF(D971="","",IF(E971="NO ENCONTRADO","CODIGO NO EXISTE",IF(COUNTIF($D$2:D971,D971)&gt;1,"DUPLICADO",IF(C971="","OK SIN PEDIDO",IF(COUNTIFS(PEDIDO_ITEMS!$A$2:$A$501,C971,PEDIDO_ITEMS!$B$2:$B$501,E971)=0,"NO PEDIDO",IF(COUNTIFS($C$2:C971,C971,$E$2:E971,E971)&gt;SUMIFS(PEDIDO_ITEMS!$C$2:$C$501,PEDIDO_ITEMS!$A$2:$A$501,C971,PEDIDO_ITEMS!$B$2:$B$501,E971),"EXCEDE PEDIDO","OK"))))))</f>
        <v/>
      </c>
    </row>
    <row r="972">
      <c r="A972" s="9" t="inlineStr"/>
      <c r="B972" s="2" t="inlineStr"/>
      <c r="C972" s="2" t="inlineStr"/>
      <c r="D972" s="2" t="inlineStr"/>
      <c r="E972" s="2">
        <f>IF(D972="","",IFERROR(XLOOKUP(TRIM(D972),INVENTARIO!$A$2:$A$2000,INVENTARIO!$B$2:$B$2000),"NO ENCONTRADO"))</f>
        <v/>
      </c>
      <c r="F972" s="2">
        <f>IF(D972="","",IFERROR(XLOOKUP(TRIM(D972),INVENTARIO!$A$2:$A$2000,INVENTARIO!$C$2:$C$2000),""))</f>
        <v/>
      </c>
      <c r="G972" s="2">
        <f>IF(D972="","",IF(E972="NO ENCONTRADO","CODIGO NO EXISTE",IF(COUNTIF($D$2:D972,D972)&gt;1,"DUPLICADO",IF(C972="","OK SIN PEDIDO",IF(COUNTIFS(PEDIDO_ITEMS!$A$2:$A$501,C972,PEDIDO_ITEMS!$B$2:$B$501,E972)=0,"NO PEDIDO",IF(COUNTIFS($C$2:C972,C972,$E$2:E972,E972)&gt;SUMIFS(PEDIDO_ITEMS!$C$2:$C$501,PEDIDO_ITEMS!$A$2:$A$501,C972,PEDIDO_ITEMS!$B$2:$B$501,E972),"EXCEDE PEDIDO","OK"))))))</f>
        <v/>
      </c>
    </row>
    <row r="973">
      <c r="A973" s="9" t="inlineStr"/>
      <c r="B973" s="2" t="inlineStr"/>
      <c r="C973" s="2" t="inlineStr"/>
      <c r="D973" s="2" t="inlineStr"/>
      <c r="E973" s="2">
        <f>IF(D973="","",IFERROR(XLOOKUP(TRIM(D973),INVENTARIO!$A$2:$A$2000,INVENTARIO!$B$2:$B$2000),"NO ENCONTRADO"))</f>
        <v/>
      </c>
      <c r="F973" s="2">
        <f>IF(D973="","",IFERROR(XLOOKUP(TRIM(D973),INVENTARIO!$A$2:$A$2000,INVENTARIO!$C$2:$C$2000),""))</f>
        <v/>
      </c>
      <c r="G973" s="2">
        <f>IF(D973="","",IF(E973="NO ENCONTRADO","CODIGO NO EXISTE",IF(COUNTIF($D$2:D973,D973)&gt;1,"DUPLICADO",IF(C973="","OK SIN PEDIDO",IF(COUNTIFS(PEDIDO_ITEMS!$A$2:$A$501,C973,PEDIDO_ITEMS!$B$2:$B$501,E973)=0,"NO PEDIDO",IF(COUNTIFS($C$2:C973,C973,$E$2:E973,E973)&gt;SUMIFS(PEDIDO_ITEMS!$C$2:$C$501,PEDIDO_ITEMS!$A$2:$A$501,C973,PEDIDO_ITEMS!$B$2:$B$501,E973),"EXCEDE PEDIDO","OK"))))))</f>
        <v/>
      </c>
    </row>
    <row r="974">
      <c r="A974" s="9" t="inlineStr"/>
      <c r="B974" s="2" t="inlineStr"/>
      <c r="C974" s="2" t="inlineStr"/>
      <c r="D974" s="2" t="inlineStr"/>
      <c r="E974" s="2">
        <f>IF(D974="","",IFERROR(XLOOKUP(TRIM(D974),INVENTARIO!$A$2:$A$2000,INVENTARIO!$B$2:$B$2000),"NO ENCONTRADO"))</f>
        <v/>
      </c>
      <c r="F974" s="2">
        <f>IF(D974="","",IFERROR(XLOOKUP(TRIM(D974),INVENTARIO!$A$2:$A$2000,INVENTARIO!$C$2:$C$2000),""))</f>
        <v/>
      </c>
      <c r="G974" s="2">
        <f>IF(D974="","",IF(E974="NO ENCONTRADO","CODIGO NO EXISTE",IF(COUNTIF($D$2:D974,D974)&gt;1,"DUPLICADO",IF(C974="","OK SIN PEDIDO",IF(COUNTIFS(PEDIDO_ITEMS!$A$2:$A$501,C974,PEDIDO_ITEMS!$B$2:$B$501,E974)=0,"NO PEDIDO",IF(COUNTIFS($C$2:C974,C974,$E$2:E974,E974)&gt;SUMIFS(PEDIDO_ITEMS!$C$2:$C$501,PEDIDO_ITEMS!$A$2:$A$501,C974,PEDIDO_ITEMS!$B$2:$B$501,E974),"EXCEDE PEDIDO","OK"))))))</f>
        <v/>
      </c>
    </row>
    <row r="975">
      <c r="A975" s="9" t="inlineStr"/>
      <c r="B975" s="2" t="inlineStr"/>
      <c r="C975" s="2" t="inlineStr"/>
      <c r="D975" s="2" t="inlineStr"/>
      <c r="E975" s="2">
        <f>IF(D975="","",IFERROR(XLOOKUP(TRIM(D975),INVENTARIO!$A$2:$A$2000,INVENTARIO!$B$2:$B$2000),"NO ENCONTRADO"))</f>
        <v/>
      </c>
      <c r="F975" s="2">
        <f>IF(D975="","",IFERROR(XLOOKUP(TRIM(D975),INVENTARIO!$A$2:$A$2000,INVENTARIO!$C$2:$C$2000),""))</f>
        <v/>
      </c>
      <c r="G975" s="2">
        <f>IF(D975="","",IF(E975="NO ENCONTRADO","CODIGO NO EXISTE",IF(COUNTIF($D$2:D975,D975)&gt;1,"DUPLICADO",IF(C975="","OK SIN PEDIDO",IF(COUNTIFS(PEDIDO_ITEMS!$A$2:$A$501,C975,PEDIDO_ITEMS!$B$2:$B$501,E975)=0,"NO PEDIDO",IF(COUNTIFS($C$2:C975,C975,$E$2:E975,E975)&gt;SUMIFS(PEDIDO_ITEMS!$C$2:$C$501,PEDIDO_ITEMS!$A$2:$A$501,C975,PEDIDO_ITEMS!$B$2:$B$501,E975),"EXCEDE PEDIDO","OK"))))))</f>
        <v/>
      </c>
    </row>
    <row r="976">
      <c r="A976" s="9" t="inlineStr"/>
      <c r="B976" s="2" t="inlineStr"/>
      <c r="C976" s="2" t="inlineStr"/>
      <c r="D976" s="2" t="inlineStr"/>
      <c r="E976" s="2">
        <f>IF(D976="","",IFERROR(XLOOKUP(TRIM(D976),INVENTARIO!$A$2:$A$2000,INVENTARIO!$B$2:$B$2000),"NO ENCONTRADO"))</f>
        <v/>
      </c>
      <c r="F976" s="2">
        <f>IF(D976="","",IFERROR(XLOOKUP(TRIM(D976),INVENTARIO!$A$2:$A$2000,INVENTARIO!$C$2:$C$2000),""))</f>
        <v/>
      </c>
      <c r="G976" s="2">
        <f>IF(D976="","",IF(E976="NO ENCONTRADO","CODIGO NO EXISTE",IF(COUNTIF($D$2:D976,D976)&gt;1,"DUPLICADO",IF(C976="","OK SIN PEDIDO",IF(COUNTIFS(PEDIDO_ITEMS!$A$2:$A$501,C976,PEDIDO_ITEMS!$B$2:$B$501,E976)=0,"NO PEDIDO",IF(COUNTIFS($C$2:C976,C976,$E$2:E976,E976)&gt;SUMIFS(PEDIDO_ITEMS!$C$2:$C$501,PEDIDO_ITEMS!$A$2:$A$501,C976,PEDIDO_ITEMS!$B$2:$B$501,E976),"EXCEDE PEDIDO","OK"))))))</f>
        <v/>
      </c>
    </row>
    <row r="977">
      <c r="A977" s="9" t="inlineStr"/>
      <c r="B977" s="2" t="inlineStr"/>
      <c r="C977" s="2" t="inlineStr"/>
      <c r="D977" s="2" t="inlineStr"/>
      <c r="E977" s="2">
        <f>IF(D977="","",IFERROR(XLOOKUP(TRIM(D977),INVENTARIO!$A$2:$A$2000,INVENTARIO!$B$2:$B$2000),"NO ENCONTRADO"))</f>
        <v/>
      </c>
      <c r="F977" s="2">
        <f>IF(D977="","",IFERROR(XLOOKUP(TRIM(D977),INVENTARIO!$A$2:$A$2000,INVENTARIO!$C$2:$C$2000),""))</f>
        <v/>
      </c>
      <c r="G977" s="2">
        <f>IF(D977="","",IF(E977="NO ENCONTRADO","CODIGO NO EXISTE",IF(COUNTIF($D$2:D977,D977)&gt;1,"DUPLICADO",IF(C977="","OK SIN PEDIDO",IF(COUNTIFS(PEDIDO_ITEMS!$A$2:$A$501,C977,PEDIDO_ITEMS!$B$2:$B$501,E977)=0,"NO PEDIDO",IF(COUNTIFS($C$2:C977,C977,$E$2:E977,E977)&gt;SUMIFS(PEDIDO_ITEMS!$C$2:$C$501,PEDIDO_ITEMS!$A$2:$A$501,C977,PEDIDO_ITEMS!$B$2:$B$501,E977),"EXCEDE PEDIDO","OK"))))))</f>
        <v/>
      </c>
    </row>
    <row r="978">
      <c r="A978" s="9" t="inlineStr"/>
      <c r="B978" s="2" t="inlineStr"/>
      <c r="C978" s="2" t="inlineStr"/>
      <c r="D978" s="2" t="inlineStr"/>
      <c r="E978" s="2">
        <f>IF(D978="","",IFERROR(XLOOKUP(TRIM(D978),INVENTARIO!$A$2:$A$2000,INVENTARIO!$B$2:$B$2000),"NO ENCONTRADO"))</f>
        <v/>
      </c>
      <c r="F978" s="2">
        <f>IF(D978="","",IFERROR(XLOOKUP(TRIM(D978),INVENTARIO!$A$2:$A$2000,INVENTARIO!$C$2:$C$2000),""))</f>
        <v/>
      </c>
      <c r="G978" s="2">
        <f>IF(D978="","",IF(E978="NO ENCONTRADO","CODIGO NO EXISTE",IF(COUNTIF($D$2:D978,D978)&gt;1,"DUPLICADO",IF(C978="","OK SIN PEDIDO",IF(COUNTIFS(PEDIDO_ITEMS!$A$2:$A$501,C978,PEDIDO_ITEMS!$B$2:$B$501,E978)=0,"NO PEDIDO",IF(COUNTIFS($C$2:C978,C978,$E$2:E978,E978)&gt;SUMIFS(PEDIDO_ITEMS!$C$2:$C$501,PEDIDO_ITEMS!$A$2:$A$501,C978,PEDIDO_ITEMS!$B$2:$B$501,E978),"EXCEDE PEDIDO","OK"))))))</f>
        <v/>
      </c>
    </row>
    <row r="979">
      <c r="A979" s="9" t="inlineStr"/>
      <c r="B979" s="2" t="inlineStr"/>
      <c r="C979" s="2" t="inlineStr"/>
      <c r="D979" s="2" t="inlineStr"/>
      <c r="E979" s="2">
        <f>IF(D979="","",IFERROR(XLOOKUP(TRIM(D979),INVENTARIO!$A$2:$A$2000,INVENTARIO!$B$2:$B$2000),"NO ENCONTRADO"))</f>
        <v/>
      </c>
      <c r="F979" s="2">
        <f>IF(D979="","",IFERROR(XLOOKUP(TRIM(D979),INVENTARIO!$A$2:$A$2000,INVENTARIO!$C$2:$C$2000),""))</f>
        <v/>
      </c>
      <c r="G979" s="2">
        <f>IF(D979="","",IF(E979="NO ENCONTRADO","CODIGO NO EXISTE",IF(COUNTIF($D$2:D979,D979)&gt;1,"DUPLICADO",IF(C979="","OK SIN PEDIDO",IF(COUNTIFS(PEDIDO_ITEMS!$A$2:$A$501,C979,PEDIDO_ITEMS!$B$2:$B$501,E979)=0,"NO PEDIDO",IF(COUNTIFS($C$2:C979,C979,$E$2:E979,E979)&gt;SUMIFS(PEDIDO_ITEMS!$C$2:$C$501,PEDIDO_ITEMS!$A$2:$A$501,C979,PEDIDO_ITEMS!$B$2:$B$501,E979),"EXCEDE PEDIDO","OK"))))))</f>
        <v/>
      </c>
    </row>
    <row r="980">
      <c r="A980" s="9" t="inlineStr"/>
      <c r="B980" s="2" t="inlineStr"/>
      <c r="C980" s="2" t="inlineStr"/>
      <c r="D980" s="2" t="inlineStr"/>
      <c r="E980" s="2">
        <f>IF(D980="","",IFERROR(XLOOKUP(TRIM(D980),INVENTARIO!$A$2:$A$2000,INVENTARIO!$B$2:$B$2000),"NO ENCONTRADO"))</f>
        <v/>
      </c>
      <c r="F980" s="2">
        <f>IF(D980="","",IFERROR(XLOOKUP(TRIM(D980),INVENTARIO!$A$2:$A$2000,INVENTARIO!$C$2:$C$2000),""))</f>
        <v/>
      </c>
      <c r="G980" s="2">
        <f>IF(D980="","",IF(E980="NO ENCONTRADO","CODIGO NO EXISTE",IF(COUNTIF($D$2:D980,D980)&gt;1,"DUPLICADO",IF(C980="","OK SIN PEDIDO",IF(COUNTIFS(PEDIDO_ITEMS!$A$2:$A$501,C980,PEDIDO_ITEMS!$B$2:$B$501,E980)=0,"NO PEDIDO",IF(COUNTIFS($C$2:C980,C980,$E$2:E980,E980)&gt;SUMIFS(PEDIDO_ITEMS!$C$2:$C$501,PEDIDO_ITEMS!$A$2:$A$501,C980,PEDIDO_ITEMS!$B$2:$B$501,E980),"EXCEDE PEDIDO","OK"))))))</f>
        <v/>
      </c>
    </row>
    <row r="981">
      <c r="A981" s="9" t="inlineStr"/>
      <c r="B981" s="2" t="inlineStr"/>
      <c r="C981" s="2" t="inlineStr"/>
      <c r="D981" s="2" t="inlineStr"/>
      <c r="E981" s="2">
        <f>IF(D981="","",IFERROR(XLOOKUP(TRIM(D981),INVENTARIO!$A$2:$A$2000,INVENTARIO!$B$2:$B$2000),"NO ENCONTRADO"))</f>
        <v/>
      </c>
      <c r="F981" s="2">
        <f>IF(D981="","",IFERROR(XLOOKUP(TRIM(D981),INVENTARIO!$A$2:$A$2000,INVENTARIO!$C$2:$C$2000),""))</f>
        <v/>
      </c>
      <c r="G981" s="2">
        <f>IF(D981="","",IF(E981="NO ENCONTRADO","CODIGO NO EXISTE",IF(COUNTIF($D$2:D981,D981)&gt;1,"DUPLICADO",IF(C981="","OK SIN PEDIDO",IF(COUNTIFS(PEDIDO_ITEMS!$A$2:$A$501,C981,PEDIDO_ITEMS!$B$2:$B$501,E981)=0,"NO PEDIDO",IF(COUNTIFS($C$2:C981,C981,$E$2:E981,E981)&gt;SUMIFS(PEDIDO_ITEMS!$C$2:$C$501,PEDIDO_ITEMS!$A$2:$A$501,C981,PEDIDO_ITEMS!$B$2:$B$501,E981),"EXCEDE PEDIDO","OK"))))))</f>
        <v/>
      </c>
    </row>
    <row r="982">
      <c r="A982" s="9" t="inlineStr"/>
      <c r="B982" s="2" t="inlineStr"/>
      <c r="C982" s="2" t="inlineStr"/>
      <c r="D982" s="2" t="inlineStr"/>
      <c r="E982" s="2">
        <f>IF(D982="","",IFERROR(XLOOKUP(TRIM(D982),INVENTARIO!$A$2:$A$2000,INVENTARIO!$B$2:$B$2000),"NO ENCONTRADO"))</f>
        <v/>
      </c>
      <c r="F982" s="2">
        <f>IF(D982="","",IFERROR(XLOOKUP(TRIM(D982),INVENTARIO!$A$2:$A$2000,INVENTARIO!$C$2:$C$2000),""))</f>
        <v/>
      </c>
      <c r="G982" s="2">
        <f>IF(D982="","",IF(E982="NO ENCONTRADO","CODIGO NO EXISTE",IF(COUNTIF($D$2:D982,D982)&gt;1,"DUPLICADO",IF(C982="","OK SIN PEDIDO",IF(COUNTIFS(PEDIDO_ITEMS!$A$2:$A$501,C982,PEDIDO_ITEMS!$B$2:$B$501,E982)=0,"NO PEDIDO",IF(COUNTIFS($C$2:C982,C982,$E$2:E982,E982)&gt;SUMIFS(PEDIDO_ITEMS!$C$2:$C$501,PEDIDO_ITEMS!$A$2:$A$501,C982,PEDIDO_ITEMS!$B$2:$B$501,E982),"EXCEDE PEDIDO","OK"))))))</f>
        <v/>
      </c>
    </row>
    <row r="983">
      <c r="A983" s="9" t="inlineStr"/>
      <c r="B983" s="2" t="inlineStr"/>
      <c r="C983" s="2" t="inlineStr"/>
      <c r="D983" s="2" t="inlineStr"/>
      <c r="E983" s="2">
        <f>IF(D983="","",IFERROR(XLOOKUP(TRIM(D983),INVENTARIO!$A$2:$A$2000,INVENTARIO!$B$2:$B$2000),"NO ENCONTRADO"))</f>
        <v/>
      </c>
      <c r="F983" s="2">
        <f>IF(D983="","",IFERROR(XLOOKUP(TRIM(D983),INVENTARIO!$A$2:$A$2000,INVENTARIO!$C$2:$C$2000),""))</f>
        <v/>
      </c>
      <c r="G983" s="2">
        <f>IF(D983="","",IF(E983="NO ENCONTRADO","CODIGO NO EXISTE",IF(COUNTIF($D$2:D983,D983)&gt;1,"DUPLICADO",IF(C983="","OK SIN PEDIDO",IF(COUNTIFS(PEDIDO_ITEMS!$A$2:$A$501,C983,PEDIDO_ITEMS!$B$2:$B$501,E983)=0,"NO PEDIDO",IF(COUNTIFS($C$2:C983,C983,$E$2:E983,E983)&gt;SUMIFS(PEDIDO_ITEMS!$C$2:$C$501,PEDIDO_ITEMS!$A$2:$A$501,C983,PEDIDO_ITEMS!$B$2:$B$501,E983),"EXCEDE PEDIDO","OK"))))))</f>
        <v/>
      </c>
    </row>
    <row r="984">
      <c r="A984" s="9" t="inlineStr"/>
      <c r="B984" s="2" t="inlineStr"/>
      <c r="C984" s="2" t="inlineStr"/>
      <c r="D984" s="2" t="inlineStr"/>
      <c r="E984" s="2">
        <f>IF(D984="","",IFERROR(XLOOKUP(TRIM(D984),INVENTARIO!$A$2:$A$2000,INVENTARIO!$B$2:$B$2000),"NO ENCONTRADO"))</f>
        <v/>
      </c>
      <c r="F984" s="2">
        <f>IF(D984="","",IFERROR(XLOOKUP(TRIM(D984),INVENTARIO!$A$2:$A$2000,INVENTARIO!$C$2:$C$2000),""))</f>
        <v/>
      </c>
      <c r="G984" s="2">
        <f>IF(D984="","",IF(E984="NO ENCONTRADO","CODIGO NO EXISTE",IF(COUNTIF($D$2:D984,D984)&gt;1,"DUPLICADO",IF(C984="","OK SIN PEDIDO",IF(COUNTIFS(PEDIDO_ITEMS!$A$2:$A$501,C984,PEDIDO_ITEMS!$B$2:$B$501,E984)=0,"NO PEDIDO",IF(COUNTIFS($C$2:C984,C984,$E$2:E984,E984)&gt;SUMIFS(PEDIDO_ITEMS!$C$2:$C$501,PEDIDO_ITEMS!$A$2:$A$501,C984,PEDIDO_ITEMS!$B$2:$B$501,E984),"EXCEDE PEDIDO","OK"))))))</f>
        <v/>
      </c>
    </row>
    <row r="985">
      <c r="A985" s="9" t="inlineStr"/>
      <c r="B985" s="2" t="inlineStr"/>
      <c r="C985" s="2" t="inlineStr"/>
      <c r="D985" s="2" t="inlineStr"/>
      <c r="E985" s="2">
        <f>IF(D985="","",IFERROR(XLOOKUP(TRIM(D985),INVENTARIO!$A$2:$A$2000,INVENTARIO!$B$2:$B$2000),"NO ENCONTRADO"))</f>
        <v/>
      </c>
      <c r="F985" s="2">
        <f>IF(D985="","",IFERROR(XLOOKUP(TRIM(D985),INVENTARIO!$A$2:$A$2000,INVENTARIO!$C$2:$C$2000),""))</f>
        <v/>
      </c>
      <c r="G985" s="2">
        <f>IF(D985="","",IF(E985="NO ENCONTRADO","CODIGO NO EXISTE",IF(COUNTIF($D$2:D985,D985)&gt;1,"DUPLICADO",IF(C985="","OK SIN PEDIDO",IF(COUNTIFS(PEDIDO_ITEMS!$A$2:$A$501,C985,PEDIDO_ITEMS!$B$2:$B$501,E985)=0,"NO PEDIDO",IF(COUNTIFS($C$2:C985,C985,$E$2:E985,E985)&gt;SUMIFS(PEDIDO_ITEMS!$C$2:$C$501,PEDIDO_ITEMS!$A$2:$A$501,C985,PEDIDO_ITEMS!$B$2:$B$501,E985),"EXCEDE PEDIDO","OK"))))))</f>
        <v/>
      </c>
    </row>
    <row r="986">
      <c r="A986" s="9" t="inlineStr"/>
      <c r="B986" s="2" t="inlineStr"/>
      <c r="C986" s="2" t="inlineStr"/>
      <c r="D986" s="2" t="inlineStr"/>
      <c r="E986" s="2">
        <f>IF(D986="","",IFERROR(XLOOKUP(TRIM(D986),INVENTARIO!$A$2:$A$2000,INVENTARIO!$B$2:$B$2000),"NO ENCONTRADO"))</f>
        <v/>
      </c>
      <c r="F986" s="2">
        <f>IF(D986="","",IFERROR(XLOOKUP(TRIM(D986),INVENTARIO!$A$2:$A$2000,INVENTARIO!$C$2:$C$2000),""))</f>
        <v/>
      </c>
      <c r="G986" s="2">
        <f>IF(D986="","",IF(E986="NO ENCONTRADO","CODIGO NO EXISTE",IF(COUNTIF($D$2:D986,D986)&gt;1,"DUPLICADO",IF(C986="","OK SIN PEDIDO",IF(COUNTIFS(PEDIDO_ITEMS!$A$2:$A$501,C986,PEDIDO_ITEMS!$B$2:$B$501,E986)=0,"NO PEDIDO",IF(COUNTIFS($C$2:C986,C986,$E$2:E986,E986)&gt;SUMIFS(PEDIDO_ITEMS!$C$2:$C$501,PEDIDO_ITEMS!$A$2:$A$501,C986,PEDIDO_ITEMS!$B$2:$B$501,E986),"EXCEDE PEDIDO","OK"))))))</f>
        <v/>
      </c>
    </row>
    <row r="987">
      <c r="A987" s="9" t="inlineStr"/>
      <c r="B987" s="2" t="inlineStr"/>
      <c r="C987" s="2" t="inlineStr"/>
      <c r="D987" s="2" t="inlineStr"/>
      <c r="E987" s="2">
        <f>IF(D987="","",IFERROR(XLOOKUP(TRIM(D987),INVENTARIO!$A$2:$A$2000,INVENTARIO!$B$2:$B$2000),"NO ENCONTRADO"))</f>
        <v/>
      </c>
      <c r="F987" s="2">
        <f>IF(D987="","",IFERROR(XLOOKUP(TRIM(D987),INVENTARIO!$A$2:$A$2000,INVENTARIO!$C$2:$C$2000),""))</f>
        <v/>
      </c>
      <c r="G987" s="2">
        <f>IF(D987="","",IF(E987="NO ENCONTRADO","CODIGO NO EXISTE",IF(COUNTIF($D$2:D987,D987)&gt;1,"DUPLICADO",IF(C987="","OK SIN PEDIDO",IF(COUNTIFS(PEDIDO_ITEMS!$A$2:$A$501,C987,PEDIDO_ITEMS!$B$2:$B$501,E987)=0,"NO PEDIDO",IF(COUNTIFS($C$2:C987,C987,$E$2:E987,E987)&gt;SUMIFS(PEDIDO_ITEMS!$C$2:$C$501,PEDIDO_ITEMS!$A$2:$A$501,C987,PEDIDO_ITEMS!$B$2:$B$501,E987),"EXCEDE PEDIDO","OK"))))))</f>
        <v/>
      </c>
    </row>
    <row r="988">
      <c r="A988" s="9" t="inlineStr"/>
      <c r="B988" s="2" t="inlineStr"/>
      <c r="C988" s="2" t="inlineStr"/>
      <c r="D988" s="2" t="inlineStr"/>
      <c r="E988" s="2">
        <f>IF(D988="","",IFERROR(XLOOKUP(TRIM(D988),INVENTARIO!$A$2:$A$2000,INVENTARIO!$B$2:$B$2000),"NO ENCONTRADO"))</f>
        <v/>
      </c>
      <c r="F988" s="2">
        <f>IF(D988="","",IFERROR(XLOOKUP(TRIM(D988),INVENTARIO!$A$2:$A$2000,INVENTARIO!$C$2:$C$2000),""))</f>
        <v/>
      </c>
      <c r="G988" s="2">
        <f>IF(D988="","",IF(E988="NO ENCONTRADO","CODIGO NO EXISTE",IF(COUNTIF($D$2:D988,D988)&gt;1,"DUPLICADO",IF(C988="","OK SIN PEDIDO",IF(COUNTIFS(PEDIDO_ITEMS!$A$2:$A$501,C988,PEDIDO_ITEMS!$B$2:$B$501,E988)=0,"NO PEDIDO",IF(COUNTIFS($C$2:C988,C988,$E$2:E988,E988)&gt;SUMIFS(PEDIDO_ITEMS!$C$2:$C$501,PEDIDO_ITEMS!$A$2:$A$501,C988,PEDIDO_ITEMS!$B$2:$B$501,E988),"EXCEDE PEDIDO","OK"))))))</f>
        <v/>
      </c>
    </row>
    <row r="989">
      <c r="A989" s="9" t="inlineStr"/>
      <c r="B989" s="2" t="inlineStr"/>
      <c r="C989" s="2" t="inlineStr"/>
      <c r="D989" s="2" t="inlineStr"/>
      <c r="E989" s="2">
        <f>IF(D989="","",IFERROR(XLOOKUP(TRIM(D989),INVENTARIO!$A$2:$A$2000,INVENTARIO!$B$2:$B$2000),"NO ENCONTRADO"))</f>
        <v/>
      </c>
      <c r="F989" s="2">
        <f>IF(D989="","",IFERROR(XLOOKUP(TRIM(D989),INVENTARIO!$A$2:$A$2000,INVENTARIO!$C$2:$C$2000),""))</f>
        <v/>
      </c>
      <c r="G989" s="2">
        <f>IF(D989="","",IF(E989="NO ENCONTRADO","CODIGO NO EXISTE",IF(COUNTIF($D$2:D989,D989)&gt;1,"DUPLICADO",IF(C989="","OK SIN PEDIDO",IF(COUNTIFS(PEDIDO_ITEMS!$A$2:$A$501,C989,PEDIDO_ITEMS!$B$2:$B$501,E989)=0,"NO PEDIDO",IF(COUNTIFS($C$2:C989,C989,$E$2:E989,E989)&gt;SUMIFS(PEDIDO_ITEMS!$C$2:$C$501,PEDIDO_ITEMS!$A$2:$A$501,C989,PEDIDO_ITEMS!$B$2:$B$501,E989),"EXCEDE PEDIDO","OK"))))))</f>
        <v/>
      </c>
    </row>
    <row r="990">
      <c r="A990" s="9" t="inlineStr"/>
      <c r="B990" s="2" t="inlineStr"/>
      <c r="C990" s="2" t="inlineStr"/>
      <c r="D990" s="2" t="inlineStr"/>
      <c r="E990" s="2">
        <f>IF(D990="","",IFERROR(XLOOKUP(TRIM(D990),INVENTARIO!$A$2:$A$2000,INVENTARIO!$B$2:$B$2000),"NO ENCONTRADO"))</f>
        <v/>
      </c>
      <c r="F990" s="2">
        <f>IF(D990="","",IFERROR(XLOOKUP(TRIM(D990),INVENTARIO!$A$2:$A$2000,INVENTARIO!$C$2:$C$2000),""))</f>
        <v/>
      </c>
      <c r="G990" s="2">
        <f>IF(D990="","",IF(E990="NO ENCONTRADO","CODIGO NO EXISTE",IF(COUNTIF($D$2:D990,D990)&gt;1,"DUPLICADO",IF(C990="","OK SIN PEDIDO",IF(COUNTIFS(PEDIDO_ITEMS!$A$2:$A$501,C990,PEDIDO_ITEMS!$B$2:$B$501,E990)=0,"NO PEDIDO",IF(COUNTIFS($C$2:C990,C990,$E$2:E990,E990)&gt;SUMIFS(PEDIDO_ITEMS!$C$2:$C$501,PEDIDO_ITEMS!$A$2:$A$501,C990,PEDIDO_ITEMS!$B$2:$B$501,E990),"EXCEDE PEDIDO","OK"))))))</f>
        <v/>
      </c>
    </row>
    <row r="991">
      <c r="A991" s="9" t="inlineStr"/>
      <c r="B991" s="2" t="inlineStr"/>
      <c r="C991" s="2" t="inlineStr"/>
      <c r="D991" s="2" t="inlineStr"/>
      <c r="E991" s="2">
        <f>IF(D991="","",IFERROR(XLOOKUP(TRIM(D991),INVENTARIO!$A$2:$A$2000,INVENTARIO!$B$2:$B$2000),"NO ENCONTRADO"))</f>
        <v/>
      </c>
      <c r="F991" s="2">
        <f>IF(D991="","",IFERROR(XLOOKUP(TRIM(D991),INVENTARIO!$A$2:$A$2000,INVENTARIO!$C$2:$C$2000),""))</f>
        <v/>
      </c>
      <c r="G991" s="2">
        <f>IF(D991="","",IF(E991="NO ENCONTRADO","CODIGO NO EXISTE",IF(COUNTIF($D$2:D991,D991)&gt;1,"DUPLICADO",IF(C991="","OK SIN PEDIDO",IF(COUNTIFS(PEDIDO_ITEMS!$A$2:$A$501,C991,PEDIDO_ITEMS!$B$2:$B$501,E991)=0,"NO PEDIDO",IF(COUNTIFS($C$2:C991,C991,$E$2:E991,E991)&gt;SUMIFS(PEDIDO_ITEMS!$C$2:$C$501,PEDIDO_ITEMS!$A$2:$A$501,C991,PEDIDO_ITEMS!$B$2:$B$501,E991),"EXCEDE PEDIDO","OK"))))))</f>
        <v/>
      </c>
    </row>
    <row r="992">
      <c r="A992" s="9" t="inlineStr"/>
      <c r="B992" s="2" t="inlineStr"/>
      <c r="C992" s="2" t="inlineStr"/>
      <c r="D992" s="2" t="inlineStr"/>
      <c r="E992" s="2">
        <f>IF(D992="","",IFERROR(XLOOKUP(TRIM(D992),INVENTARIO!$A$2:$A$2000,INVENTARIO!$B$2:$B$2000),"NO ENCONTRADO"))</f>
        <v/>
      </c>
      <c r="F992" s="2">
        <f>IF(D992="","",IFERROR(XLOOKUP(TRIM(D992),INVENTARIO!$A$2:$A$2000,INVENTARIO!$C$2:$C$2000),""))</f>
        <v/>
      </c>
      <c r="G992" s="2">
        <f>IF(D992="","",IF(E992="NO ENCONTRADO","CODIGO NO EXISTE",IF(COUNTIF($D$2:D992,D992)&gt;1,"DUPLICADO",IF(C992="","OK SIN PEDIDO",IF(COUNTIFS(PEDIDO_ITEMS!$A$2:$A$501,C992,PEDIDO_ITEMS!$B$2:$B$501,E992)=0,"NO PEDIDO",IF(COUNTIFS($C$2:C992,C992,$E$2:E992,E992)&gt;SUMIFS(PEDIDO_ITEMS!$C$2:$C$501,PEDIDO_ITEMS!$A$2:$A$501,C992,PEDIDO_ITEMS!$B$2:$B$501,E992),"EXCEDE PEDIDO","OK"))))))</f>
        <v/>
      </c>
    </row>
    <row r="993">
      <c r="A993" s="9" t="inlineStr"/>
      <c r="B993" s="2" t="inlineStr"/>
      <c r="C993" s="2" t="inlineStr"/>
      <c r="D993" s="2" t="inlineStr"/>
      <c r="E993" s="2">
        <f>IF(D993="","",IFERROR(XLOOKUP(TRIM(D993),INVENTARIO!$A$2:$A$2000,INVENTARIO!$B$2:$B$2000),"NO ENCONTRADO"))</f>
        <v/>
      </c>
      <c r="F993" s="2">
        <f>IF(D993="","",IFERROR(XLOOKUP(TRIM(D993),INVENTARIO!$A$2:$A$2000,INVENTARIO!$C$2:$C$2000),""))</f>
        <v/>
      </c>
      <c r="G993" s="2">
        <f>IF(D993="","",IF(E993="NO ENCONTRADO","CODIGO NO EXISTE",IF(COUNTIF($D$2:D993,D993)&gt;1,"DUPLICADO",IF(C993="","OK SIN PEDIDO",IF(COUNTIFS(PEDIDO_ITEMS!$A$2:$A$501,C993,PEDIDO_ITEMS!$B$2:$B$501,E993)=0,"NO PEDIDO",IF(COUNTIFS($C$2:C993,C993,$E$2:E993,E993)&gt;SUMIFS(PEDIDO_ITEMS!$C$2:$C$501,PEDIDO_ITEMS!$A$2:$A$501,C993,PEDIDO_ITEMS!$B$2:$B$501,E993),"EXCEDE PEDIDO","OK"))))))</f>
        <v/>
      </c>
    </row>
    <row r="994">
      <c r="A994" s="9" t="inlineStr"/>
      <c r="B994" s="2" t="inlineStr"/>
      <c r="C994" s="2" t="inlineStr"/>
      <c r="D994" s="2" t="inlineStr"/>
      <c r="E994" s="2">
        <f>IF(D994="","",IFERROR(XLOOKUP(TRIM(D994),INVENTARIO!$A$2:$A$2000,INVENTARIO!$B$2:$B$2000),"NO ENCONTRADO"))</f>
        <v/>
      </c>
      <c r="F994" s="2">
        <f>IF(D994="","",IFERROR(XLOOKUP(TRIM(D994),INVENTARIO!$A$2:$A$2000,INVENTARIO!$C$2:$C$2000),""))</f>
        <v/>
      </c>
      <c r="G994" s="2">
        <f>IF(D994="","",IF(E994="NO ENCONTRADO","CODIGO NO EXISTE",IF(COUNTIF($D$2:D994,D994)&gt;1,"DUPLICADO",IF(C994="","OK SIN PEDIDO",IF(COUNTIFS(PEDIDO_ITEMS!$A$2:$A$501,C994,PEDIDO_ITEMS!$B$2:$B$501,E994)=0,"NO PEDIDO",IF(COUNTIFS($C$2:C994,C994,$E$2:E994,E994)&gt;SUMIFS(PEDIDO_ITEMS!$C$2:$C$501,PEDIDO_ITEMS!$A$2:$A$501,C994,PEDIDO_ITEMS!$B$2:$B$501,E994),"EXCEDE PEDIDO","OK"))))))</f>
        <v/>
      </c>
    </row>
    <row r="995">
      <c r="A995" s="9" t="inlineStr"/>
      <c r="B995" s="2" t="inlineStr"/>
      <c r="C995" s="2" t="inlineStr"/>
      <c r="D995" s="2" t="inlineStr"/>
      <c r="E995" s="2">
        <f>IF(D995="","",IFERROR(XLOOKUP(TRIM(D995),INVENTARIO!$A$2:$A$2000,INVENTARIO!$B$2:$B$2000),"NO ENCONTRADO"))</f>
        <v/>
      </c>
      <c r="F995" s="2">
        <f>IF(D995="","",IFERROR(XLOOKUP(TRIM(D995),INVENTARIO!$A$2:$A$2000,INVENTARIO!$C$2:$C$2000),""))</f>
        <v/>
      </c>
      <c r="G995" s="2">
        <f>IF(D995="","",IF(E995="NO ENCONTRADO","CODIGO NO EXISTE",IF(COUNTIF($D$2:D995,D995)&gt;1,"DUPLICADO",IF(C995="","OK SIN PEDIDO",IF(COUNTIFS(PEDIDO_ITEMS!$A$2:$A$501,C995,PEDIDO_ITEMS!$B$2:$B$501,E995)=0,"NO PEDIDO",IF(COUNTIFS($C$2:C995,C995,$E$2:E995,E995)&gt;SUMIFS(PEDIDO_ITEMS!$C$2:$C$501,PEDIDO_ITEMS!$A$2:$A$501,C995,PEDIDO_ITEMS!$B$2:$B$501,E995),"EXCEDE PEDIDO","OK"))))))</f>
        <v/>
      </c>
    </row>
    <row r="996">
      <c r="A996" s="9" t="inlineStr"/>
      <c r="B996" s="2" t="inlineStr"/>
      <c r="C996" s="2" t="inlineStr"/>
      <c r="D996" s="2" t="inlineStr"/>
      <c r="E996" s="2">
        <f>IF(D996="","",IFERROR(XLOOKUP(TRIM(D996),INVENTARIO!$A$2:$A$2000,INVENTARIO!$B$2:$B$2000),"NO ENCONTRADO"))</f>
        <v/>
      </c>
      <c r="F996" s="2">
        <f>IF(D996="","",IFERROR(XLOOKUP(TRIM(D996),INVENTARIO!$A$2:$A$2000,INVENTARIO!$C$2:$C$2000),""))</f>
        <v/>
      </c>
      <c r="G996" s="2">
        <f>IF(D996="","",IF(E996="NO ENCONTRADO","CODIGO NO EXISTE",IF(COUNTIF($D$2:D996,D996)&gt;1,"DUPLICADO",IF(C996="","OK SIN PEDIDO",IF(COUNTIFS(PEDIDO_ITEMS!$A$2:$A$501,C996,PEDIDO_ITEMS!$B$2:$B$501,E996)=0,"NO PEDIDO",IF(COUNTIFS($C$2:C996,C996,$E$2:E996,E996)&gt;SUMIFS(PEDIDO_ITEMS!$C$2:$C$501,PEDIDO_ITEMS!$A$2:$A$501,C996,PEDIDO_ITEMS!$B$2:$B$501,E996),"EXCEDE PEDIDO","OK"))))))</f>
        <v/>
      </c>
    </row>
    <row r="997">
      <c r="A997" s="9" t="inlineStr"/>
      <c r="B997" s="2" t="inlineStr"/>
      <c r="C997" s="2" t="inlineStr"/>
      <c r="D997" s="2" t="inlineStr"/>
      <c r="E997" s="2">
        <f>IF(D997="","",IFERROR(XLOOKUP(TRIM(D997),INVENTARIO!$A$2:$A$2000,INVENTARIO!$B$2:$B$2000),"NO ENCONTRADO"))</f>
        <v/>
      </c>
      <c r="F997" s="2">
        <f>IF(D997="","",IFERROR(XLOOKUP(TRIM(D997),INVENTARIO!$A$2:$A$2000,INVENTARIO!$C$2:$C$2000),""))</f>
        <v/>
      </c>
      <c r="G997" s="2">
        <f>IF(D997="","",IF(E997="NO ENCONTRADO","CODIGO NO EXISTE",IF(COUNTIF($D$2:D997,D997)&gt;1,"DUPLICADO",IF(C997="","OK SIN PEDIDO",IF(COUNTIFS(PEDIDO_ITEMS!$A$2:$A$501,C997,PEDIDO_ITEMS!$B$2:$B$501,E997)=0,"NO PEDIDO",IF(COUNTIFS($C$2:C997,C997,$E$2:E997,E997)&gt;SUMIFS(PEDIDO_ITEMS!$C$2:$C$501,PEDIDO_ITEMS!$A$2:$A$501,C997,PEDIDO_ITEMS!$B$2:$B$501,E997),"EXCEDE PEDIDO","OK"))))))</f>
        <v/>
      </c>
    </row>
    <row r="998">
      <c r="A998" s="9" t="inlineStr"/>
      <c r="B998" s="2" t="inlineStr"/>
      <c r="C998" s="2" t="inlineStr"/>
      <c r="D998" s="2" t="inlineStr"/>
      <c r="E998" s="2">
        <f>IF(D998="","",IFERROR(XLOOKUP(TRIM(D998),INVENTARIO!$A$2:$A$2000,INVENTARIO!$B$2:$B$2000),"NO ENCONTRADO"))</f>
        <v/>
      </c>
      <c r="F998" s="2">
        <f>IF(D998="","",IFERROR(XLOOKUP(TRIM(D998),INVENTARIO!$A$2:$A$2000,INVENTARIO!$C$2:$C$2000),""))</f>
        <v/>
      </c>
      <c r="G998" s="2">
        <f>IF(D998="","",IF(E998="NO ENCONTRADO","CODIGO NO EXISTE",IF(COUNTIF($D$2:D998,D998)&gt;1,"DUPLICADO",IF(C998="","OK SIN PEDIDO",IF(COUNTIFS(PEDIDO_ITEMS!$A$2:$A$501,C998,PEDIDO_ITEMS!$B$2:$B$501,E998)=0,"NO PEDIDO",IF(COUNTIFS($C$2:C998,C998,$E$2:E998,E998)&gt;SUMIFS(PEDIDO_ITEMS!$C$2:$C$501,PEDIDO_ITEMS!$A$2:$A$501,C998,PEDIDO_ITEMS!$B$2:$B$501,E998),"EXCEDE PEDIDO","OK"))))))</f>
        <v/>
      </c>
    </row>
    <row r="999">
      <c r="A999" s="9" t="inlineStr"/>
      <c r="B999" s="2" t="inlineStr"/>
      <c r="C999" s="2" t="inlineStr"/>
      <c r="D999" s="2" t="inlineStr"/>
      <c r="E999" s="2">
        <f>IF(D999="","",IFERROR(XLOOKUP(TRIM(D999),INVENTARIO!$A$2:$A$2000,INVENTARIO!$B$2:$B$2000),"NO ENCONTRADO"))</f>
        <v/>
      </c>
      <c r="F999" s="2">
        <f>IF(D999="","",IFERROR(XLOOKUP(TRIM(D999),INVENTARIO!$A$2:$A$2000,INVENTARIO!$C$2:$C$2000),""))</f>
        <v/>
      </c>
      <c r="G999" s="2">
        <f>IF(D999="","",IF(E999="NO ENCONTRADO","CODIGO NO EXISTE",IF(COUNTIF($D$2:D999,D999)&gt;1,"DUPLICADO",IF(C999="","OK SIN PEDIDO",IF(COUNTIFS(PEDIDO_ITEMS!$A$2:$A$501,C999,PEDIDO_ITEMS!$B$2:$B$501,E999)=0,"NO PEDIDO",IF(COUNTIFS($C$2:C999,C999,$E$2:E999,E999)&gt;SUMIFS(PEDIDO_ITEMS!$C$2:$C$501,PEDIDO_ITEMS!$A$2:$A$501,C999,PEDIDO_ITEMS!$B$2:$B$501,E999),"EXCEDE PEDIDO","OK"))))))</f>
        <v/>
      </c>
    </row>
    <row r="1000">
      <c r="A1000" s="9" t="inlineStr"/>
      <c r="B1000" s="2" t="inlineStr"/>
      <c r="C1000" s="2" t="inlineStr"/>
      <c r="D1000" s="2" t="inlineStr"/>
      <c r="E1000" s="2">
        <f>IF(D1000="","",IFERROR(XLOOKUP(TRIM(D1000),INVENTARIO!$A$2:$A$2000,INVENTARIO!$B$2:$B$2000),"NO ENCONTRADO"))</f>
        <v/>
      </c>
      <c r="F1000" s="2">
        <f>IF(D1000="","",IFERROR(XLOOKUP(TRIM(D1000),INVENTARIO!$A$2:$A$2000,INVENTARIO!$C$2:$C$2000),""))</f>
        <v/>
      </c>
      <c r="G1000" s="2">
        <f>IF(D1000="","",IF(E1000="NO ENCONTRADO","CODIGO NO EXISTE",IF(COUNTIF($D$2:D1000,D1000)&gt;1,"DUPLICADO",IF(C1000="","OK SIN PEDIDO",IF(COUNTIFS(PEDIDO_ITEMS!$A$2:$A$501,C1000,PEDIDO_ITEMS!$B$2:$B$501,E1000)=0,"NO PEDIDO",IF(COUNTIFS($C$2:C1000,C1000,$E$2:E1000,E1000)&gt;SUMIFS(PEDIDO_ITEMS!$C$2:$C$501,PEDIDO_ITEMS!$A$2:$A$501,C1000,PEDIDO_ITEMS!$B$2:$B$501,E1000),"EXCEDE PEDIDO","OK"))))))</f>
        <v/>
      </c>
    </row>
  </sheetData>
  <autoFilter ref="A1:G1000"/>
  <conditionalFormatting sqref="G2:G1000">
    <cfRule type="expression" priority="1" dxfId="0">
      <formula>ISNUMBER(SEARCH("OK",G2))</formula>
    </cfRule>
    <cfRule type="expression" priority="2" dxfId="1">
      <formula>OR(ISNUMBER(SEARCH("NO ",G2)),ISNUMBER(SEARCH("REVISAR",G2)))</formula>
    </cfRule>
    <cfRule type="expression" priority="3" dxfId="2">
      <formula>OR(ISNUMBER(SEARCH("FALTA",G2)),ISNUMBER(SEARCH("DUPLICADA",G2)),ISNUMBER(SEARCH("DUPLICADO",G2)))</formula>
    </cfRule>
  </conditionalFormatting>
  <dataValidations count="1">
    <dataValidation sqref="B2:B1000" showDropDown="0" showInputMessage="0" showErrorMessage="0" allowBlank="1" type="list">
      <formula1>LISTAS!$B$2:$B$3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0" customWidth="1" min="4" max="4"/>
    <col width="20" customWidth="1" min="5" max="5"/>
    <col width="24" customWidth="1" min="6" max="6"/>
  </cols>
  <sheetData>
    <row r="1" ht="24" customHeight="1">
      <c r="A1" s="8" t="inlineStr">
        <is>
          <t>Fecha</t>
        </is>
      </c>
      <c r="B1" s="5" t="inlineStr">
        <is>
          <t>Evento</t>
        </is>
      </c>
      <c r="C1" s="5" t="inlineStr">
        <is>
          <t>Pedido</t>
        </is>
      </c>
      <c r="D1" s="5" t="inlineStr">
        <is>
          <t>Codigo</t>
        </is>
      </c>
      <c r="E1" s="5" t="inlineStr">
        <is>
          <t>Tipo detectado</t>
        </is>
      </c>
      <c r="F1" s="5" t="inlineStr">
        <is>
          <t>Validacion</t>
        </is>
      </c>
    </row>
    <row r="2">
      <c r="A2" s="9">
        <f t="array" ref="A2:A985">IF(C2:C985="","",IFERROR(INDEX(SALIDAS!A:A,MATCH(C2:C985,SALIDAS!C:C,0)),"ERROR!"))</f>
        <v/>
      </c>
      <c r="B2" s="2" t="inlineStr">
        <is>
          <t>&lt;openpyxl.worksheet.formula.ArrayFormula object at 0x0000021AD9ABCE00&gt;</t>
        </is>
      </c>
      <c r="C2" s="2" t="inlineStr"/>
      <c r="D2" s="2" t="inlineStr">
        <is>
          <t>GEN9KVA-001</t>
        </is>
      </c>
      <c r="E2" s="2">
        <f>IF(D2="","",IFERROR(XLOOKUP(TRIM(D2),INVENTARIO!$A$2:$A$2000,INVENTARIO!$B$2:$B$2000),"NO ENCONTRADO"))</f>
        <v/>
      </c>
      <c r="F2" s="2">
        <f>IF(D2="","",IF(E2="NO ENCONTRADO","CODIGO NO EXISTE",IF(COUNTIF($D$2:D2,D2)&gt;1,"DEVOLUCION DUPLICADA",IF(COUNTIFS(SALIDAS!$B$2:$B$1000,B2,SALIDAS!$D$2:$D$1000,D2,SALIDAS!$G$2:$G$1000,"OK*")=0,"NO FIGURA EN SALIDA","OK"))))</f>
        <v/>
      </c>
    </row>
    <row r="3">
      <c r="A3" s="9" t="n">
        <v>46166</v>
      </c>
      <c r="B3" s="2" t="inlineStr">
        <is>
          <t>Tecnopolis</t>
        </is>
      </c>
      <c r="C3" s="2" t="inlineStr"/>
      <c r="D3" s="2" t="inlineStr">
        <is>
          <t>GEN9KVA-008</t>
        </is>
      </c>
      <c r="E3" s="2">
        <f>IF(D3="","",IFERROR(XLOOKUP(TRIM(D3),INVENTARIO!$A$2:$A$2000,INVENTARIO!$B$2:$B$2000),"NO ENCONTRADO"))</f>
        <v/>
      </c>
      <c r="F3" s="2">
        <f>IF(D3="","",IF(E3="NO ENCONTRADO","CODIGO NO EXISTE",IF(COUNTIF($D$2:D3,D3)&gt;1,"DEVOLUCION DUPLICADA",IF(COUNTIFS(SALIDAS!$B$2:$B$1000,B3,SALIDAS!$D$2:$D$1000,D3,SALIDAS!$G$2:$G$1000,"OK*")=0,"NO FIGURA EN SALIDA","OK"))))</f>
        <v/>
      </c>
    </row>
    <row r="4">
      <c r="A4" s="9" t="n">
        <v>46166</v>
      </c>
      <c r="B4" s="2" t="inlineStr">
        <is>
          <t>Tecnopolis</t>
        </is>
      </c>
      <c r="C4" s="2" t="inlineStr"/>
      <c r="D4" s="2" t="inlineStr">
        <is>
          <t>GEN9KVA-009</t>
        </is>
      </c>
      <c r="E4" s="2">
        <f>IF(D4="","",IFERROR(XLOOKUP(TRIM(D4),INVENTARIO!$A$2:$A$2000,INVENTARIO!$B$2:$B$2000),"NO ENCONTRADO"))</f>
        <v/>
      </c>
      <c r="F4" s="2">
        <f>IF(D4="","",IF(E4="NO ENCONTRADO","CODIGO NO EXISTE",IF(COUNTIF($D$2:D4,D4)&gt;1,"DEVOLUCION DUPLICADA",IF(COUNTIFS(SALIDAS!$B$2:$B$1000,B4,SALIDAS!$D$2:$D$1000,D4,SALIDAS!$G$2:$G$1000,"OK*")=0,"NO FIGURA EN SALIDA","OK"))))</f>
        <v/>
      </c>
    </row>
    <row r="5">
      <c r="A5" s="9" t="inlineStr"/>
      <c r="B5" s="2" t="inlineStr"/>
      <c r="C5" s="2" t="inlineStr"/>
      <c r="D5" s="2" t="inlineStr"/>
      <c r="E5" s="2">
        <f>IF(D5="","",IFERROR(XLOOKUP(TRIM(D5),INVENTARIO!$A$2:$A$2000,INVENTARIO!$B$2:$B$2000),"NO ENCONTRADO"))</f>
        <v/>
      </c>
      <c r="F5" s="2">
        <f>IF(D5="","",IF(E5="NO ENCONTRADO","CODIGO NO EXISTE",IF(COUNTIF($D$2:D5,D5)&gt;1,"DEVOLUCION DUPLICADA",IF(COUNTIFS(SALIDAS!$B$2:$B$1000,B5,SALIDAS!$D$2:$D$1000,D5,SALIDAS!$G$2:$G$1000,"OK*")=0,"NO FIGURA EN SALIDA","OK"))))</f>
        <v/>
      </c>
    </row>
    <row r="6">
      <c r="A6" s="9" t="inlineStr"/>
      <c r="B6" s="2" t="inlineStr"/>
      <c r="C6" s="2" t="inlineStr"/>
      <c r="D6" s="2" t="inlineStr"/>
      <c r="E6" s="2">
        <f>IF(D6="","",IFERROR(XLOOKUP(TRIM(D6),INVENTARIO!$A$2:$A$2000,INVENTARIO!$B$2:$B$2000),"NO ENCONTRADO"))</f>
        <v/>
      </c>
      <c r="F6" s="2">
        <f>IF(D6="","",IF(E6="NO ENCONTRADO","CODIGO NO EXISTE",IF(COUNTIF($D$2:D6,D6)&gt;1,"DEVOLUCION DUPLICADA",IF(COUNTIFS(SALIDAS!$B$2:$B$1000,B6,SALIDAS!$D$2:$D$1000,D6,SALIDAS!$G$2:$G$1000,"OK*")=0,"NO FIGURA EN SALIDA","OK"))))</f>
        <v/>
      </c>
    </row>
    <row r="7">
      <c r="A7" s="9" t="inlineStr"/>
      <c r="B7" s="2" t="inlineStr"/>
      <c r="C7" s="2" t="inlineStr"/>
      <c r="D7" s="2" t="inlineStr"/>
      <c r="E7" s="2">
        <f>IF(D7="","",IFERROR(XLOOKUP(TRIM(D7),INVENTARIO!$A$2:$A$2000,INVENTARIO!$B$2:$B$2000),"NO ENCONTRADO"))</f>
        <v/>
      </c>
      <c r="F7" s="2">
        <f>IF(D7="","",IF(E7="NO ENCONTRADO","CODIGO NO EXISTE",IF(COUNTIF($D$2:D7,D7)&gt;1,"DEVOLUCION DUPLICADA",IF(COUNTIFS(SALIDAS!$B$2:$B$1000,B7,SALIDAS!$D$2:$D$1000,D7,SALIDAS!$G$2:$G$1000,"OK*")=0,"NO FIGURA EN SALIDA","OK"))))</f>
        <v/>
      </c>
    </row>
    <row r="8">
      <c r="A8" s="9" t="inlineStr"/>
      <c r="B8" s="2" t="inlineStr"/>
      <c r="C8" s="2" t="inlineStr"/>
      <c r="D8" s="2" t="inlineStr"/>
      <c r="E8" s="2">
        <f>IF(D8="","",IFERROR(XLOOKUP(TRIM(D8),INVENTARIO!$A$2:$A$2000,INVENTARIO!$B$2:$B$2000),"NO ENCONTRADO"))</f>
        <v/>
      </c>
      <c r="F8" s="2">
        <f>IF(D8="","",IF(E8="NO ENCONTRADO","CODIGO NO EXISTE",IF(COUNTIF($D$2:D8,D8)&gt;1,"DEVOLUCION DUPLICADA",IF(COUNTIFS(SALIDAS!$B$2:$B$1000,B8,SALIDAS!$D$2:$D$1000,D8,SALIDAS!$G$2:$G$1000,"OK*")=0,"NO FIGURA EN SALIDA","OK"))))</f>
        <v/>
      </c>
    </row>
    <row r="9">
      <c r="A9" s="9" t="inlineStr"/>
      <c r="B9" s="2" t="inlineStr"/>
      <c r="C9" s="2" t="inlineStr"/>
      <c r="D9" s="2" t="inlineStr"/>
      <c r="E9" s="2">
        <f>IF(D9="","",IFERROR(XLOOKUP(TRIM(D9),INVENTARIO!$A$2:$A$2000,INVENTARIO!$B$2:$B$2000),"NO ENCONTRADO"))</f>
        <v/>
      </c>
      <c r="F9" s="2">
        <f>IF(D9="","",IF(E9="NO ENCONTRADO","CODIGO NO EXISTE",IF(COUNTIF($D$2:D9,D9)&gt;1,"DEVOLUCION DUPLICADA",IF(COUNTIFS(SALIDAS!$B$2:$B$1000,B9,SALIDAS!$D$2:$D$1000,D9,SALIDAS!$G$2:$G$1000,"OK*")=0,"NO FIGURA EN SALIDA","OK"))))</f>
        <v/>
      </c>
    </row>
    <row r="10">
      <c r="A10" s="9" t="inlineStr"/>
      <c r="B10" s="2" t="inlineStr"/>
      <c r="C10" s="2" t="inlineStr"/>
      <c r="D10" s="2" t="inlineStr"/>
      <c r="E10" s="2">
        <f>IF(D10="","",IFERROR(XLOOKUP(TRIM(D10),INVENTARIO!$A$2:$A$2000,INVENTARIO!$B$2:$B$2000),"NO ENCONTRADO"))</f>
        <v/>
      </c>
      <c r="F10" s="2">
        <f>IF(D10="","",IF(E10="NO ENCONTRADO","CODIGO NO EXISTE",IF(COUNTIF($D$2:D10,D10)&gt;1,"DEVOLUCION DUPLICADA",IF(COUNTIFS(SALIDAS!$B$2:$B$1000,B10,SALIDAS!$D$2:$D$1000,D10,SALIDAS!$G$2:$G$1000,"OK*")=0,"NO FIGURA EN SALIDA","OK"))))</f>
        <v/>
      </c>
    </row>
    <row r="11">
      <c r="A11" s="9" t="inlineStr"/>
      <c r="B11" s="2" t="inlineStr"/>
      <c r="C11" s="2" t="inlineStr"/>
      <c r="D11" s="2" t="inlineStr"/>
      <c r="E11" s="2">
        <f>IF(D11="","",IFERROR(XLOOKUP(TRIM(D11),INVENTARIO!$A$2:$A$2000,INVENTARIO!$B$2:$B$2000),"NO ENCONTRADO"))</f>
        <v/>
      </c>
      <c r="F11" s="2">
        <f>IF(D11="","",IF(E11="NO ENCONTRADO","CODIGO NO EXISTE",IF(COUNTIF($D$2:D11,D11)&gt;1,"DEVOLUCION DUPLICADA",IF(COUNTIFS(SALIDAS!$B$2:$B$1000,B11,SALIDAS!$D$2:$D$1000,D11,SALIDAS!$G$2:$G$1000,"OK*")=0,"NO FIGURA EN SALIDA","OK"))))</f>
        <v/>
      </c>
    </row>
    <row r="12">
      <c r="A12" s="9" t="inlineStr"/>
      <c r="B12" s="2" t="inlineStr"/>
      <c r="C12" s="2" t="inlineStr"/>
      <c r="D12" s="2" t="inlineStr"/>
      <c r="E12" s="2">
        <f>IF(D12="","",IFERROR(XLOOKUP(TRIM(D12),INVENTARIO!$A$2:$A$2000,INVENTARIO!$B$2:$B$2000),"NO ENCONTRADO"))</f>
        <v/>
      </c>
      <c r="F12" s="2">
        <f>IF(D12="","",IF(E12="NO ENCONTRADO","CODIGO NO EXISTE",IF(COUNTIF($D$2:D12,D12)&gt;1,"DEVOLUCION DUPLICADA",IF(COUNTIFS(SALIDAS!$B$2:$B$1000,B12,SALIDAS!$D$2:$D$1000,D12,SALIDAS!$G$2:$G$1000,"OK*")=0,"NO FIGURA EN SALIDA","OK"))))</f>
        <v/>
      </c>
    </row>
    <row r="13">
      <c r="A13" s="9" t="inlineStr"/>
      <c r="B13" s="2" t="inlineStr"/>
      <c r="C13" s="2" t="inlineStr"/>
      <c r="D13" s="2" t="inlineStr"/>
      <c r="E13" s="2">
        <f>IF(D13="","",IFERROR(XLOOKUP(TRIM(D13),INVENTARIO!$A$2:$A$2000,INVENTARIO!$B$2:$B$2000),"NO ENCONTRADO"))</f>
        <v/>
      </c>
      <c r="F13" s="2">
        <f>IF(D13="","",IF(E13="NO ENCONTRADO","CODIGO NO EXISTE",IF(COUNTIF($D$2:D13,D13)&gt;1,"DEVOLUCION DUPLICADA",IF(COUNTIFS(SALIDAS!$B$2:$B$1000,B13,SALIDAS!$D$2:$D$1000,D13,SALIDAS!$G$2:$G$1000,"OK*")=0,"NO FIGURA EN SALIDA","OK"))))</f>
        <v/>
      </c>
    </row>
    <row r="14">
      <c r="A14" s="9" t="inlineStr"/>
      <c r="B14" s="2" t="inlineStr"/>
      <c r="C14" s="2" t="inlineStr"/>
      <c r="D14" s="2" t="inlineStr"/>
      <c r="E14" s="2">
        <f>IF(D14="","",IFERROR(XLOOKUP(TRIM(D14),INVENTARIO!$A$2:$A$2000,INVENTARIO!$B$2:$B$2000),"NO ENCONTRADO"))</f>
        <v/>
      </c>
      <c r="F14" s="2">
        <f>IF(D14="","",IF(E14="NO ENCONTRADO","CODIGO NO EXISTE",IF(COUNTIF($D$2:D14,D14)&gt;1,"DEVOLUCION DUPLICADA",IF(COUNTIFS(SALIDAS!$B$2:$B$1000,B14,SALIDAS!$D$2:$D$1000,D14,SALIDAS!$G$2:$G$1000,"OK*")=0,"NO FIGURA EN SALIDA","OK"))))</f>
        <v/>
      </c>
    </row>
    <row r="15">
      <c r="A15" s="9" t="inlineStr"/>
      <c r="B15" s="2" t="inlineStr"/>
      <c r="C15" s="2" t="inlineStr"/>
      <c r="D15" s="2" t="inlineStr"/>
      <c r="E15" s="2">
        <f>IF(D15="","",IFERROR(XLOOKUP(TRIM(D15),INVENTARIO!$A$2:$A$2000,INVENTARIO!$B$2:$B$2000),"NO ENCONTRADO"))</f>
        <v/>
      </c>
      <c r="F15" s="2">
        <f>IF(D15="","",IF(E15="NO ENCONTRADO","CODIGO NO EXISTE",IF(COUNTIF($D$2:D15,D15)&gt;1,"DEVOLUCION DUPLICADA",IF(COUNTIFS(SALIDAS!$B$2:$B$1000,B15,SALIDAS!$D$2:$D$1000,D15,SALIDAS!$G$2:$G$1000,"OK*")=0,"NO FIGURA EN SALIDA","OK"))))</f>
        <v/>
      </c>
    </row>
    <row r="16">
      <c r="A16" s="9" t="inlineStr"/>
      <c r="B16" s="2" t="inlineStr"/>
      <c r="C16" s="2" t="inlineStr"/>
      <c r="D16" s="2" t="inlineStr"/>
      <c r="E16" s="2">
        <f>IF(D16="","",IFERROR(XLOOKUP(TRIM(D16),INVENTARIO!$A$2:$A$2000,INVENTARIO!$B$2:$B$2000),"NO ENCONTRADO"))</f>
        <v/>
      </c>
      <c r="F16" s="2">
        <f>IF(D16="","",IF(E16="NO ENCONTRADO","CODIGO NO EXISTE",IF(COUNTIF($D$2:D16,D16)&gt;1,"DEVOLUCION DUPLICADA",IF(COUNTIFS(SALIDAS!$B$2:$B$1000,B16,SALIDAS!$D$2:$D$1000,D16,SALIDAS!$G$2:$G$1000,"OK*")=0,"NO FIGURA EN SALIDA","OK"))))</f>
        <v/>
      </c>
    </row>
    <row r="17">
      <c r="A17" s="9" t="inlineStr"/>
      <c r="B17" s="2" t="inlineStr"/>
      <c r="C17" s="2" t="inlineStr"/>
      <c r="D17" s="2" t="inlineStr"/>
      <c r="E17" s="2">
        <f>IF(D17="","",IFERROR(XLOOKUP(TRIM(D17),INVENTARIO!$A$2:$A$2000,INVENTARIO!$B$2:$B$2000),"NO ENCONTRADO"))</f>
        <v/>
      </c>
      <c r="F17" s="2">
        <f>IF(D17="","",IF(E17="NO ENCONTRADO","CODIGO NO EXISTE",IF(COUNTIF($D$2:D17,D17)&gt;1,"DEVOLUCION DUPLICADA",IF(COUNTIFS(SALIDAS!$B$2:$B$1000,B17,SALIDAS!$D$2:$D$1000,D17,SALIDAS!$G$2:$G$1000,"OK*")=0,"NO FIGURA EN SALIDA","OK"))))</f>
        <v/>
      </c>
    </row>
    <row r="18">
      <c r="A18" s="9" t="inlineStr"/>
      <c r="B18" s="2" t="inlineStr"/>
      <c r="C18" s="2" t="inlineStr"/>
      <c r="D18" s="2" t="inlineStr"/>
      <c r="E18" s="2">
        <f>IF(D18="","",IFERROR(XLOOKUP(TRIM(D18),INVENTARIO!$A$2:$A$2000,INVENTARIO!$B$2:$B$2000),"NO ENCONTRADO"))</f>
        <v/>
      </c>
      <c r="F18" s="2">
        <f>IF(D18="","",IF(E18="NO ENCONTRADO","CODIGO NO EXISTE",IF(COUNTIF($D$2:D18,D18)&gt;1,"DEVOLUCION DUPLICADA",IF(COUNTIFS(SALIDAS!$B$2:$B$1000,B18,SALIDAS!$D$2:$D$1000,D18,SALIDAS!$G$2:$G$1000,"OK*")=0,"NO FIGURA EN SALIDA","OK"))))</f>
        <v/>
      </c>
    </row>
    <row r="19">
      <c r="A19" s="9" t="inlineStr"/>
      <c r="B19" s="2" t="inlineStr"/>
      <c r="C19" s="2" t="inlineStr"/>
      <c r="D19" s="2" t="inlineStr"/>
      <c r="E19" s="2">
        <f>IF(D19="","",IFERROR(XLOOKUP(TRIM(D19),INVENTARIO!$A$2:$A$2000,INVENTARIO!$B$2:$B$2000),"NO ENCONTRADO"))</f>
        <v/>
      </c>
      <c r="F19" s="2">
        <f>IF(D19="","",IF(E19="NO ENCONTRADO","CODIGO NO EXISTE",IF(COUNTIF($D$2:D19,D19)&gt;1,"DEVOLUCION DUPLICADA",IF(COUNTIFS(SALIDAS!$B$2:$B$1000,B19,SALIDAS!$D$2:$D$1000,D19,SALIDAS!$G$2:$G$1000,"OK*")=0,"NO FIGURA EN SALIDA","OK"))))</f>
        <v/>
      </c>
    </row>
    <row r="20">
      <c r="A20" s="9" t="inlineStr"/>
      <c r="B20" s="2" t="inlineStr"/>
      <c r="C20" s="2" t="inlineStr"/>
      <c r="D20" s="2" t="inlineStr"/>
      <c r="E20" s="2">
        <f>IF(D20="","",IFERROR(XLOOKUP(TRIM(D20),INVENTARIO!$A$2:$A$2000,INVENTARIO!$B$2:$B$2000),"NO ENCONTRADO"))</f>
        <v/>
      </c>
      <c r="F20" s="2">
        <f>IF(D20="","",IF(E20="NO ENCONTRADO","CODIGO NO EXISTE",IF(COUNTIF($D$2:D20,D20)&gt;1,"DEVOLUCION DUPLICADA",IF(COUNTIFS(SALIDAS!$B$2:$B$1000,B20,SALIDAS!$D$2:$D$1000,D20,SALIDAS!$G$2:$G$1000,"OK*")=0,"NO FIGURA EN SALIDA","OK"))))</f>
        <v/>
      </c>
    </row>
    <row r="21">
      <c r="A21" s="9" t="inlineStr"/>
      <c r="B21" s="2" t="inlineStr"/>
      <c r="C21" s="2" t="inlineStr"/>
      <c r="D21" s="2" t="inlineStr"/>
      <c r="E21" s="2">
        <f>IF(D21="","",IFERROR(XLOOKUP(TRIM(D21),INVENTARIO!$A$2:$A$2000,INVENTARIO!$B$2:$B$2000),"NO ENCONTRADO"))</f>
        <v/>
      </c>
      <c r="F21" s="2">
        <f>IF(D21="","",IF(E21="NO ENCONTRADO","CODIGO NO EXISTE",IF(COUNTIF($D$2:D21,D21)&gt;1,"DEVOLUCION DUPLICADA",IF(COUNTIFS(SALIDAS!$B$2:$B$1000,B21,SALIDAS!$D$2:$D$1000,D21,SALIDAS!$G$2:$G$1000,"OK*")=0,"NO FIGURA EN SALIDA","OK"))))</f>
        <v/>
      </c>
    </row>
    <row r="22">
      <c r="A22" s="9" t="inlineStr"/>
      <c r="B22" s="2" t="inlineStr"/>
      <c r="C22" s="2" t="inlineStr"/>
      <c r="D22" s="2" t="inlineStr"/>
      <c r="E22" s="2">
        <f>IF(D22="","",IFERROR(XLOOKUP(TRIM(D22),INVENTARIO!$A$2:$A$2000,INVENTARIO!$B$2:$B$2000),"NO ENCONTRADO"))</f>
        <v/>
      </c>
      <c r="F22" s="2">
        <f>IF(D22="","",IF(E22="NO ENCONTRADO","CODIGO NO EXISTE",IF(COUNTIF($D$2:D22,D22)&gt;1,"DEVOLUCION DUPLICADA",IF(COUNTIFS(SALIDAS!$B$2:$B$1000,B22,SALIDAS!$D$2:$D$1000,D22,SALIDAS!$G$2:$G$1000,"OK*")=0,"NO FIGURA EN SALIDA","OK"))))</f>
        <v/>
      </c>
    </row>
    <row r="23">
      <c r="A23" s="9" t="inlineStr"/>
      <c r="B23" s="2" t="inlineStr"/>
      <c r="C23" s="2" t="inlineStr"/>
      <c r="D23" s="2" t="inlineStr"/>
      <c r="E23" s="2">
        <f>IF(D23="","",IFERROR(XLOOKUP(TRIM(D23),INVENTARIO!$A$2:$A$2000,INVENTARIO!$B$2:$B$2000),"NO ENCONTRADO"))</f>
        <v/>
      </c>
      <c r="F23" s="2">
        <f>IF(D23="","",IF(E23="NO ENCONTRADO","CODIGO NO EXISTE",IF(COUNTIF($D$2:D23,D23)&gt;1,"DEVOLUCION DUPLICADA",IF(COUNTIFS(SALIDAS!$B$2:$B$1000,B23,SALIDAS!$D$2:$D$1000,D23,SALIDAS!$G$2:$G$1000,"OK*")=0,"NO FIGURA EN SALIDA","OK"))))</f>
        <v/>
      </c>
    </row>
    <row r="24">
      <c r="A24" s="9" t="inlineStr"/>
      <c r="B24" s="2" t="inlineStr"/>
      <c r="C24" s="2" t="inlineStr"/>
      <c r="D24" s="2" t="inlineStr"/>
      <c r="E24" s="2">
        <f>IF(D24="","",IFERROR(XLOOKUP(TRIM(D24),INVENTARIO!$A$2:$A$2000,INVENTARIO!$B$2:$B$2000),"NO ENCONTRADO"))</f>
        <v/>
      </c>
      <c r="F24" s="2">
        <f>IF(D24="","",IF(E24="NO ENCONTRADO","CODIGO NO EXISTE",IF(COUNTIF($D$2:D24,D24)&gt;1,"DEVOLUCION DUPLICADA",IF(COUNTIFS(SALIDAS!$B$2:$B$1000,B24,SALIDAS!$D$2:$D$1000,D24,SALIDAS!$G$2:$G$1000,"OK*")=0,"NO FIGURA EN SALIDA","OK"))))</f>
        <v/>
      </c>
    </row>
    <row r="25">
      <c r="A25" s="9" t="inlineStr"/>
      <c r="B25" s="2" t="inlineStr"/>
      <c r="C25" s="2" t="inlineStr"/>
      <c r="D25" s="2" t="inlineStr"/>
      <c r="E25" s="2">
        <f>IF(D25="","",IFERROR(XLOOKUP(TRIM(D25),INVENTARIO!$A$2:$A$2000,INVENTARIO!$B$2:$B$2000),"NO ENCONTRADO"))</f>
        <v/>
      </c>
      <c r="F25" s="2">
        <f>IF(D25="","",IF(E25="NO ENCONTRADO","CODIGO NO EXISTE",IF(COUNTIF($D$2:D25,D25)&gt;1,"DEVOLUCION DUPLICADA",IF(COUNTIFS(SALIDAS!$B$2:$B$1000,B25,SALIDAS!$D$2:$D$1000,D25,SALIDAS!$G$2:$G$1000,"OK*")=0,"NO FIGURA EN SALIDA","OK"))))</f>
        <v/>
      </c>
    </row>
    <row r="26">
      <c r="A26" s="9" t="inlineStr"/>
      <c r="B26" s="2" t="inlineStr"/>
      <c r="C26" s="2" t="inlineStr"/>
      <c r="D26" s="2" t="inlineStr"/>
      <c r="E26" s="2">
        <f>IF(D26="","",IFERROR(XLOOKUP(TRIM(D26),INVENTARIO!$A$2:$A$2000,INVENTARIO!$B$2:$B$2000),"NO ENCONTRADO"))</f>
        <v/>
      </c>
      <c r="F26" s="2">
        <f>IF(D26="","",IF(E26="NO ENCONTRADO","CODIGO NO EXISTE",IF(COUNTIF($D$2:D26,D26)&gt;1,"DEVOLUCION DUPLICADA",IF(COUNTIFS(SALIDAS!$B$2:$B$1000,B26,SALIDAS!$D$2:$D$1000,D26,SALIDAS!$G$2:$G$1000,"OK*")=0,"NO FIGURA EN SALIDA","OK"))))</f>
        <v/>
      </c>
    </row>
    <row r="27">
      <c r="A27" s="9" t="inlineStr"/>
      <c r="B27" s="2" t="inlineStr"/>
      <c r="C27" s="2" t="inlineStr"/>
      <c r="D27" s="2" t="inlineStr"/>
      <c r="E27" s="2">
        <f>IF(D27="","",IFERROR(XLOOKUP(TRIM(D27),INVENTARIO!$A$2:$A$2000,INVENTARIO!$B$2:$B$2000),"NO ENCONTRADO"))</f>
        <v/>
      </c>
      <c r="F27" s="2">
        <f>IF(D27="","",IF(E27="NO ENCONTRADO","CODIGO NO EXISTE",IF(COUNTIF($D$2:D27,D27)&gt;1,"DEVOLUCION DUPLICADA",IF(COUNTIFS(SALIDAS!$B$2:$B$1000,B27,SALIDAS!$D$2:$D$1000,D27,SALIDAS!$G$2:$G$1000,"OK*")=0,"NO FIGURA EN SALIDA","OK"))))</f>
        <v/>
      </c>
    </row>
    <row r="28">
      <c r="A28" s="9" t="inlineStr"/>
      <c r="B28" s="2" t="inlineStr"/>
      <c r="C28" s="2" t="inlineStr"/>
      <c r="D28" s="2" t="inlineStr"/>
      <c r="E28" s="2">
        <f>IF(D28="","",IFERROR(XLOOKUP(TRIM(D28),INVENTARIO!$A$2:$A$2000,INVENTARIO!$B$2:$B$2000),"NO ENCONTRADO"))</f>
        <v/>
      </c>
      <c r="F28" s="2">
        <f>IF(D28="","",IF(E28="NO ENCONTRADO","CODIGO NO EXISTE",IF(COUNTIF($D$2:D28,D28)&gt;1,"DEVOLUCION DUPLICADA",IF(COUNTIFS(SALIDAS!$B$2:$B$1000,B28,SALIDAS!$D$2:$D$1000,D28,SALIDAS!$G$2:$G$1000,"OK*")=0,"NO FIGURA EN SALIDA","OK"))))</f>
        <v/>
      </c>
    </row>
    <row r="29">
      <c r="A29" s="9" t="inlineStr"/>
      <c r="B29" s="2" t="inlineStr"/>
      <c r="C29" s="2" t="inlineStr"/>
      <c r="D29" s="2" t="inlineStr"/>
      <c r="E29" s="2">
        <f>IF(D29="","",IFERROR(XLOOKUP(TRIM(D29),INVENTARIO!$A$2:$A$2000,INVENTARIO!$B$2:$B$2000),"NO ENCONTRADO"))</f>
        <v/>
      </c>
      <c r="F29" s="2">
        <f>IF(D29="","",IF(E29="NO ENCONTRADO","CODIGO NO EXISTE",IF(COUNTIF($D$2:D29,D29)&gt;1,"DEVOLUCION DUPLICADA",IF(COUNTIFS(SALIDAS!$B$2:$B$1000,B29,SALIDAS!$D$2:$D$1000,D29,SALIDAS!$G$2:$G$1000,"OK*")=0,"NO FIGURA EN SALIDA","OK"))))</f>
        <v/>
      </c>
    </row>
    <row r="30">
      <c r="A30" s="9" t="inlineStr"/>
      <c r="B30" s="2" t="inlineStr"/>
      <c r="C30" s="2" t="inlineStr"/>
      <c r="D30" s="2" t="inlineStr"/>
      <c r="E30" s="2">
        <f>IF(D30="","",IFERROR(XLOOKUP(TRIM(D30),INVENTARIO!$A$2:$A$2000,INVENTARIO!$B$2:$B$2000),"NO ENCONTRADO"))</f>
        <v/>
      </c>
      <c r="F30" s="2">
        <f>IF(D30="","",IF(E30="NO ENCONTRADO","CODIGO NO EXISTE",IF(COUNTIF($D$2:D30,D30)&gt;1,"DEVOLUCION DUPLICADA",IF(COUNTIFS(SALIDAS!$B$2:$B$1000,B30,SALIDAS!$D$2:$D$1000,D30,SALIDAS!$G$2:$G$1000,"OK*")=0,"NO FIGURA EN SALIDA","OK"))))</f>
        <v/>
      </c>
    </row>
    <row r="31">
      <c r="A31" s="9" t="inlineStr"/>
      <c r="B31" s="2" t="inlineStr"/>
      <c r="C31" s="2" t="inlineStr"/>
      <c r="D31" s="2" t="inlineStr"/>
      <c r="E31" s="2">
        <f>IF(D31="","",IFERROR(XLOOKUP(TRIM(D31),INVENTARIO!$A$2:$A$2000,INVENTARIO!$B$2:$B$2000),"NO ENCONTRADO"))</f>
        <v/>
      </c>
      <c r="F31" s="2">
        <f>IF(D31="","",IF(E31="NO ENCONTRADO","CODIGO NO EXISTE",IF(COUNTIF($D$2:D31,D31)&gt;1,"DEVOLUCION DUPLICADA",IF(COUNTIFS(SALIDAS!$B$2:$B$1000,B31,SALIDAS!$D$2:$D$1000,D31,SALIDAS!$G$2:$G$1000,"OK*")=0,"NO FIGURA EN SALIDA","OK"))))</f>
        <v/>
      </c>
    </row>
    <row r="32">
      <c r="A32" s="9" t="inlineStr"/>
      <c r="B32" s="2" t="inlineStr"/>
      <c r="C32" s="2" t="inlineStr"/>
      <c r="D32" s="2" t="inlineStr"/>
      <c r="E32" s="2">
        <f>IF(D32="","",IFERROR(XLOOKUP(TRIM(D32),INVENTARIO!$A$2:$A$2000,INVENTARIO!$B$2:$B$2000),"NO ENCONTRADO"))</f>
        <v/>
      </c>
      <c r="F32" s="2">
        <f>IF(D32="","",IF(E32="NO ENCONTRADO","CODIGO NO EXISTE",IF(COUNTIF($D$2:D32,D32)&gt;1,"DEVOLUCION DUPLICADA",IF(COUNTIFS(SALIDAS!$B$2:$B$1000,B32,SALIDAS!$D$2:$D$1000,D32,SALIDAS!$G$2:$G$1000,"OK*")=0,"NO FIGURA EN SALIDA","OK"))))</f>
        <v/>
      </c>
    </row>
    <row r="33">
      <c r="A33" s="9" t="inlineStr"/>
      <c r="B33" s="2" t="inlineStr"/>
      <c r="C33" s="2" t="inlineStr"/>
      <c r="D33" s="2" t="inlineStr"/>
      <c r="E33" s="2">
        <f>IF(D33="","",IFERROR(XLOOKUP(TRIM(D33),INVENTARIO!$A$2:$A$2000,INVENTARIO!$B$2:$B$2000),"NO ENCONTRADO"))</f>
        <v/>
      </c>
      <c r="F33" s="2">
        <f>IF(D33="","",IF(E33="NO ENCONTRADO","CODIGO NO EXISTE",IF(COUNTIF($D$2:D33,D33)&gt;1,"DEVOLUCION DUPLICADA",IF(COUNTIFS(SALIDAS!$B$2:$B$1000,B33,SALIDAS!$D$2:$D$1000,D33,SALIDAS!$G$2:$G$1000,"OK*")=0,"NO FIGURA EN SALIDA","OK"))))</f>
        <v/>
      </c>
    </row>
    <row r="34">
      <c r="A34" s="9" t="inlineStr"/>
      <c r="B34" s="2" t="inlineStr"/>
      <c r="C34" s="2" t="inlineStr"/>
      <c r="D34" s="2" t="inlineStr"/>
      <c r="E34" s="2">
        <f>IF(D34="","",IFERROR(XLOOKUP(TRIM(D34),INVENTARIO!$A$2:$A$2000,INVENTARIO!$B$2:$B$2000),"NO ENCONTRADO"))</f>
        <v/>
      </c>
      <c r="F34" s="2">
        <f>IF(D34="","",IF(E34="NO ENCONTRADO","CODIGO NO EXISTE",IF(COUNTIF($D$2:D34,D34)&gt;1,"DEVOLUCION DUPLICADA",IF(COUNTIFS(SALIDAS!$B$2:$B$1000,B34,SALIDAS!$D$2:$D$1000,D34,SALIDAS!$G$2:$G$1000,"OK*")=0,"NO FIGURA EN SALIDA","OK"))))</f>
        <v/>
      </c>
    </row>
    <row r="35">
      <c r="A35" s="9" t="inlineStr"/>
      <c r="B35" s="2" t="inlineStr"/>
      <c r="C35" s="2" t="inlineStr"/>
      <c r="D35" s="2" t="inlineStr"/>
      <c r="E35" s="2">
        <f>IF(D35="","",IFERROR(XLOOKUP(TRIM(D35),INVENTARIO!$A$2:$A$2000,INVENTARIO!$B$2:$B$2000),"NO ENCONTRADO"))</f>
        <v/>
      </c>
      <c r="F35" s="2">
        <f>IF(D35="","",IF(E35="NO ENCONTRADO","CODIGO NO EXISTE",IF(COUNTIF($D$2:D35,D35)&gt;1,"DEVOLUCION DUPLICADA",IF(COUNTIFS(SALIDAS!$B$2:$B$1000,B35,SALIDAS!$D$2:$D$1000,D35,SALIDAS!$G$2:$G$1000,"OK*")=0,"NO FIGURA EN SALIDA","OK"))))</f>
        <v/>
      </c>
    </row>
    <row r="36">
      <c r="A36" s="9" t="inlineStr"/>
      <c r="B36" s="2" t="inlineStr"/>
      <c r="C36" s="2" t="inlineStr"/>
      <c r="D36" s="2" t="inlineStr"/>
      <c r="E36" s="2">
        <f>IF(D36="","",IFERROR(XLOOKUP(TRIM(D36),INVENTARIO!$A$2:$A$2000,INVENTARIO!$B$2:$B$2000),"NO ENCONTRADO"))</f>
        <v/>
      </c>
      <c r="F36" s="2">
        <f>IF(D36="","",IF(E36="NO ENCONTRADO","CODIGO NO EXISTE",IF(COUNTIF($D$2:D36,D36)&gt;1,"DEVOLUCION DUPLICADA",IF(COUNTIFS(SALIDAS!$B$2:$B$1000,B36,SALIDAS!$D$2:$D$1000,D36,SALIDAS!$G$2:$G$1000,"OK*")=0,"NO FIGURA EN SALIDA","OK"))))</f>
        <v/>
      </c>
    </row>
    <row r="37">
      <c r="A37" s="9" t="inlineStr"/>
      <c r="B37" s="2" t="inlineStr"/>
      <c r="C37" s="2" t="inlineStr"/>
      <c r="D37" s="2" t="inlineStr"/>
      <c r="E37" s="2">
        <f>IF(D37="","",IFERROR(XLOOKUP(TRIM(D37),INVENTARIO!$A$2:$A$2000,INVENTARIO!$B$2:$B$2000),"NO ENCONTRADO"))</f>
        <v/>
      </c>
      <c r="F37" s="2">
        <f>IF(D37="","",IF(E37="NO ENCONTRADO","CODIGO NO EXISTE",IF(COUNTIF($D$2:D37,D37)&gt;1,"DEVOLUCION DUPLICADA",IF(COUNTIFS(SALIDAS!$B$2:$B$1000,B37,SALIDAS!$D$2:$D$1000,D37,SALIDAS!$G$2:$G$1000,"OK*")=0,"NO FIGURA EN SALIDA","OK"))))</f>
        <v/>
      </c>
    </row>
    <row r="38">
      <c r="A38" s="9" t="inlineStr"/>
      <c r="B38" s="2" t="inlineStr"/>
      <c r="C38" s="2" t="inlineStr"/>
      <c r="D38" s="2" t="inlineStr"/>
      <c r="E38" s="2">
        <f>IF(D38="","",IFERROR(XLOOKUP(TRIM(D38),INVENTARIO!$A$2:$A$2000,INVENTARIO!$B$2:$B$2000),"NO ENCONTRADO"))</f>
        <v/>
      </c>
      <c r="F38" s="2">
        <f>IF(D38="","",IF(E38="NO ENCONTRADO","CODIGO NO EXISTE",IF(COUNTIF($D$2:D38,D38)&gt;1,"DEVOLUCION DUPLICADA",IF(COUNTIFS(SALIDAS!$B$2:$B$1000,B38,SALIDAS!$D$2:$D$1000,D38,SALIDAS!$G$2:$G$1000,"OK*")=0,"NO FIGURA EN SALIDA","OK"))))</f>
        <v/>
      </c>
    </row>
    <row r="39">
      <c r="A39" s="9" t="inlineStr"/>
      <c r="B39" s="2" t="inlineStr"/>
      <c r="C39" s="2" t="inlineStr"/>
      <c r="D39" s="2" t="inlineStr"/>
      <c r="E39" s="2">
        <f>IF(D39="","",IFERROR(XLOOKUP(TRIM(D39),INVENTARIO!$A$2:$A$2000,INVENTARIO!$B$2:$B$2000),"NO ENCONTRADO"))</f>
        <v/>
      </c>
      <c r="F39" s="2">
        <f>IF(D39="","",IF(E39="NO ENCONTRADO","CODIGO NO EXISTE",IF(COUNTIF($D$2:D39,D39)&gt;1,"DEVOLUCION DUPLICADA",IF(COUNTIFS(SALIDAS!$B$2:$B$1000,B39,SALIDAS!$D$2:$D$1000,D39,SALIDAS!$G$2:$G$1000,"OK*")=0,"NO FIGURA EN SALIDA","OK"))))</f>
        <v/>
      </c>
    </row>
    <row r="40">
      <c r="A40" s="9" t="inlineStr"/>
      <c r="B40" s="2" t="inlineStr"/>
      <c r="C40" s="2" t="inlineStr"/>
      <c r="D40" s="2" t="inlineStr"/>
      <c r="E40" s="2">
        <f>IF(D40="","",IFERROR(XLOOKUP(TRIM(D40),INVENTARIO!$A$2:$A$2000,INVENTARIO!$B$2:$B$2000),"NO ENCONTRADO"))</f>
        <v/>
      </c>
      <c r="F40" s="2">
        <f>IF(D40="","",IF(E40="NO ENCONTRADO","CODIGO NO EXISTE",IF(COUNTIF($D$2:D40,D40)&gt;1,"DEVOLUCION DUPLICADA",IF(COUNTIFS(SALIDAS!$B$2:$B$1000,B40,SALIDAS!$D$2:$D$1000,D40,SALIDAS!$G$2:$G$1000,"OK*")=0,"NO FIGURA EN SALIDA","OK"))))</f>
        <v/>
      </c>
    </row>
    <row r="41">
      <c r="A41" s="9" t="inlineStr"/>
      <c r="B41" s="2" t="inlineStr"/>
      <c r="C41" s="2" t="inlineStr"/>
      <c r="D41" s="2" t="inlineStr"/>
      <c r="E41" s="2">
        <f>IF(D41="","",IFERROR(XLOOKUP(TRIM(D41),INVENTARIO!$A$2:$A$2000,INVENTARIO!$B$2:$B$2000),"NO ENCONTRADO"))</f>
        <v/>
      </c>
      <c r="F41" s="2">
        <f>IF(D41="","",IF(E41="NO ENCONTRADO","CODIGO NO EXISTE",IF(COUNTIF($D$2:D41,D41)&gt;1,"DEVOLUCION DUPLICADA",IF(COUNTIFS(SALIDAS!$B$2:$B$1000,B41,SALIDAS!$D$2:$D$1000,D41,SALIDAS!$G$2:$G$1000,"OK*")=0,"NO FIGURA EN SALIDA","OK"))))</f>
        <v/>
      </c>
    </row>
    <row r="42">
      <c r="A42" s="9" t="inlineStr"/>
      <c r="B42" s="2" t="inlineStr"/>
      <c r="C42" s="2" t="inlineStr"/>
      <c r="D42" s="2" t="inlineStr"/>
      <c r="E42" s="2">
        <f>IF(D42="","",IFERROR(XLOOKUP(TRIM(D42),INVENTARIO!$A$2:$A$2000,INVENTARIO!$B$2:$B$2000),"NO ENCONTRADO"))</f>
        <v/>
      </c>
      <c r="F42" s="2">
        <f>IF(D42="","",IF(E42="NO ENCONTRADO","CODIGO NO EXISTE",IF(COUNTIF($D$2:D42,D42)&gt;1,"DEVOLUCION DUPLICADA",IF(COUNTIFS(SALIDAS!$B$2:$B$1000,B42,SALIDAS!$D$2:$D$1000,D42,SALIDAS!$G$2:$G$1000,"OK*")=0,"NO FIGURA EN SALIDA","OK"))))</f>
        <v/>
      </c>
    </row>
    <row r="43">
      <c r="A43" s="9" t="inlineStr"/>
      <c r="B43" s="2" t="inlineStr"/>
      <c r="C43" s="2" t="inlineStr"/>
      <c r="D43" s="2" t="inlineStr"/>
      <c r="E43" s="2">
        <f>IF(D43="","",IFERROR(XLOOKUP(TRIM(D43),INVENTARIO!$A$2:$A$2000,INVENTARIO!$B$2:$B$2000),"NO ENCONTRADO"))</f>
        <v/>
      </c>
      <c r="F43" s="2">
        <f>IF(D43="","",IF(E43="NO ENCONTRADO","CODIGO NO EXISTE",IF(COUNTIF($D$2:D43,D43)&gt;1,"DEVOLUCION DUPLICADA",IF(COUNTIFS(SALIDAS!$B$2:$B$1000,B43,SALIDAS!$D$2:$D$1000,D43,SALIDAS!$G$2:$G$1000,"OK*")=0,"NO FIGURA EN SALIDA","OK"))))</f>
        <v/>
      </c>
    </row>
    <row r="44">
      <c r="A44" s="9" t="inlineStr"/>
      <c r="B44" s="2" t="inlineStr"/>
      <c r="C44" s="2" t="inlineStr"/>
      <c r="D44" s="2" t="inlineStr"/>
      <c r="E44" s="2">
        <f>IF(D44="","",IFERROR(XLOOKUP(TRIM(D44),INVENTARIO!$A$2:$A$2000,INVENTARIO!$B$2:$B$2000),"NO ENCONTRADO"))</f>
        <v/>
      </c>
      <c r="F44" s="2">
        <f>IF(D44="","",IF(E44="NO ENCONTRADO","CODIGO NO EXISTE",IF(COUNTIF($D$2:D44,D44)&gt;1,"DEVOLUCION DUPLICADA",IF(COUNTIFS(SALIDAS!$B$2:$B$1000,B44,SALIDAS!$D$2:$D$1000,D44,SALIDAS!$G$2:$G$1000,"OK*")=0,"NO FIGURA EN SALIDA","OK"))))</f>
        <v/>
      </c>
    </row>
    <row r="45">
      <c r="A45" s="9" t="inlineStr"/>
      <c r="B45" s="2" t="inlineStr"/>
      <c r="C45" s="2" t="inlineStr"/>
      <c r="D45" s="2" t="inlineStr"/>
      <c r="E45" s="2">
        <f>IF(D45="","",IFERROR(XLOOKUP(TRIM(D45),INVENTARIO!$A$2:$A$2000,INVENTARIO!$B$2:$B$2000),"NO ENCONTRADO"))</f>
        <v/>
      </c>
      <c r="F45" s="2">
        <f>IF(D45="","",IF(E45="NO ENCONTRADO","CODIGO NO EXISTE",IF(COUNTIF($D$2:D45,D45)&gt;1,"DEVOLUCION DUPLICADA",IF(COUNTIFS(SALIDAS!$B$2:$B$1000,B45,SALIDAS!$D$2:$D$1000,D45,SALIDAS!$G$2:$G$1000,"OK*")=0,"NO FIGURA EN SALIDA","OK"))))</f>
        <v/>
      </c>
    </row>
    <row r="46">
      <c r="A46" s="9" t="inlineStr"/>
      <c r="B46" s="2" t="inlineStr"/>
      <c r="C46" s="2" t="inlineStr"/>
      <c r="D46" s="2" t="inlineStr"/>
      <c r="E46" s="2">
        <f>IF(D46="","",IFERROR(XLOOKUP(TRIM(D46),INVENTARIO!$A$2:$A$2000,INVENTARIO!$B$2:$B$2000),"NO ENCONTRADO"))</f>
        <v/>
      </c>
      <c r="F46" s="2">
        <f>IF(D46="","",IF(E46="NO ENCONTRADO","CODIGO NO EXISTE",IF(COUNTIF($D$2:D46,D46)&gt;1,"DEVOLUCION DUPLICADA",IF(COUNTIFS(SALIDAS!$B$2:$B$1000,B46,SALIDAS!$D$2:$D$1000,D46,SALIDAS!$G$2:$G$1000,"OK*")=0,"NO FIGURA EN SALIDA","OK"))))</f>
        <v/>
      </c>
    </row>
    <row r="47">
      <c r="A47" s="9" t="inlineStr"/>
      <c r="B47" s="2" t="inlineStr"/>
      <c r="C47" s="2" t="inlineStr"/>
      <c r="D47" s="2" t="inlineStr"/>
      <c r="E47" s="2">
        <f>IF(D47="","",IFERROR(XLOOKUP(TRIM(D47),INVENTARIO!$A$2:$A$2000,INVENTARIO!$B$2:$B$2000),"NO ENCONTRADO"))</f>
        <v/>
      </c>
      <c r="F47" s="2">
        <f>IF(D47="","",IF(E47="NO ENCONTRADO","CODIGO NO EXISTE",IF(COUNTIF($D$2:D47,D47)&gt;1,"DEVOLUCION DUPLICADA",IF(COUNTIFS(SALIDAS!$B$2:$B$1000,B47,SALIDAS!$D$2:$D$1000,D47,SALIDAS!$G$2:$G$1000,"OK*")=0,"NO FIGURA EN SALIDA","OK"))))</f>
        <v/>
      </c>
    </row>
    <row r="48">
      <c r="A48" s="9" t="inlineStr"/>
      <c r="B48" s="2" t="inlineStr"/>
      <c r="C48" s="2" t="inlineStr"/>
      <c r="D48" s="2" t="inlineStr"/>
      <c r="E48" s="2">
        <f>IF(D48="","",IFERROR(XLOOKUP(TRIM(D48),INVENTARIO!$A$2:$A$2000,INVENTARIO!$B$2:$B$2000),"NO ENCONTRADO"))</f>
        <v/>
      </c>
      <c r="F48" s="2">
        <f>IF(D48="","",IF(E48="NO ENCONTRADO","CODIGO NO EXISTE",IF(COUNTIF($D$2:D48,D48)&gt;1,"DEVOLUCION DUPLICADA",IF(COUNTIFS(SALIDAS!$B$2:$B$1000,B48,SALIDAS!$D$2:$D$1000,D48,SALIDAS!$G$2:$G$1000,"OK*")=0,"NO FIGURA EN SALIDA","OK"))))</f>
        <v/>
      </c>
    </row>
    <row r="49">
      <c r="A49" s="9" t="inlineStr"/>
      <c r="B49" s="2" t="inlineStr"/>
      <c r="C49" s="2" t="inlineStr"/>
      <c r="D49" s="2" t="inlineStr"/>
      <c r="E49" s="2">
        <f>IF(D49="","",IFERROR(XLOOKUP(TRIM(D49),INVENTARIO!$A$2:$A$2000,INVENTARIO!$B$2:$B$2000),"NO ENCONTRADO"))</f>
        <v/>
      </c>
      <c r="F49" s="2">
        <f>IF(D49="","",IF(E49="NO ENCONTRADO","CODIGO NO EXISTE",IF(COUNTIF($D$2:D49,D49)&gt;1,"DEVOLUCION DUPLICADA",IF(COUNTIFS(SALIDAS!$B$2:$B$1000,B49,SALIDAS!$D$2:$D$1000,D49,SALIDAS!$G$2:$G$1000,"OK*")=0,"NO FIGURA EN SALIDA","OK"))))</f>
        <v/>
      </c>
    </row>
    <row r="50">
      <c r="A50" s="9" t="inlineStr"/>
      <c r="B50" s="2" t="inlineStr"/>
      <c r="C50" s="2" t="inlineStr"/>
      <c r="D50" s="2" t="inlineStr"/>
      <c r="E50" s="2">
        <f>IF(D50="","",IFERROR(XLOOKUP(TRIM(D50),INVENTARIO!$A$2:$A$2000,INVENTARIO!$B$2:$B$2000),"NO ENCONTRADO"))</f>
        <v/>
      </c>
      <c r="F50" s="2">
        <f>IF(D50="","",IF(E50="NO ENCONTRADO","CODIGO NO EXISTE",IF(COUNTIF($D$2:D50,D50)&gt;1,"DEVOLUCION DUPLICADA",IF(COUNTIFS(SALIDAS!$B$2:$B$1000,B50,SALIDAS!$D$2:$D$1000,D50,SALIDAS!$G$2:$G$1000,"OK*")=0,"NO FIGURA EN SALIDA","OK"))))</f>
        <v/>
      </c>
    </row>
    <row r="51">
      <c r="A51" s="9" t="inlineStr"/>
      <c r="B51" s="2" t="inlineStr"/>
      <c r="C51" s="2" t="inlineStr"/>
      <c r="D51" s="2" t="inlineStr"/>
      <c r="E51" s="2">
        <f>IF(D51="","",IFERROR(XLOOKUP(TRIM(D51),INVENTARIO!$A$2:$A$2000,INVENTARIO!$B$2:$B$2000),"NO ENCONTRADO"))</f>
        <v/>
      </c>
      <c r="F51" s="2">
        <f>IF(D51="","",IF(E51="NO ENCONTRADO","CODIGO NO EXISTE",IF(COUNTIF($D$2:D51,D51)&gt;1,"DEVOLUCION DUPLICADA",IF(COUNTIFS(SALIDAS!$B$2:$B$1000,B51,SALIDAS!$D$2:$D$1000,D51,SALIDAS!$G$2:$G$1000,"OK*")=0,"NO FIGURA EN SALIDA","OK"))))</f>
        <v/>
      </c>
    </row>
    <row r="52">
      <c r="A52" s="9" t="inlineStr"/>
      <c r="B52" s="2" t="inlineStr"/>
      <c r="C52" s="2" t="inlineStr"/>
      <c r="D52" s="2" t="inlineStr"/>
      <c r="E52" s="2">
        <f>IF(D52="","",IFERROR(XLOOKUP(TRIM(D52),INVENTARIO!$A$2:$A$2000,INVENTARIO!$B$2:$B$2000),"NO ENCONTRADO"))</f>
        <v/>
      </c>
      <c r="F52" s="2">
        <f>IF(D52="","",IF(E52="NO ENCONTRADO","CODIGO NO EXISTE",IF(COUNTIF($D$2:D52,D52)&gt;1,"DEVOLUCION DUPLICADA",IF(COUNTIFS(SALIDAS!$B$2:$B$1000,B52,SALIDAS!$D$2:$D$1000,D52,SALIDAS!$G$2:$G$1000,"OK*")=0,"NO FIGURA EN SALIDA","OK"))))</f>
        <v/>
      </c>
    </row>
    <row r="53">
      <c r="A53" s="9" t="inlineStr"/>
      <c r="B53" s="2" t="inlineStr"/>
      <c r="C53" s="2" t="inlineStr"/>
      <c r="D53" s="2" t="inlineStr"/>
      <c r="E53" s="2">
        <f>IF(D53="","",IFERROR(XLOOKUP(TRIM(D53),INVENTARIO!$A$2:$A$2000,INVENTARIO!$B$2:$B$2000),"NO ENCONTRADO"))</f>
        <v/>
      </c>
      <c r="F53" s="2">
        <f>IF(D53="","",IF(E53="NO ENCONTRADO","CODIGO NO EXISTE",IF(COUNTIF($D$2:D53,D53)&gt;1,"DEVOLUCION DUPLICADA",IF(COUNTIFS(SALIDAS!$B$2:$B$1000,B53,SALIDAS!$D$2:$D$1000,D53,SALIDAS!$G$2:$G$1000,"OK*")=0,"NO FIGURA EN SALIDA","OK"))))</f>
        <v/>
      </c>
    </row>
    <row r="54">
      <c r="A54" s="9" t="inlineStr"/>
      <c r="B54" s="2" t="inlineStr"/>
      <c r="C54" s="2" t="inlineStr"/>
      <c r="D54" s="2" t="inlineStr"/>
      <c r="E54" s="2">
        <f>IF(D54="","",IFERROR(XLOOKUP(TRIM(D54),INVENTARIO!$A$2:$A$2000,INVENTARIO!$B$2:$B$2000),"NO ENCONTRADO"))</f>
        <v/>
      </c>
      <c r="F54" s="2">
        <f>IF(D54="","",IF(E54="NO ENCONTRADO","CODIGO NO EXISTE",IF(COUNTIF($D$2:D54,D54)&gt;1,"DEVOLUCION DUPLICADA",IF(COUNTIFS(SALIDAS!$B$2:$B$1000,B54,SALIDAS!$D$2:$D$1000,D54,SALIDAS!$G$2:$G$1000,"OK*")=0,"NO FIGURA EN SALIDA","OK"))))</f>
        <v/>
      </c>
    </row>
    <row r="55">
      <c r="A55" s="9" t="inlineStr"/>
      <c r="B55" s="2" t="inlineStr"/>
      <c r="C55" s="2" t="inlineStr"/>
      <c r="D55" s="2" t="inlineStr"/>
      <c r="E55" s="2">
        <f>IF(D55="","",IFERROR(XLOOKUP(TRIM(D55),INVENTARIO!$A$2:$A$2000,INVENTARIO!$B$2:$B$2000),"NO ENCONTRADO"))</f>
        <v/>
      </c>
      <c r="F55" s="2">
        <f>IF(D55="","",IF(E55="NO ENCONTRADO","CODIGO NO EXISTE",IF(COUNTIF($D$2:D55,D55)&gt;1,"DEVOLUCION DUPLICADA",IF(COUNTIFS(SALIDAS!$B$2:$B$1000,B55,SALIDAS!$D$2:$D$1000,D55,SALIDAS!$G$2:$G$1000,"OK*")=0,"NO FIGURA EN SALIDA","OK"))))</f>
        <v/>
      </c>
    </row>
    <row r="56">
      <c r="A56" s="9" t="inlineStr"/>
      <c r="B56" s="2" t="inlineStr"/>
      <c r="C56" s="2" t="inlineStr"/>
      <c r="D56" s="2" t="inlineStr"/>
      <c r="E56" s="2">
        <f>IF(D56="","",IFERROR(XLOOKUP(TRIM(D56),INVENTARIO!$A$2:$A$2000,INVENTARIO!$B$2:$B$2000),"NO ENCONTRADO"))</f>
        <v/>
      </c>
      <c r="F56" s="2">
        <f>IF(D56="","",IF(E56="NO ENCONTRADO","CODIGO NO EXISTE",IF(COUNTIF($D$2:D56,D56)&gt;1,"DEVOLUCION DUPLICADA",IF(COUNTIFS(SALIDAS!$B$2:$B$1000,B56,SALIDAS!$D$2:$D$1000,D56,SALIDAS!$G$2:$G$1000,"OK*")=0,"NO FIGURA EN SALIDA","OK"))))</f>
        <v/>
      </c>
    </row>
    <row r="57">
      <c r="A57" s="9" t="inlineStr"/>
      <c r="B57" s="2" t="inlineStr"/>
      <c r="C57" s="2" t="inlineStr"/>
      <c r="D57" s="2" t="inlineStr"/>
      <c r="E57" s="2">
        <f>IF(D57="","",IFERROR(XLOOKUP(TRIM(D57),INVENTARIO!$A$2:$A$2000,INVENTARIO!$B$2:$B$2000),"NO ENCONTRADO"))</f>
        <v/>
      </c>
      <c r="F57" s="2">
        <f>IF(D57="","",IF(E57="NO ENCONTRADO","CODIGO NO EXISTE",IF(COUNTIF($D$2:D57,D57)&gt;1,"DEVOLUCION DUPLICADA",IF(COUNTIFS(SALIDAS!$B$2:$B$1000,B57,SALIDAS!$D$2:$D$1000,D57,SALIDAS!$G$2:$G$1000,"OK*")=0,"NO FIGURA EN SALIDA","OK"))))</f>
        <v/>
      </c>
    </row>
    <row r="58">
      <c r="A58" s="9" t="inlineStr"/>
      <c r="B58" s="2" t="inlineStr"/>
      <c r="C58" s="2" t="inlineStr"/>
      <c r="D58" s="2" t="inlineStr"/>
      <c r="E58" s="2">
        <f>IF(D58="","",IFERROR(XLOOKUP(TRIM(D58),INVENTARIO!$A$2:$A$2000,INVENTARIO!$B$2:$B$2000),"NO ENCONTRADO"))</f>
        <v/>
      </c>
      <c r="F58" s="2">
        <f>IF(D58="","",IF(E58="NO ENCONTRADO","CODIGO NO EXISTE",IF(COUNTIF($D$2:D58,D58)&gt;1,"DEVOLUCION DUPLICADA",IF(COUNTIFS(SALIDAS!$B$2:$B$1000,B58,SALIDAS!$D$2:$D$1000,D58,SALIDAS!$G$2:$G$1000,"OK*")=0,"NO FIGURA EN SALIDA","OK"))))</f>
        <v/>
      </c>
    </row>
    <row r="59">
      <c r="A59" s="9" t="inlineStr"/>
      <c r="B59" s="2" t="inlineStr"/>
      <c r="C59" s="2" t="inlineStr"/>
      <c r="D59" s="2" t="inlineStr"/>
      <c r="E59" s="2">
        <f>IF(D59="","",IFERROR(XLOOKUP(TRIM(D59),INVENTARIO!$A$2:$A$2000,INVENTARIO!$B$2:$B$2000),"NO ENCONTRADO"))</f>
        <v/>
      </c>
      <c r="F59" s="2">
        <f>IF(D59="","",IF(E59="NO ENCONTRADO","CODIGO NO EXISTE",IF(COUNTIF($D$2:D59,D59)&gt;1,"DEVOLUCION DUPLICADA",IF(COUNTIFS(SALIDAS!$B$2:$B$1000,B59,SALIDAS!$D$2:$D$1000,D59,SALIDAS!$G$2:$G$1000,"OK*")=0,"NO FIGURA EN SALIDA","OK"))))</f>
        <v/>
      </c>
    </row>
    <row r="60">
      <c r="A60" s="9" t="inlineStr"/>
      <c r="B60" s="2" t="inlineStr"/>
      <c r="C60" s="2" t="inlineStr"/>
      <c r="D60" s="2" t="inlineStr"/>
      <c r="E60" s="2">
        <f>IF(D60="","",IFERROR(XLOOKUP(TRIM(D60),INVENTARIO!$A$2:$A$2000,INVENTARIO!$B$2:$B$2000),"NO ENCONTRADO"))</f>
        <v/>
      </c>
      <c r="F60" s="2">
        <f>IF(D60="","",IF(E60="NO ENCONTRADO","CODIGO NO EXISTE",IF(COUNTIF($D$2:D60,D60)&gt;1,"DEVOLUCION DUPLICADA",IF(COUNTIFS(SALIDAS!$B$2:$B$1000,B60,SALIDAS!$D$2:$D$1000,D60,SALIDAS!$G$2:$G$1000,"OK*")=0,"NO FIGURA EN SALIDA","OK"))))</f>
        <v/>
      </c>
    </row>
    <row r="61">
      <c r="A61" s="9" t="inlineStr"/>
      <c r="B61" s="2" t="inlineStr"/>
      <c r="C61" s="2" t="inlineStr"/>
      <c r="D61" s="2" t="inlineStr"/>
      <c r="E61" s="2">
        <f>IF(D61="","",IFERROR(XLOOKUP(TRIM(D61),INVENTARIO!$A$2:$A$2000,INVENTARIO!$B$2:$B$2000),"NO ENCONTRADO"))</f>
        <v/>
      </c>
      <c r="F61" s="2">
        <f>IF(D61="","",IF(E61="NO ENCONTRADO","CODIGO NO EXISTE",IF(COUNTIF($D$2:D61,D61)&gt;1,"DEVOLUCION DUPLICADA",IF(COUNTIFS(SALIDAS!$B$2:$B$1000,B61,SALIDAS!$D$2:$D$1000,D61,SALIDAS!$G$2:$G$1000,"OK*")=0,"NO FIGURA EN SALIDA","OK"))))</f>
        <v/>
      </c>
    </row>
    <row r="62">
      <c r="A62" s="9" t="inlineStr"/>
      <c r="B62" s="2" t="inlineStr"/>
      <c r="C62" s="2" t="inlineStr"/>
      <c r="D62" s="2" t="inlineStr"/>
      <c r="E62" s="2">
        <f>IF(D62="","",IFERROR(XLOOKUP(TRIM(D62),INVENTARIO!$A$2:$A$2000,INVENTARIO!$B$2:$B$2000),"NO ENCONTRADO"))</f>
        <v/>
      </c>
      <c r="F62" s="2">
        <f>IF(D62="","",IF(E62="NO ENCONTRADO","CODIGO NO EXISTE",IF(COUNTIF($D$2:D62,D62)&gt;1,"DEVOLUCION DUPLICADA",IF(COUNTIFS(SALIDAS!$B$2:$B$1000,B62,SALIDAS!$D$2:$D$1000,D62,SALIDAS!$G$2:$G$1000,"OK*")=0,"NO FIGURA EN SALIDA","OK"))))</f>
        <v/>
      </c>
    </row>
    <row r="63">
      <c r="A63" s="9" t="inlineStr"/>
      <c r="B63" s="2" t="inlineStr"/>
      <c r="C63" s="2" t="inlineStr"/>
      <c r="D63" s="2" t="inlineStr"/>
      <c r="E63" s="2">
        <f>IF(D63="","",IFERROR(XLOOKUP(TRIM(D63),INVENTARIO!$A$2:$A$2000,INVENTARIO!$B$2:$B$2000),"NO ENCONTRADO"))</f>
        <v/>
      </c>
      <c r="F63" s="2">
        <f>IF(D63="","",IF(E63="NO ENCONTRADO","CODIGO NO EXISTE",IF(COUNTIF($D$2:D63,D63)&gt;1,"DEVOLUCION DUPLICADA",IF(COUNTIFS(SALIDAS!$B$2:$B$1000,B63,SALIDAS!$D$2:$D$1000,D63,SALIDAS!$G$2:$G$1000,"OK*")=0,"NO FIGURA EN SALIDA","OK"))))</f>
        <v/>
      </c>
    </row>
    <row r="64">
      <c r="A64" s="9" t="inlineStr"/>
      <c r="B64" s="2" t="inlineStr"/>
      <c r="C64" s="2" t="inlineStr"/>
      <c r="D64" s="2" t="inlineStr"/>
      <c r="E64" s="2">
        <f>IF(D64="","",IFERROR(XLOOKUP(TRIM(D64),INVENTARIO!$A$2:$A$2000,INVENTARIO!$B$2:$B$2000),"NO ENCONTRADO"))</f>
        <v/>
      </c>
      <c r="F64" s="2">
        <f>IF(D64="","",IF(E64="NO ENCONTRADO","CODIGO NO EXISTE",IF(COUNTIF($D$2:D64,D64)&gt;1,"DEVOLUCION DUPLICADA",IF(COUNTIFS(SALIDAS!$B$2:$B$1000,B64,SALIDAS!$D$2:$D$1000,D64,SALIDAS!$G$2:$G$1000,"OK*")=0,"NO FIGURA EN SALIDA","OK"))))</f>
        <v/>
      </c>
    </row>
    <row r="65">
      <c r="A65" s="9" t="inlineStr"/>
      <c r="B65" s="2" t="inlineStr"/>
      <c r="C65" s="2" t="inlineStr"/>
      <c r="D65" s="2" t="inlineStr"/>
      <c r="E65" s="2">
        <f>IF(D65="","",IFERROR(XLOOKUP(TRIM(D65),INVENTARIO!$A$2:$A$2000,INVENTARIO!$B$2:$B$2000),"NO ENCONTRADO"))</f>
        <v/>
      </c>
      <c r="F65" s="2">
        <f>IF(D65="","",IF(E65="NO ENCONTRADO","CODIGO NO EXISTE",IF(COUNTIF($D$2:D65,D65)&gt;1,"DEVOLUCION DUPLICADA",IF(COUNTIFS(SALIDAS!$B$2:$B$1000,B65,SALIDAS!$D$2:$D$1000,D65,SALIDAS!$G$2:$G$1000,"OK*")=0,"NO FIGURA EN SALIDA","OK"))))</f>
        <v/>
      </c>
    </row>
    <row r="66">
      <c r="A66" s="9" t="inlineStr"/>
      <c r="B66" s="2" t="inlineStr"/>
      <c r="C66" s="2" t="inlineStr"/>
      <c r="D66" s="2" t="inlineStr"/>
      <c r="E66" s="2">
        <f>IF(D66="","",IFERROR(XLOOKUP(TRIM(D66),INVENTARIO!$A$2:$A$2000,INVENTARIO!$B$2:$B$2000),"NO ENCONTRADO"))</f>
        <v/>
      </c>
      <c r="F66" s="2">
        <f>IF(D66="","",IF(E66="NO ENCONTRADO","CODIGO NO EXISTE",IF(COUNTIF($D$2:D66,D66)&gt;1,"DEVOLUCION DUPLICADA",IF(COUNTIFS(SALIDAS!$B$2:$B$1000,B66,SALIDAS!$D$2:$D$1000,D66,SALIDAS!$G$2:$G$1000,"OK*")=0,"NO FIGURA EN SALIDA","OK"))))</f>
        <v/>
      </c>
    </row>
    <row r="67">
      <c r="A67" s="9" t="inlineStr"/>
      <c r="B67" s="2" t="inlineStr"/>
      <c r="C67" s="2" t="inlineStr"/>
      <c r="D67" s="2" t="inlineStr"/>
      <c r="E67" s="2">
        <f>IF(D67="","",IFERROR(XLOOKUP(TRIM(D67),INVENTARIO!$A$2:$A$2000,INVENTARIO!$B$2:$B$2000),"NO ENCONTRADO"))</f>
        <v/>
      </c>
      <c r="F67" s="2">
        <f>IF(D67="","",IF(E67="NO ENCONTRADO","CODIGO NO EXISTE",IF(COUNTIF($D$2:D67,D67)&gt;1,"DEVOLUCION DUPLICADA",IF(COUNTIFS(SALIDAS!$B$2:$B$1000,B67,SALIDAS!$D$2:$D$1000,D67,SALIDAS!$G$2:$G$1000,"OK*")=0,"NO FIGURA EN SALIDA","OK"))))</f>
        <v/>
      </c>
    </row>
    <row r="68">
      <c r="A68" s="9" t="inlineStr"/>
      <c r="B68" s="2" t="inlineStr"/>
      <c r="C68" s="2" t="inlineStr"/>
      <c r="D68" s="2" t="inlineStr"/>
      <c r="E68" s="2">
        <f>IF(D68="","",IFERROR(XLOOKUP(TRIM(D68),INVENTARIO!$A$2:$A$2000,INVENTARIO!$B$2:$B$2000),"NO ENCONTRADO"))</f>
        <v/>
      </c>
      <c r="F68" s="2">
        <f>IF(D68="","",IF(E68="NO ENCONTRADO","CODIGO NO EXISTE",IF(COUNTIF($D$2:D68,D68)&gt;1,"DEVOLUCION DUPLICADA",IF(COUNTIFS(SALIDAS!$B$2:$B$1000,B68,SALIDAS!$D$2:$D$1000,D68,SALIDAS!$G$2:$G$1000,"OK*")=0,"NO FIGURA EN SALIDA","OK"))))</f>
        <v/>
      </c>
    </row>
    <row r="69">
      <c r="A69" s="9" t="inlineStr"/>
      <c r="B69" s="2" t="inlineStr"/>
      <c r="C69" s="2" t="inlineStr"/>
      <c r="D69" s="2" t="inlineStr"/>
      <c r="E69" s="2">
        <f>IF(D69="","",IFERROR(XLOOKUP(TRIM(D69),INVENTARIO!$A$2:$A$2000,INVENTARIO!$B$2:$B$2000),"NO ENCONTRADO"))</f>
        <v/>
      </c>
      <c r="F69" s="2">
        <f>IF(D69="","",IF(E69="NO ENCONTRADO","CODIGO NO EXISTE",IF(COUNTIF($D$2:D69,D69)&gt;1,"DEVOLUCION DUPLICADA",IF(COUNTIFS(SALIDAS!$B$2:$B$1000,B69,SALIDAS!$D$2:$D$1000,D69,SALIDAS!$G$2:$G$1000,"OK*")=0,"NO FIGURA EN SALIDA","OK"))))</f>
        <v/>
      </c>
    </row>
    <row r="70">
      <c r="A70" s="9" t="inlineStr"/>
      <c r="B70" s="2" t="inlineStr"/>
      <c r="C70" s="2" t="inlineStr"/>
      <c r="D70" s="2" t="inlineStr"/>
      <c r="E70" s="2">
        <f>IF(D70="","",IFERROR(XLOOKUP(TRIM(D70),INVENTARIO!$A$2:$A$2000,INVENTARIO!$B$2:$B$2000),"NO ENCONTRADO"))</f>
        <v/>
      </c>
      <c r="F70" s="2">
        <f>IF(D70="","",IF(E70="NO ENCONTRADO","CODIGO NO EXISTE",IF(COUNTIF($D$2:D70,D70)&gt;1,"DEVOLUCION DUPLICADA",IF(COUNTIFS(SALIDAS!$B$2:$B$1000,B70,SALIDAS!$D$2:$D$1000,D70,SALIDAS!$G$2:$G$1000,"OK*")=0,"NO FIGURA EN SALIDA","OK"))))</f>
        <v/>
      </c>
    </row>
    <row r="71">
      <c r="A71" s="9" t="inlineStr"/>
      <c r="B71" s="2" t="inlineStr"/>
      <c r="C71" s="2" t="inlineStr"/>
      <c r="D71" s="2" t="inlineStr"/>
      <c r="E71" s="2">
        <f>IF(D71="","",IFERROR(XLOOKUP(TRIM(D71),INVENTARIO!$A$2:$A$2000,INVENTARIO!$B$2:$B$2000),"NO ENCONTRADO"))</f>
        <v/>
      </c>
      <c r="F71" s="2">
        <f>IF(D71="","",IF(E71="NO ENCONTRADO","CODIGO NO EXISTE",IF(COUNTIF($D$2:D71,D71)&gt;1,"DEVOLUCION DUPLICADA",IF(COUNTIFS(SALIDAS!$B$2:$B$1000,B71,SALIDAS!$D$2:$D$1000,D71,SALIDAS!$G$2:$G$1000,"OK*")=0,"NO FIGURA EN SALIDA","OK"))))</f>
        <v/>
      </c>
    </row>
    <row r="72">
      <c r="A72" s="9" t="inlineStr"/>
      <c r="B72" s="2" t="inlineStr"/>
      <c r="C72" s="2" t="inlineStr"/>
      <c r="D72" s="2" t="inlineStr"/>
      <c r="E72" s="2">
        <f>IF(D72="","",IFERROR(XLOOKUP(TRIM(D72),INVENTARIO!$A$2:$A$2000,INVENTARIO!$B$2:$B$2000),"NO ENCONTRADO"))</f>
        <v/>
      </c>
      <c r="F72" s="2">
        <f>IF(D72="","",IF(E72="NO ENCONTRADO","CODIGO NO EXISTE",IF(COUNTIF($D$2:D72,D72)&gt;1,"DEVOLUCION DUPLICADA",IF(COUNTIFS(SALIDAS!$B$2:$B$1000,B72,SALIDAS!$D$2:$D$1000,D72,SALIDAS!$G$2:$G$1000,"OK*")=0,"NO FIGURA EN SALIDA","OK"))))</f>
        <v/>
      </c>
    </row>
    <row r="73">
      <c r="A73" s="9" t="inlineStr"/>
      <c r="B73" s="2" t="inlineStr"/>
      <c r="C73" s="2" t="inlineStr"/>
      <c r="D73" s="2" t="inlineStr"/>
      <c r="E73" s="2">
        <f>IF(D73="","",IFERROR(XLOOKUP(TRIM(D73),INVENTARIO!$A$2:$A$2000,INVENTARIO!$B$2:$B$2000),"NO ENCONTRADO"))</f>
        <v/>
      </c>
      <c r="F73" s="2">
        <f>IF(D73="","",IF(E73="NO ENCONTRADO","CODIGO NO EXISTE",IF(COUNTIF($D$2:D73,D73)&gt;1,"DEVOLUCION DUPLICADA",IF(COUNTIFS(SALIDAS!$B$2:$B$1000,B73,SALIDAS!$D$2:$D$1000,D73,SALIDAS!$G$2:$G$1000,"OK*")=0,"NO FIGURA EN SALIDA","OK"))))</f>
        <v/>
      </c>
    </row>
    <row r="74">
      <c r="A74" s="9" t="inlineStr"/>
      <c r="B74" s="2" t="inlineStr"/>
      <c r="C74" s="2" t="inlineStr"/>
      <c r="D74" s="2" t="inlineStr"/>
      <c r="E74" s="2">
        <f>IF(D74="","",IFERROR(XLOOKUP(TRIM(D74),INVENTARIO!$A$2:$A$2000,INVENTARIO!$B$2:$B$2000),"NO ENCONTRADO"))</f>
        <v/>
      </c>
      <c r="F74" s="2">
        <f>IF(D74="","",IF(E74="NO ENCONTRADO","CODIGO NO EXISTE",IF(COUNTIF($D$2:D74,D74)&gt;1,"DEVOLUCION DUPLICADA",IF(COUNTIFS(SALIDAS!$B$2:$B$1000,B74,SALIDAS!$D$2:$D$1000,D74,SALIDAS!$G$2:$G$1000,"OK*")=0,"NO FIGURA EN SALIDA","OK"))))</f>
        <v/>
      </c>
    </row>
    <row r="75">
      <c r="A75" s="9" t="inlineStr"/>
      <c r="B75" s="2" t="inlineStr"/>
      <c r="C75" s="2" t="inlineStr"/>
      <c r="D75" s="2" t="inlineStr"/>
      <c r="E75" s="2">
        <f>IF(D75="","",IFERROR(XLOOKUP(TRIM(D75),INVENTARIO!$A$2:$A$2000,INVENTARIO!$B$2:$B$2000),"NO ENCONTRADO"))</f>
        <v/>
      </c>
      <c r="F75" s="2">
        <f>IF(D75="","",IF(E75="NO ENCONTRADO","CODIGO NO EXISTE",IF(COUNTIF($D$2:D75,D75)&gt;1,"DEVOLUCION DUPLICADA",IF(COUNTIFS(SALIDAS!$B$2:$B$1000,B75,SALIDAS!$D$2:$D$1000,D75,SALIDAS!$G$2:$G$1000,"OK*")=0,"NO FIGURA EN SALIDA","OK"))))</f>
        <v/>
      </c>
    </row>
    <row r="76">
      <c r="A76" s="9" t="inlineStr"/>
      <c r="B76" s="2" t="inlineStr"/>
      <c r="C76" s="2" t="inlineStr"/>
      <c r="D76" s="2" t="inlineStr"/>
      <c r="E76" s="2">
        <f>IF(D76="","",IFERROR(XLOOKUP(TRIM(D76),INVENTARIO!$A$2:$A$2000,INVENTARIO!$B$2:$B$2000),"NO ENCONTRADO"))</f>
        <v/>
      </c>
      <c r="F76" s="2">
        <f>IF(D76="","",IF(E76="NO ENCONTRADO","CODIGO NO EXISTE",IF(COUNTIF($D$2:D76,D76)&gt;1,"DEVOLUCION DUPLICADA",IF(COUNTIFS(SALIDAS!$B$2:$B$1000,B76,SALIDAS!$D$2:$D$1000,D76,SALIDAS!$G$2:$G$1000,"OK*")=0,"NO FIGURA EN SALIDA","OK"))))</f>
        <v/>
      </c>
    </row>
    <row r="77">
      <c r="A77" s="9" t="inlineStr"/>
      <c r="B77" s="2" t="inlineStr"/>
      <c r="C77" s="2" t="inlineStr"/>
      <c r="D77" s="2" t="inlineStr"/>
      <c r="E77" s="2">
        <f>IF(D77="","",IFERROR(XLOOKUP(TRIM(D77),INVENTARIO!$A$2:$A$2000,INVENTARIO!$B$2:$B$2000),"NO ENCONTRADO"))</f>
        <v/>
      </c>
      <c r="F77" s="2">
        <f>IF(D77="","",IF(E77="NO ENCONTRADO","CODIGO NO EXISTE",IF(COUNTIF($D$2:D77,D77)&gt;1,"DEVOLUCION DUPLICADA",IF(COUNTIFS(SALIDAS!$B$2:$B$1000,B77,SALIDAS!$D$2:$D$1000,D77,SALIDAS!$G$2:$G$1000,"OK*")=0,"NO FIGURA EN SALIDA","OK"))))</f>
        <v/>
      </c>
    </row>
    <row r="78">
      <c r="A78" s="9" t="inlineStr"/>
      <c r="B78" s="2" t="inlineStr"/>
      <c r="C78" s="2" t="inlineStr"/>
      <c r="D78" s="2" t="inlineStr"/>
      <c r="E78" s="2">
        <f>IF(D78="","",IFERROR(XLOOKUP(TRIM(D78),INVENTARIO!$A$2:$A$2000,INVENTARIO!$B$2:$B$2000),"NO ENCONTRADO"))</f>
        <v/>
      </c>
      <c r="F78" s="2">
        <f>IF(D78="","",IF(E78="NO ENCONTRADO","CODIGO NO EXISTE",IF(COUNTIF($D$2:D78,D78)&gt;1,"DEVOLUCION DUPLICADA",IF(COUNTIFS(SALIDAS!$B$2:$B$1000,B78,SALIDAS!$D$2:$D$1000,D78,SALIDAS!$G$2:$G$1000,"OK*")=0,"NO FIGURA EN SALIDA","OK"))))</f>
        <v/>
      </c>
    </row>
    <row r="79">
      <c r="A79" s="9" t="inlineStr"/>
      <c r="B79" s="2" t="inlineStr"/>
      <c r="C79" s="2" t="inlineStr"/>
      <c r="D79" s="2" t="inlineStr"/>
      <c r="E79" s="2">
        <f>IF(D79="","",IFERROR(XLOOKUP(TRIM(D79),INVENTARIO!$A$2:$A$2000,INVENTARIO!$B$2:$B$2000),"NO ENCONTRADO"))</f>
        <v/>
      </c>
      <c r="F79" s="2">
        <f>IF(D79="","",IF(E79="NO ENCONTRADO","CODIGO NO EXISTE",IF(COUNTIF($D$2:D79,D79)&gt;1,"DEVOLUCION DUPLICADA",IF(COUNTIFS(SALIDAS!$B$2:$B$1000,B79,SALIDAS!$D$2:$D$1000,D79,SALIDAS!$G$2:$G$1000,"OK*")=0,"NO FIGURA EN SALIDA","OK"))))</f>
        <v/>
      </c>
    </row>
    <row r="80">
      <c r="A80" s="9" t="inlineStr"/>
      <c r="B80" s="2" t="inlineStr"/>
      <c r="C80" s="2" t="inlineStr"/>
      <c r="D80" s="2" t="inlineStr"/>
      <c r="E80" s="2">
        <f>IF(D80="","",IFERROR(XLOOKUP(TRIM(D80),INVENTARIO!$A$2:$A$2000,INVENTARIO!$B$2:$B$2000),"NO ENCONTRADO"))</f>
        <v/>
      </c>
      <c r="F80" s="2">
        <f>IF(D80="","",IF(E80="NO ENCONTRADO","CODIGO NO EXISTE",IF(COUNTIF($D$2:D80,D80)&gt;1,"DEVOLUCION DUPLICADA",IF(COUNTIFS(SALIDAS!$B$2:$B$1000,B80,SALIDAS!$D$2:$D$1000,D80,SALIDAS!$G$2:$G$1000,"OK*")=0,"NO FIGURA EN SALIDA","OK"))))</f>
        <v/>
      </c>
    </row>
    <row r="81">
      <c r="A81" s="9" t="inlineStr"/>
      <c r="B81" s="2" t="inlineStr"/>
      <c r="C81" s="2" t="inlineStr"/>
      <c r="D81" s="2" t="inlineStr"/>
      <c r="E81" s="2">
        <f>IF(D81="","",IFERROR(XLOOKUP(TRIM(D81),INVENTARIO!$A$2:$A$2000,INVENTARIO!$B$2:$B$2000),"NO ENCONTRADO"))</f>
        <v/>
      </c>
      <c r="F81" s="2">
        <f>IF(D81="","",IF(E81="NO ENCONTRADO","CODIGO NO EXISTE",IF(COUNTIF($D$2:D81,D81)&gt;1,"DEVOLUCION DUPLICADA",IF(COUNTIFS(SALIDAS!$B$2:$B$1000,B81,SALIDAS!$D$2:$D$1000,D81,SALIDAS!$G$2:$G$1000,"OK*")=0,"NO FIGURA EN SALIDA","OK"))))</f>
        <v/>
      </c>
    </row>
    <row r="82">
      <c r="A82" s="9" t="inlineStr"/>
      <c r="B82" s="2" t="inlineStr"/>
      <c r="C82" s="2" t="inlineStr"/>
      <c r="D82" s="2" t="inlineStr"/>
      <c r="E82" s="2">
        <f>IF(D82="","",IFERROR(XLOOKUP(TRIM(D82),INVENTARIO!$A$2:$A$2000,INVENTARIO!$B$2:$B$2000),"NO ENCONTRADO"))</f>
        <v/>
      </c>
      <c r="F82" s="2">
        <f>IF(D82="","",IF(E82="NO ENCONTRADO","CODIGO NO EXISTE",IF(COUNTIF($D$2:D82,D82)&gt;1,"DEVOLUCION DUPLICADA",IF(COUNTIFS(SALIDAS!$B$2:$B$1000,B82,SALIDAS!$D$2:$D$1000,D82,SALIDAS!$G$2:$G$1000,"OK*")=0,"NO FIGURA EN SALIDA","OK"))))</f>
        <v/>
      </c>
    </row>
    <row r="83">
      <c r="A83" s="9" t="inlineStr"/>
      <c r="B83" s="2" t="inlineStr"/>
      <c r="C83" s="2" t="inlineStr"/>
      <c r="D83" s="2" t="inlineStr"/>
      <c r="E83" s="2">
        <f>IF(D83="","",IFERROR(XLOOKUP(TRIM(D83),INVENTARIO!$A$2:$A$2000,INVENTARIO!$B$2:$B$2000),"NO ENCONTRADO"))</f>
        <v/>
      </c>
      <c r="F83" s="2">
        <f>IF(D83="","",IF(E83="NO ENCONTRADO","CODIGO NO EXISTE",IF(COUNTIF($D$2:D83,D83)&gt;1,"DEVOLUCION DUPLICADA",IF(COUNTIFS(SALIDAS!$B$2:$B$1000,B83,SALIDAS!$D$2:$D$1000,D83,SALIDAS!$G$2:$G$1000,"OK*")=0,"NO FIGURA EN SALIDA","OK"))))</f>
        <v/>
      </c>
    </row>
    <row r="84">
      <c r="A84" s="9" t="inlineStr"/>
      <c r="B84" s="2" t="inlineStr"/>
      <c r="C84" s="2" t="inlineStr"/>
      <c r="D84" s="2" t="inlineStr"/>
      <c r="E84" s="2">
        <f>IF(D84="","",IFERROR(XLOOKUP(TRIM(D84),INVENTARIO!$A$2:$A$2000,INVENTARIO!$B$2:$B$2000),"NO ENCONTRADO"))</f>
        <v/>
      </c>
      <c r="F84" s="2">
        <f>IF(D84="","",IF(E84="NO ENCONTRADO","CODIGO NO EXISTE",IF(COUNTIF($D$2:D84,D84)&gt;1,"DEVOLUCION DUPLICADA",IF(COUNTIFS(SALIDAS!$B$2:$B$1000,B84,SALIDAS!$D$2:$D$1000,D84,SALIDAS!$G$2:$G$1000,"OK*")=0,"NO FIGURA EN SALIDA","OK"))))</f>
        <v/>
      </c>
    </row>
    <row r="85">
      <c r="A85" s="9" t="inlineStr"/>
      <c r="B85" s="2" t="inlineStr"/>
      <c r="C85" s="2" t="inlineStr"/>
      <c r="D85" s="2" t="inlineStr"/>
      <c r="E85" s="2">
        <f>IF(D85="","",IFERROR(XLOOKUP(TRIM(D85),INVENTARIO!$A$2:$A$2000,INVENTARIO!$B$2:$B$2000),"NO ENCONTRADO"))</f>
        <v/>
      </c>
      <c r="F85" s="2">
        <f>IF(D85="","",IF(E85="NO ENCONTRADO","CODIGO NO EXISTE",IF(COUNTIF($D$2:D85,D85)&gt;1,"DEVOLUCION DUPLICADA",IF(COUNTIFS(SALIDAS!$B$2:$B$1000,B85,SALIDAS!$D$2:$D$1000,D85,SALIDAS!$G$2:$G$1000,"OK*")=0,"NO FIGURA EN SALIDA","OK"))))</f>
        <v/>
      </c>
    </row>
    <row r="86">
      <c r="A86" s="9" t="inlineStr"/>
      <c r="B86" s="2" t="inlineStr"/>
      <c r="C86" s="2" t="inlineStr"/>
      <c r="D86" s="2" t="inlineStr"/>
      <c r="E86" s="2">
        <f>IF(D86="","",IFERROR(XLOOKUP(TRIM(D86),INVENTARIO!$A$2:$A$2000,INVENTARIO!$B$2:$B$2000),"NO ENCONTRADO"))</f>
        <v/>
      </c>
      <c r="F86" s="2">
        <f>IF(D86="","",IF(E86="NO ENCONTRADO","CODIGO NO EXISTE",IF(COUNTIF($D$2:D86,D86)&gt;1,"DEVOLUCION DUPLICADA",IF(COUNTIFS(SALIDAS!$B$2:$B$1000,B86,SALIDAS!$D$2:$D$1000,D86,SALIDAS!$G$2:$G$1000,"OK*")=0,"NO FIGURA EN SALIDA","OK"))))</f>
        <v/>
      </c>
    </row>
    <row r="87">
      <c r="A87" s="9" t="inlineStr"/>
      <c r="B87" s="2" t="inlineStr"/>
      <c r="C87" s="2" t="inlineStr"/>
      <c r="D87" s="2" t="inlineStr"/>
      <c r="E87" s="2">
        <f>IF(D87="","",IFERROR(XLOOKUP(TRIM(D87),INVENTARIO!$A$2:$A$2000,INVENTARIO!$B$2:$B$2000),"NO ENCONTRADO"))</f>
        <v/>
      </c>
      <c r="F87" s="2">
        <f>IF(D87="","",IF(E87="NO ENCONTRADO","CODIGO NO EXISTE",IF(COUNTIF($D$2:D87,D87)&gt;1,"DEVOLUCION DUPLICADA",IF(COUNTIFS(SALIDAS!$B$2:$B$1000,B87,SALIDAS!$D$2:$D$1000,D87,SALIDAS!$G$2:$G$1000,"OK*")=0,"NO FIGURA EN SALIDA","OK"))))</f>
        <v/>
      </c>
    </row>
    <row r="88">
      <c r="A88" s="9" t="inlineStr"/>
      <c r="B88" s="2" t="inlineStr"/>
      <c r="C88" s="2" t="inlineStr"/>
      <c r="D88" s="2" t="inlineStr"/>
      <c r="E88" s="2">
        <f>IF(D88="","",IFERROR(XLOOKUP(TRIM(D88),INVENTARIO!$A$2:$A$2000,INVENTARIO!$B$2:$B$2000),"NO ENCONTRADO"))</f>
        <v/>
      </c>
      <c r="F88" s="2">
        <f>IF(D88="","",IF(E88="NO ENCONTRADO","CODIGO NO EXISTE",IF(COUNTIF($D$2:D88,D88)&gt;1,"DEVOLUCION DUPLICADA",IF(COUNTIFS(SALIDAS!$B$2:$B$1000,B88,SALIDAS!$D$2:$D$1000,D88,SALIDAS!$G$2:$G$1000,"OK*")=0,"NO FIGURA EN SALIDA","OK"))))</f>
        <v/>
      </c>
    </row>
    <row r="89">
      <c r="A89" s="9" t="inlineStr"/>
      <c r="B89" s="2" t="inlineStr"/>
      <c r="C89" s="2" t="inlineStr"/>
      <c r="D89" s="2" t="inlineStr"/>
      <c r="E89" s="2">
        <f>IF(D89="","",IFERROR(XLOOKUP(TRIM(D89),INVENTARIO!$A$2:$A$2000,INVENTARIO!$B$2:$B$2000),"NO ENCONTRADO"))</f>
        <v/>
      </c>
      <c r="F89" s="2">
        <f>IF(D89="","",IF(E89="NO ENCONTRADO","CODIGO NO EXISTE",IF(COUNTIF($D$2:D89,D89)&gt;1,"DEVOLUCION DUPLICADA",IF(COUNTIFS(SALIDAS!$B$2:$B$1000,B89,SALIDAS!$D$2:$D$1000,D89,SALIDAS!$G$2:$G$1000,"OK*")=0,"NO FIGURA EN SALIDA","OK"))))</f>
        <v/>
      </c>
    </row>
    <row r="90">
      <c r="A90" s="9" t="inlineStr"/>
      <c r="B90" s="2" t="inlineStr"/>
      <c r="C90" s="2" t="inlineStr"/>
      <c r="D90" s="2" t="inlineStr"/>
      <c r="E90" s="2">
        <f>IF(D90="","",IFERROR(XLOOKUP(TRIM(D90),INVENTARIO!$A$2:$A$2000,INVENTARIO!$B$2:$B$2000),"NO ENCONTRADO"))</f>
        <v/>
      </c>
      <c r="F90" s="2">
        <f>IF(D90="","",IF(E90="NO ENCONTRADO","CODIGO NO EXISTE",IF(COUNTIF($D$2:D90,D90)&gt;1,"DEVOLUCION DUPLICADA",IF(COUNTIFS(SALIDAS!$B$2:$B$1000,B90,SALIDAS!$D$2:$D$1000,D90,SALIDAS!$G$2:$G$1000,"OK*")=0,"NO FIGURA EN SALIDA","OK"))))</f>
        <v/>
      </c>
    </row>
    <row r="91">
      <c r="A91" s="9" t="inlineStr"/>
      <c r="B91" s="2" t="inlineStr"/>
      <c r="C91" s="2" t="inlineStr"/>
      <c r="D91" s="2" t="inlineStr"/>
      <c r="E91" s="2">
        <f>IF(D91="","",IFERROR(XLOOKUP(TRIM(D91),INVENTARIO!$A$2:$A$2000,INVENTARIO!$B$2:$B$2000),"NO ENCONTRADO"))</f>
        <v/>
      </c>
      <c r="F91" s="2">
        <f>IF(D91="","",IF(E91="NO ENCONTRADO","CODIGO NO EXISTE",IF(COUNTIF($D$2:D91,D91)&gt;1,"DEVOLUCION DUPLICADA",IF(COUNTIFS(SALIDAS!$B$2:$B$1000,B91,SALIDAS!$D$2:$D$1000,D91,SALIDAS!$G$2:$G$1000,"OK*")=0,"NO FIGURA EN SALIDA","OK"))))</f>
        <v/>
      </c>
    </row>
    <row r="92">
      <c r="A92" s="9" t="inlineStr"/>
      <c r="B92" s="2" t="inlineStr"/>
      <c r="C92" s="2" t="inlineStr"/>
      <c r="D92" s="2" t="inlineStr"/>
      <c r="E92" s="2">
        <f>IF(D92="","",IFERROR(XLOOKUP(TRIM(D92),INVENTARIO!$A$2:$A$2000,INVENTARIO!$B$2:$B$2000),"NO ENCONTRADO"))</f>
        <v/>
      </c>
      <c r="F92" s="2">
        <f>IF(D92="","",IF(E92="NO ENCONTRADO","CODIGO NO EXISTE",IF(COUNTIF($D$2:D92,D92)&gt;1,"DEVOLUCION DUPLICADA",IF(COUNTIFS(SALIDAS!$B$2:$B$1000,B92,SALIDAS!$D$2:$D$1000,D92,SALIDAS!$G$2:$G$1000,"OK*")=0,"NO FIGURA EN SALIDA","OK"))))</f>
        <v/>
      </c>
    </row>
    <row r="93">
      <c r="A93" s="9" t="inlineStr"/>
      <c r="B93" s="2" t="inlineStr"/>
      <c r="C93" s="2" t="inlineStr"/>
      <c r="D93" s="2" t="inlineStr"/>
      <c r="E93" s="2">
        <f>IF(D93="","",IFERROR(XLOOKUP(TRIM(D93),INVENTARIO!$A$2:$A$2000,INVENTARIO!$B$2:$B$2000),"NO ENCONTRADO"))</f>
        <v/>
      </c>
      <c r="F93" s="2">
        <f>IF(D93="","",IF(E93="NO ENCONTRADO","CODIGO NO EXISTE",IF(COUNTIF($D$2:D93,D93)&gt;1,"DEVOLUCION DUPLICADA",IF(COUNTIFS(SALIDAS!$B$2:$B$1000,B93,SALIDAS!$D$2:$D$1000,D93,SALIDAS!$G$2:$G$1000,"OK*")=0,"NO FIGURA EN SALIDA","OK"))))</f>
        <v/>
      </c>
    </row>
    <row r="94">
      <c r="A94" s="9" t="inlineStr"/>
      <c r="B94" s="2" t="inlineStr"/>
      <c r="C94" s="2" t="inlineStr"/>
      <c r="D94" s="2" t="inlineStr"/>
      <c r="E94" s="2">
        <f>IF(D94="","",IFERROR(XLOOKUP(TRIM(D94),INVENTARIO!$A$2:$A$2000,INVENTARIO!$B$2:$B$2000),"NO ENCONTRADO"))</f>
        <v/>
      </c>
      <c r="F94" s="2">
        <f>IF(D94="","",IF(E94="NO ENCONTRADO","CODIGO NO EXISTE",IF(COUNTIF($D$2:D94,D94)&gt;1,"DEVOLUCION DUPLICADA",IF(COUNTIFS(SALIDAS!$B$2:$B$1000,B94,SALIDAS!$D$2:$D$1000,D94,SALIDAS!$G$2:$G$1000,"OK*")=0,"NO FIGURA EN SALIDA","OK"))))</f>
        <v/>
      </c>
    </row>
    <row r="95">
      <c r="A95" s="9" t="inlineStr"/>
      <c r="B95" s="2" t="inlineStr"/>
      <c r="C95" s="2" t="inlineStr"/>
      <c r="D95" s="2" t="inlineStr"/>
      <c r="E95" s="2">
        <f>IF(D95="","",IFERROR(XLOOKUP(TRIM(D95),INVENTARIO!$A$2:$A$2000,INVENTARIO!$B$2:$B$2000),"NO ENCONTRADO"))</f>
        <v/>
      </c>
      <c r="F95" s="2">
        <f>IF(D95="","",IF(E95="NO ENCONTRADO","CODIGO NO EXISTE",IF(COUNTIF($D$2:D95,D95)&gt;1,"DEVOLUCION DUPLICADA",IF(COUNTIFS(SALIDAS!$B$2:$B$1000,B95,SALIDAS!$D$2:$D$1000,D95,SALIDAS!$G$2:$G$1000,"OK*")=0,"NO FIGURA EN SALIDA","OK"))))</f>
        <v/>
      </c>
    </row>
    <row r="96">
      <c r="A96" s="9" t="inlineStr"/>
      <c r="B96" s="2" t="inlineStr"/>
      <c r="C96" s="2" t="inlineStr"/>
      <c r="D96" s="2" t="inlineStr"/>
      <c r="E96" s="2">
        <f>IF(D96="","",IFERROR(XLOOKUP(TRIM(D96),INVENTARIO!$A$2:$A$2000,INVENTARIO!$B$2:$B$2000),"NO ENCONTRADO"))</f>
        <v/>
      </c>
      <c r="F96" s="2">
        <f>IF(D96="","",IF(E96="NO ENCONTRADO","CODIGO NO EXISTE",IF(COUNTIF($D$2:D96,D96)&gt;1,"DEVOLUCION DUPLICADA",IF(COUNTIFS(SALIDAS!$B$2:$B$1000,B96,SALIDAS!$D$2:$D$1000,D96,SALIDAS!$G$2:$G$1000,"OK*")=0,"NO FIGURA EN SALIDA","OK"))))</f>
        <v/>
      </c>
    </row>
    <row r="97">
      <c r="A97" s="9" t="inlineStr"/>
      <c r="B97" s="2" t="inlineStr"/>
      <c r="C97" s="2" t="inlineStr"/>
      <c r="D97" s="2" t="inlineStr"/>
      <c r="E97" s="2">
        <f>IF(D97="","",IFERROR(XLOOKUP(TRIM(D97),INVENTARIO!$A$2:$A$2000,INVENTARIO!$B$2:$B$2000),"NO ENCONTRADO"))</f>
        <v/>
      </c>
      <c r="F97" s="2">
        <f>IF(D97="","",IF(E97="NO ENCONTRADO","CODIGO NO EXISTE",IF(COUNTIF($D$2:D97,D97)&gt;1,"DEVOLUCION DUPLICADA",IF(COUNTIFS(SALIDAS!$B$2:$B$1000,B97,SALIDAS!$D$2:$D$1000,D97,SALIDAS!$G$2:$G$1000,"OK*")=0,"NO FIGURA EN SALIDA","OK"))))</f>
        <v/>
      </c>
    </row>
    <row r="98">
      <c r="A98" s="9" t="inlineStr"/>
      <c r="B98" s="2" t="inlineStr"/>
      <c r="C98" s="2" t="inlineStr"/>
      <c r="D98" s="2" t="inlineStr"/>
      <c r="E98" s="2">
        <f>IF(D98="","",IFERROR(XLOOKUP(TRIM(D98),INVENTARIO!$A$2:$A$2000,INVENTARIO!$B$2:$B$2000),"NO ENCONTRADO"))</f>
        <v/>
      </c>
      <c r="F98" s="2">
        <f>IF(D98="","",IF(E98="NO ENCONTRADO","CODIGO NO EXISTE",IF(COUNTIF($D$2:D98,D98)&gt;1,"DEVOLUCION DUPLICADA",IF(COUNTIFS(SALIDAS!$B$2:$B$1000,B98,SALIDAS!$D$2:$D$1000,D98,SALIDAS!$G$2:$G$1000,"OK*")=0,"NO FIGURA EN SALIDA","OK"))))</f>
        <v/>
      </c>
    </row>
    <row r="99">
      <c r="A99" s="9" t="inlineStr"/>
      <c r="B99" s="2" t="inlineStr"/>
      <c r="C99" s="2" t="inlineStr"/>
      <c r="D99" s="2" t="inlineStr"/>
      <c r="E99" s="2">
        <f>IF(D99="","",IFERROR(XLOOKUP(TRIM(D99),INVENTARIO!$A$2:$A$2000,INVENTARIO!$B$2:$B$2000),"NO ENCONTRADO"))</f>
        <v/>
      </c>
      <c r="F99" s="2">
        <f>IF(D99="","",IF(E99="NO ENCONTRADO","CODIGO NO EXISTE",IF(COUNTIF($D$2:D99,D99)&gt;1,"DEVOLUCION DUPLICADA",IF(COUNTIFS(SALIDAS!$B$2:$B$1000,B99,SALIDAS!$D$2:$D$1000,D99,SALIDAS!$G$2:$G$1000,"OK*")=0,"NO FIGURA EN SALIDA","OK"))))</f>
        <v/>
      </c>
    </row>
    <row r="100">
      <c r="A100" s="9" t="inlineStr"/>
      <c r="B100" s="2" t="inlineStr"/>
      <c r="C100" s="2" t="inlineStr"/>
      <c r="D100" s="2" t="inlineStr"/>
      <c r="E100" s="2">
        <f>IF(D100="","",IFERROR(XLOOKUP(TRIM(D100),INVENTARIO!$A$2:$A$2000,INVENTARIO!$B$2:$B$2000),"NO ENCONTRADO"))</f>
        <v/>
      </c>
      <c r="F100" s="2">
        <f>IF(D100="","",IF(E100="NO ENCONTRADO","CODIGO NO EXISTE",IF(COUNTIF($D$2:D100,D100)&gt;1,"DEVOLUCION DUPLICADA",IF(COUNTIFS(SALIDAS!$B$2:$B$1000,B100,SALIDAS!$D$2:$D$1000,D100,SALIDAS!$G$2:$G$1000,"OK*")=0,"NO FIGURA EN SALIDA","OK"))))</f>
        <v/>
      </c>
    </row>
    <row r="101">
      <c r="A101" s="9" t="inlineStr"/>
      <c r="B101" s="2" t="inlineStr"/>
      <c r="C101" s="2" t="inlineStr"/>
      <c r="D101" s="2" t="inlineStr"/>
      <c r="E101" s="2">
        <f>IF(D101="","",IFERROR(XLOOKUP(TRIM(D101),INVENTARIO!$A$2:$A$2000,INVENTARIO!$B$2:$B$2000),"NO ENCONTRADO"))</f>
        <v/>
      </c>
      <c r="F101" s="2">
        <f>IF(D101="","",IF(E101="NO ENCONTRADO","CODIGO NO EXISTE",IF(COUNTIF($D$2:D101,D101)&gt;1,"DEVOLUCION DUPLICADA",IF(COUNTIFS(SALIDAS!$B$2:$B$1000,B101,SALIDAS!$D$2:$D$1000,D101,SALIDAS!$G$2:$G$1000,"OK*")=0,"NO FIGURA EN SALIDA","OK"))))</f>
        <v/>
      </c>
    </row>
    <row r="102">
      <c r="A102" s="9" t="inlineStr"/>
      <c r="B102" s="2" t="inlineStr"/>
      <c r="C102" s="2" t="inlineStr"/>
      <c r="D102" s="2" t="inlineStr"/>
      <c r="E102" s="2">
        <f>IF(D102="","",IFERROR(XLOOKUP(TRIM(D102),INVENTARIO!$A$2:$A$2000,INVENTARIO!$B$2:$B$2000),"NO ENCONTRADO"))</f>
        <v/>
      </c>
      <c r="F102" s="2">
        <f>IF(D102="","",IF(E102="NO ENCONTRADO","CODIGO NO EXISTE",IF(COUNTIF($D$2:D102,D102)&gt;1,"DEVOLUCION DUPLICADA",IF(COUNTIFS(SALIDAS!$B$2:$B$1000,B102,SALIDAS!$D$2:$D$1000,D102,SALIDAS!$G$2:$G$1000,"OK*")=0,"NO FIGURA EN SALIDA","OK"))))</f>
        <v/>
      </c>
    </row>
    <row r="103">
      <c r="A103" s="9" t="inlineStr"/>
      <c r="B103" s="2" t="inlineStr"/>
      <c r="C103" s="2" t="inlineStr"/>
      <c r="D103" s="2" t="inlineStr"/>
      <c r="E103" s="2">
        <f>IF(D103="","",IFERROR(XLOOKUP(TRIM(D103),INVENTARIO!$A$2:$A$2000,INVENTARIO!$B$2:$B$2000),"NO ENCONTRADO"))</f>
        <v/>
      </c>
      <c r="F103" s="2">
        <f>IF(D103="","",IF(E103="NO ENCONTRADO","CODIGO NO EXISTE",IF(COUNTIF($D$2:D103,D103)&gt;1,"DEVOLUCION DUPLICADA",IF(COUNTIFS(SALIDAS!$B$2:$B$1000,B103,SALIDAS!$D$2:$D$1000,D103,SALIDAS!$G$2:$G$1000,"OK*")=0,"NO FIGURA EN SALIDA","OK"))))</f>
        <v/>
      </c>
    </row>
    <row r="104">
      <c r="A104" s="9" t="inlineStr"/>
      <c r="B104" s="2" t="inlineStr"/>
      <c r="C104" s="2" t="inlineStr"/>
      <c r="D104" s="2" t="inlineStr"/>
      <c r="E104" s="2">
        <f>IF(D104="","",IFERROR(XLOOKUP(TRIM(D104),INVENTARIO!$A$2:$A$2000,INVENTARIO!$B$2:$B$2000),"NO ENCONTRADO"))</f>
        <v/>
      </c>
      <c r="F104" s="2">
        <f>IF(D104="","",IF(E104="NO ENCONTRADO","CODIGO NO EXISTE",IF(COUNTIF($D$2:D104,D104)&gt;1,"DEVOLUCION DUPLICADA",IF(COUNTIFS(SALIDAS!$B$2:$B$1000,B104,SALIDAS!$D$2:$D$1000,D104,SALIDAS!$G$2:$G$1000,"OK*")=0,"NO FIGURA EN SALIDA","OK"))))</f>
        <v/>
      </c>
    </row>
    <row r="105">
      <c r="A105" s="9" t="inlineStr"/>
      <c r="B105" s="2" t="inlineStr"/>
      <c r="C105" s="2" t="inlineStr"/>
      <c r="D105" s="2" t="inlineStr"/>
      <c r="E105" s="2">
        <f>IF(D105="","",IFERROR(XLOOKUP(TRIM(D105),INVENTARIO!$A$2:$A$2000,INVENTARIO!$B$2:$B$2000),"NO ENCONTRADO"))</f>
        <v/>
      </c>
      <c r="F105" s="2">
        <f>IF(D105="","",IF(E105="NO ENCONTRADO","CODIGO NO EXISTE",IF(COUNTIF($D$2:D105,D105)&gt;1,"DEVOLUCION DUPLICADA",IF(COUNTIFS(SALIDAS!$B$2:$B$1000,B105,SALIDAS!$D$2:$D$1000,D105,SALIDAS!$G$2:$G$1000,"OK*")=0,"NO FIGURA EN SALIDA","OK"))))</f>
        <v/>
      </c>
    </row>
    <row r="106">
      <c r="A106" s="9" t="inlineStr"/>
      <c r="B106" s="2" t="inlineStr"/>
      <c r="C106" s="2" t="inlineStr"/>
      <c r="D106" s="2" t="inlineStr"/>
      <c r="E106" s="2">
        <f>IF(D106="","",IFERROR(XLOOKUP(TRIM(D106),INVENTARIO!$A$2:$A$2000,INVENTARIO!$B$2:$B$2000),"NO ENCONTRADO"))</f>
        <v/>
      </c>
      <c r="F106" s="2">
        <f>IF(D106="","",IF(E106="NO ENCONTRADO","CODIGO NO EXISTE",IF(COUNTIF($D$2:D106,D106)&gt;1,"DEVOLUCION DUPLICADA",IF(COUNTIFS(SALIDAS!$B$2:$B$1000,B106,SALIDAS!$D$2:$D$1000,D106,SALIDAS!$G$2:$G$1000,"OK*")=0,"NO FIGURA EN SALIDA","OK"))))</f>
        <v/>
      </c>
    </row>
    <row r="107">
      <c r="A107" s="9" t="inlineStr"/>
      <c r="B107" s="2" t="inlineStr"/>
      <c r="C107" s="2" t="inlineStr"/>
      <c r="D107" s="2" t="inlineStr"/>
      <c r="E107" s="2">
        <f>IF(D107="","",IFERROR(XLOOKUP(TRIM(D107),INVENTARIO!$A$2:$A$2000,INVENTARIO!$B$2:$B$2000),"NO ENCONTRADO"))</f>
        <v/>
      </c>
      <c r="F107" s="2">
        <f>IF(D107="","",IF(E107="NO ENCONTRADO","CODIGO NO EXISTE",IF(COUNTIF($D$2:D107,D107)&gt;1,"DEVOLUCION DUPLICADA",IF(COUNTIFS(SALIDAS!$B$2:$B$1000,B107,SALIDAS!$D$2:$D$1000,D107,SALIDAS!$G$2:$G$1000,"OK*")=0,"NO FIGURA EN SALIDA","OK"))))</f>
        <v/>
      </c>
    </row>
    <row r="108">
      <c r="A108" s="9" t="inlineStr"/>
      <c r="B108" s="2" t="inlineStr"/>
      <c r="C108" s="2" t="inlineStr"/>
      <c r="D108" s="2" t="inlineStr"/>
      <c r="E108" s="2">
        <f>IF(D108="","",IFERROR(XLOOKUP(TRIM(D108),INVENTARIO!$A$2:$A$2000,INVENTARIO!$B$2:$B$2000),"NO ENCONTRADO"))</f>
        <v/>
      </c>
      <c r="F108" s="2">
        <f>IF(D108="","",IF(E108="NO ENCONTRADO","CODIGO NO EXISTE",IF(COUNTIF($D$2:D108,D108)&gt;1,"DEVOLUCION DUPLICADA",IF(COUNTIFS(SALIDAS!$B$2:$B$1000,B108,SALIDAS!$D$2:$D$1000,D108,SALIDAS!$G$2:$G$1000,"OK*")=0,"NO FIGURA EN SALIDA","OK"))))</f>
        <v/>
      </c>
    </row>
    <row r="109">
      <c r="A109" s="9" t="inlineStr"/>
      <c r="B109" s="2" t="inlineStr"/>
      <c r="C109" s="2" t="inlineStr"/>
      <c r="D109" s="2" t="inlineStr"/>
      <c r="E109" s="2">
        <f>IF(D109="","",IFERROR(XLOOKUP(TRIM(D109),INVENTARIO!$A$2:$A$2000,INVENTARIO!$B$2:$B$2000),"NO ENCONTRADO"))</f>
        <v/>
      </c>
      <c r="F109" s="2">
        <f>IF(D109="","",IF(E109="NO ENCONTRADO","CODIGO NO EXISTE",IF(COUNTIF($D$2:D109,D109)&gt;1,"DEVOLUCION DUPLICADA",IF(COUNTIFS(SALIDAS!$B$2:$B$1000,B109,SALIDAS!$D$2:$D$1000,D109,SALIDAS!$G$2:$G$1000,"OK*")=0,"NO FIGURA EN SALIDA","OK"))))</f>
        <v/>
      </c>
    </row>
    <row r="110">
      <c r="A110" s="9" t="inlineStr"/>
      <c r="B110" s="2" t="inlineStr"/>
      <c r="C110" s="2" t="inlineStr"/>
      <c r="D110" s="2" t="inlineStr"/>
      <c r="E110" s="2">
        <f>IF(D110="","",IFERROR(XLOOKUP(TRIM(D110),INVENTARIO!$A$2:$A$2000,INVENTARIO!$B$2:$B$2000),"NO ENCONTRADO"))</f>
        <v/>
      </c>
      <c r="F110" s="2">
        <f>IF(D110="","",IF(E110="NO ENCONTRADO","CODIGO NO EXISTE",IF(COUNTIF($D$2:D110,D110)&gt;1,"DEVOLUCION DUPLICADA",IF(COUNTIFS(SALIDAS!$B$2:$B$1000,B110,SALIDAS!$D$2:$D$1000,D110,SALIDAS!$G$2:$G$1000,"OK*")=0,"NO FIGURA EN SALIDA","OK"))))</f>
        <v/>
      </c>
    </row>
    <row r="111">
      <c r="A111" s="9" t="inlineStr"/>
      <c r="B111" s="2" t="inlineStr"/>
      <c r="C111" s="2" t="inlineStr"/>
      <c r="D111" s="2" t="inlineStr"/>
      <c r="E111" s="2">
        <f>IF(D111="","",IFERROR(XLOOKUP(TRIM(D111),INVENTARIO!$A$2:$A$2000,INVENTARIO!$B$2:$B$2000),"NO ENCONTRADO"))</f>
        <v/>
      </c>
      <c r="F111" s="2">
        <f>IF(D111="","",IF(E111="NO ENCONTRADO","CODIGO NO EXISTE",IF(COUNTIF($D$2:D111,D111)&gt;1,"DEVOLUCION DUPLICADA",IF(COUNTIFS(SALIDAS!$B$2:$B$1000,B111,SALIDAS!$D$2:$D$1000,D111,SALIDAS!$G$2:$G$1000,"OK*")=0,"NO FIGURA EN SALIDA","OK"))))</f>
        <v/>
      </c>
    </row>
    <row r="112">
      <c r="A112" s="9" t="inlineStr"/>
      <c r="B112" s="2" t="inlineStr"/>
      <c r="C112" s="2" t="inlineStr"/>
      <c r="D112" s="2" t="inlineStr"/>
      <c r="E112" s="2">
        <f>IF(D112="","",IFERROR(XLOOKUP(TRIM(D112),INVENTARIO!$A$2:$A$2000,INVENTARIO!$B$2:$B$2000),"NO ENCONTRADO"))</f>
        <v/>
      </c>
      <c r="F112" s="2">
        <f>IF(D112="","",IF(E112="NO ENCONTRADO","CODIGO NO EXISTE",IF(COUNTIF($D$2:D112,D112)&gt;1,"DEVOLUCION DUPLICADA",IF(COUNTIFS(SALIDAS!$B$2:$B$1000,B112,SALIDAS!$D$2:$D$1000,D112,SALIDAS!$G$2:$G$1000,"OK*")=0,"NO FIGURA EN SALIDA","OK"))))</f>
        <v/>
      </c>
    </row>
    <row r="113">
      <c r="A113" s="9" t="inlineStr"/>
      <c r="B113" s="2" t="inlineStr"/>
      <c r="C113" s="2" t="inlineStr"/>
      <c r="D113" s="2" t="inlineStr"/>
      <c r="E113" s="2">
        <f>IF(D113="","",IFERROR(XLOOKUP(TRIM(D113),INVENTARIO!$A$2:$A$2000,INVENTARIO!$B$2:$B$2000),"NO ENCONTRADO"))</f>
        <v/>
      </c>
      <c r="F113" s="2">
        <f>IF(D113="","",IF(E113="NO ENCONTRADO","CODIGO NO EXISTE",IF(COUNTIF($D$2:D113,D113)&gt;1,"DEVOLUCION DUPLICADA",IF(COUNTIFS(SALIDAS!$B$2:$B$1000,B113,SALIDAS!$D$2:$D$1000,D113,SALIDAS!$G$2:$G$1000,"OK*")=0,"NO FIGURA EN SALIDA","OK"))))</f>
        <v/>
      </c>
    </row>
    <row r="114">
      <c r="A114" s="9" t="inlineStr"/>
      <c r="B114" s="2" t="inlineStr"/>
      <c r="C114" s="2" t="inlineStr"/>
      <c r="D114" s="2" t="inlineStr"/>
      <c r="E114" s="2">
        <f>IF(D114="","",IFERROR(XLOOKUP(TRIM(D114),INVENTARIO!$A$2:$A$2000,INVENTARIO!$B$2:$B$2000),"NO ENCONTRADO"))</f>
        <v/>
      </c>
      <c r="F114" s="2">
        <f>IF(D114="","",IF(E114="NO ENCONTRADO","CODIGO NO EXISTE",IF(COUNTIF($D$2:D114,D114)&gt;1,"DEVOLUCION DUPLICADA",IF(COUNTIFS(SALIDAS!$B$2:$B$1000,B114,SALIDAS!$D$2:$D$1000,D114,SALIDAS!$G$2:$G$1000,"OK*")=0,"NO FIGURA EN SALIDA","OK"))))</f>
        <v/>
      </c>
    </row>
    <row r="115">
      <c r="A115" s="9" t="inlineStr"/>
      <c r="B115" s="2" t="inlineStr"/>
      <c r="C115" s="2" t="inlineStr"/>
      <c r="D115" s="2" t="inlineStr"/>
      <c r="E115" s="2">
        <f>IF(D115="","",IFERROR(XLOOKUP(TRIM(D115),INVENTARIO!$A$2:$A$2000,INVENTARIO!$B$2:$B$2000),"NO ENCONTRADO"))</f>
        <v/>
      </c>
      <c r="F115" s="2">
        <f>IF(D115="","",IF(E115="NO ENCONTRADO","CODIGO NO EXISTE",IF(COUNTIF($D$2:D115,D115)&gt;1,"DEVOLUCION DUPLICADA",IF(COUNTIFS(SALIDAS!$B$2:$B$1000,B115,SALIDAS!$D$2:$D$1000,D115,SALIDAS!$G$2:$G$1000,"OK*")=0,"NO FIGURA EN SALIDA","OK"))))</f>
        <v/>
      </c>
    </row>
    <row r="116">
      <c r="A116" s="9" t="inlineStr"/>
      <c r="B116" s="2" t="inlineStr"/>
      <c r="C116" s="2" t="inlineStr"/>
      <c r="D116" s="2" t="inlineStr"/>
      <c r="E116" s="2">
        <f>IF(D116="","",IFERROR(XLOOKUP(TRIM(D116),INVENTARIO!$A$2:$A$2000,INVENTARIO!$B$2:$B$2000),"NO ENCONTRADO"))</f>
        <v/>
      </c>
      <c r="F116" s="2">
        <f>IF(D116="","",IF(E116="NO ENCONTRADO","CODIGO NO EXISTE",IF(COUNTIF($D$2:D116,D116)&gt;1,"DEVOLUCION DUPLICADA",IF(COUNTIFS(SALIDAS!$B$2:$B$1000,B116,SALIDAS!$D$2:$D$1000,D116,SALIDAS!$G$2:$G$1000,"OK*")=0,"NO FIGURA EN SALIDA","OK"))))</f>
        <v/>
      </c>
    </row>
    <row r="117">
      <c r="A117" s="9" t="inlineStr"/>
      <c r="B117" s="2" t="inlineStr"/>
      <c r="C117" s="2" t="inlineStr"/>
      <c r="D117" s="2" t="inlineStr"/>
      <c r="E117" s="2">
        <f>IF(D117="","",IFERROR(XLOOKUP(TRIM(D117),INVENTARIO!$A$2:$A$2000,INVENTARIO!$B$2:$B$2000),"NO ENCONTRADO"))</f>
        <v/>
      </c>
      <c r="F117" s="2">
        <f>IF(D117="","",IF(E117="NO ENCONTRADO","CODIGO NO EXISTE",IF(COUNTIF($D$2:D117,D117)&gt;1,"DEVOLUCION DUPLICADA",IF(COUNTIFS(SALIDAS!$B$2:$B$1000,B117,SALIDAS!$D$2:$D$1000,D117,SALIDAS!$G$2:$G$1000,"OK*")=0,"NO FIGURA EN SALIDA","OK"))))</f>
        <v/>
      </c>
    </row>
    <row r="118">
      <c r="A118" s="9" t="inlineStr"/>
      <c r="B118" s="2" t="inlineStr"/>
      <c r="C118" s="2" t="inlineStr"/>
      <c r="D118" s="2" t="inlineStr"/>
      <c r="E118" s="2">
        <f>IF(D118="","",IFERROR(XLOOKUP(TRIM(D118),INVENTARIO!$A$2:$A$2000,INVENTARIO!$B$2:$B$2000),"NO ENCONTRADO"))</f>
        <v/>
      </c>
      <c r="F118" s="2">
        <f>IF(D118="","",IF(E118="NO ENCONTRADO","CODIGO NO EXISTE",IF(COUNTIF($D$2:D118,D118)&gt;1,"DEVOLUCION DUPLICADA",IF(COUNTIFS(SALIDAS!$B$2:$B$1000,B118,SALIDAS!$D$2:$D$1000,D118,SALIDAS!$G$2:$G$1000,"OK*")=0,"NO FIGURA EN SALIDA","OK"))))</f>
        <v/>
      </c>
    </row>
    <row r="119">
      <c r="A119" s="9" t="inlineStr"/>
      <c r="B119" s="2" t="inlineStr"/>
      <c r="C119" s="2" t="inlineStr"/>
      <c r="D119" s="2" t="inlineStr"/>
      <c r="E119" s="2">
        <f>IF(D119="","",IFERROR(XLOOKUP(TRIM(D119),INVENTARIO!$A$2:$A$2000,INVENTARIO!$B$2:$B$2000),"NO ENCONTRADO"))</f>
        <v/>
      </c>
      <c r="F119" s="2">
        <f>IF(D119="","",IF(E119="NO ENCONTRADO","CODIGO NO EXISTE",IF(COUNTIF($D$2:D119,D119)&gt;1,"DEVOLUCION DUPLICADA",IF(COUNTIFS(SALIDAS!$B$2:$B$1000,B119,SALIDAS!$D$2:$D$1000,D119,SALIDAS!$G$2:$G$1000,"OK*")=0,"NO FIGURA EN SALIDA","OK"))))</f>
        <v/>
      </c>
    </row>
    <row r="120">
      <c r="A120" s="9" t="inlineStr"/>
      <c r="B120" s="2" t="inlineStr"/>
      <c r="C120" s="2" t="inlineStr"/>
      <c r="D120" s="2" t="inlineStr"/>
      <c r="E120" s="2">
        <f>IF(D120="","",IFERROR(XLOOKUP(TRIM(D120),INVENTARIO!$A$2:$A$2000,INVENTARIO!$B$2:$B$2000),"NO ENCONTRADO"))</f>
        <v/>
      </c>
      <c r="F120" s="2">
        <f>IF(D120="","",IF(E120="NO ENCONTRADO","CODIGO NO EXISTE",IF(COUNTIF($D$2:D120,D120)&gt;1,"DEVOLUCION DUPLICADA",IF(COUNTIFS(SALIDAS!$B$2:$B$1000,B120,SALIDAS!$D$2:$D$1000,D120,SALIDAS!$G$2:$G$1000,"OK*")=0,"NO FIGURA EN SALIDA","OK"))))</f>
        <v/>
      </c>
    </row>
    <row r="121">
      <c r="A121" s="9" t="inlineStr"/>
      <c r="B121" s="2" t="inlineStr"/>
      <c r="C121" s="2" t="inlineStr"/>
      <c r="D121" s="2" t="inlineStr"/>
      <c r="E121" s="2">
        <f>IF(D121="","",IFERROR(XLOOKUP(TRIM(D121),INVENTARIO!$A$2:$A$2000,INVENTARIO!$B$2:$B$2000),"NO ENCONTRADO"))</f>
        <v/>
      </c>
      <c r="F121" s="2">
        <f>IF(D121="","",IF(E121="NO ENCONTRADO","CODIGO NO EXISTE",IF(COUNTIF($D$2:D121,D121)&gt;1,"DEVOLUCION DUPLICADA",IF(COUNTIFS(SALIDAS!$B$2:$B$1000,B121,SALIDAS!$D$2:$D$1000,D121,SALIDAS!$G$2:$G$1000,"OK*")=0,"NO FIGURA EN SALIDA","OK"))))</f>
        <v/>
      </c>
    </row>
    <row r="122">
      <c r="A122" s="9" t="inlineStr"/>
      <c r="B122" s="2" t="inlineStr"/>
      <c r="C122" s="2" t="inlineStr"/>
      <c r="D122" s="2" t="inlineStr"/>
      <c r="E122" s="2">
        <f>IF(D122="","",IFERROR(XLOOKUP(TRIM(D122),INVENTARIO!$A$2:$A$2000,INVENTARIO!$B$2:$B$2000),"NO ENCONTRADO"))</f>
        <v/>
      </c>
      <c r="F122" s="2">
        <f>IF(D122="","",IF(E122="NO ENCONTRADO","CODIGO NO EXISTE",IF(COUNTIF($D$2:D122,D122)&gt;1,"DEVOLUCION DUPLICADA",IF(COUNTIFS(SALIDAS!$B$2:$B$1000,B122,SALIDAS!$D$2:$D$1000,D122,SALIDAS!$G$2:$G$1000,"OK*")=0,"NO FIGURA EN SALIDA","OK"))))</f>
        <v/>
      </c>
    </row>
    <row r="123">
      <c r="A123" s="9" t="inlineStr"/>
      <c r="B123" s="2" t="inlineStr"/>
      <c r="C123" s="2" t="inlineStr"/>
      <c r="D123" s="2" t="inlineStr"/>
      <c r="E123" s="2">
        <f>IF(D123="","",IFERROR(XLOOKUP(TRIM(D123),INVENTARIO!$A$2:$A$2000,INVENTARIO!$B$2:$B$2000),"NO ENCONTRADO"))</f>
        <v/>
      </c>
      <c r="F123" s="2">
        <f>IF(D123="","",IF(E123="NO ENCONTRADO","CODIGO NO EXISTE",IF(COUNTIF($D$2:D123,D123)&gt;1,"DEVOLUCION DUPLICADA",IF(COUNTIFS(SALIDAS!$B$2:$B$1000,B123,SALIDAS!$D$2:$D$1000,D123,SALIDAS!$G$2:$G$1000,"OK*")=0,"NO FIGURA EN SALIDA","OK"))))</f>
        <v/>
      </c>
    </row>
    <row r="124">
      <c r="A124" s="9" t="inlineStr"/>
      <c r="B124" s="2" t="inlineStr"/>
      <c r="C124" s="2" t="inlineStr"/>
      <c r="D124" s="2" t="inlineStr"/>
      <c r="E124" s="2">
        <f>IF(D124="","",IFERROR(XLOOKUP(TRIM(D124),INVENTARIO!$A$2:$A$2000,INVENTARIO!$B$2:$B$2000),"NO ENCONTRADO"))</f>
        <v/>
      </c>
      <c r="F124" s="2">
        <f>IF(D124="","",IF(E124="NO ENCONTRADO","CODIGO NO EXISTE",IF(COUNTIF($D$2:D124,D124)&gt;1,"DEVOLUCION DUPLICADA",IF(COUNTIFS(SALIDAS!$B$2:$B$1000,B124,SALIDAS!$D$2:$D$1000,D124,SALIDAS!$G$2:$G$1000,"OK*")=0,"NO FIGURA EN SALIDA","OK"))))</f>
        <v/>
      </c>
    </row>
    <row r="125">
      <c r="A125" s="9" t="inlineStr"/>
      <c r="B125" s="2" t="inlineStr"/>
      <c r="C125" s="2" t="inlineStr"/>
      <c r="D125" s="2" t="inlineStr"/>
      <c r="E125" s="2">
        <f>IF(D125="","",IFERROR(XLOOKUP(TRIM(D125),INVENTARIO!$A$2:$A$2000,INVENTARIO!$B$2:$B$2000),"NO ENCONTRADO"))</f>
        <v/>
      </c>
      <c r="F125" s="2">
        <f>IF(D125="","",IF(E125="NO ENCONTRADO","CODIGO NO EXISTE",IF(COUNTIF($D$2:D125,D125)&gt;1,"DEVOLUCION DUPLICADA",IF(COUNTIFS(SALIDAS!$B$2:$B$1000,B125,SALIDAS!$D$2:$D$1000,D125,SALIDAS!$G$2:$G$1000,"OK*")=0,"NO FIGURA EN SALIDA","OK"))))</f>
        <v/>
      </c>
    </row>
    <row r="126">
      <c r="A126" s="9" t="inlineStr"/>
      <c r="B126" s="2" t="inlineStr"/>
      <c r="C126" s="2" t="inlineStr"/>
      <c r="D126" s="2" t="inlineStr"/>
      <c r="E126" s="2">
        <f>IF(D126="","",IFERROR(XLOOKUP(TRIM(D126),INVENTARIO!$A$2:$A$2000,INVENTARIO!$B$2:$B$2000),"NO ENCONTRADO"))</f>
        <v/>
      </c>
      <c r="F126" s="2">
        <f>IF(D126="","",IF(E126="NO ENCONTRADO","CODIGO NO EXISTE",IF(COUNTIF($D$2:D126,D126)&gt;1,"DEVOLUCION DUPLICADA",IF(COUNTIFS(SALIDAS!$B$2:$B$1000,B126,SALIDAS!$D$2:$D$1000,D126,SALIDAS!$G$2:$G$1000,"OK*")=0,"NO FIGURA EN SALIDA","OK"))))</f>
        <v/>
      </c>
    </row>
    <row r="127">
      <c r="A127" s="9" t="inlineStr"/>
      <c r="B127" s="2" t="inlineStr"/>
      <c r="C127" s="2" t="inlineStr"/>
      <c r="D127" s="2" t="inlineStr"/>
      <c r="E127" s="2">
        <f>IF(D127="","",IFERROR(XLOOKUP(TRIM(D127),INVENTARIO!$A$2:$A$2000,INVENTARIO!$B$2:$B$2000),"NO ENCONTRADO"))</f>
        <v/>
      </c>
      <c r="F127" s="2">
        <f>IF(D127="","",IF(E127="NO ENCONTRADO","CODIGO NO EXISTE",IF(COUNTIF($D$2:D127,D127)&gt;1,"DEVOLUCION DUPLICADA",IF(COUNTIFS(SALIDAS!$B$2:$B$1000,B127,SALIDAS!$D$2:$D$1000,D127,SALIDAS!$G$2:$G$1000,"OK*")=0,"NO FIGURA EN SALIDA","OK"))))</f>
        <v/>
      </c>
    </row>
    <row r="128">
      <c r="A128" s="9" t="inlineStr"/>
      <c r="B128" s="2" t="inlineStr"/>
      <c r="C128" s="2" t="inlineStr"/>
      <c r="D128" s="2" t="inlineStr"/>
      <c r="E128" s="2">
        <f>IF(D128="","",IFERROR(XLOOKUP(TRIM(D128),INVENTARIO!$A$2:$A$2000,INVENTARIO!$B$2:$B$2000),"NO ENCONTRADO"))</f>
        <v/>
      </c>
      <c r="F128" s="2">
        <f>IF(D128="","",IF(E128="NO ENCONTRADO","CODIGO NO EXISTE",IF(COUNTIF($D$2:D128,D128)&gt;1,"DEVOLUCION DUPLICADA",IF(COUNTIFS(SALIDAS!$B$2:$B$1000,B128,SALIDAS!$D$2:$D$1000,D128,SALIDAS!$G$2:$G$1000,"OK*")=0,"NO FIGURA EN SALIDA","OK"))))</f>
        <v/>
      </c>
    </row>
    <row r="129">
      <c r="A129" s="9" t="inlineStr"/>
      <c r="B129" s="2" t="inlineStr"/>
      <c r="C129" s="2" t="inlineStr"/>
      <c r="D129" s="2" t="inlineStr"/>
      <c r="E129" s="2">
        <f>IF(D129="","",IFERROR(XLOOKUP(TRIM(D129),INVENTARIO!$A$2:$A$2000,INVENTARIO!$B$2:$B$2000),"NO ENCONTRADO"))</f>
        <v/>
      </c>
      <c r="F129" s="2">
        <f>IF(D129="","",IF(E129="NO ENCONTRADO","CODIGO NO EXISTE",IF(COUNTIF($D$2:D129,D129)&gt;1,"DEVOLUCION DUPLICADA",IF(COUNTIFS(SALIDAS!$B$2:$B$1000,B129,SALIDAS!$D$2:$D$1000,D129,SALIDAS!$G$2:$G$1000,"OK*")=0,"NO FIGURA EN SALIDA","OK"))))</f>
        <v/>
      </c>
    </row>
    <row r="130">
      <c r="A130" s="9" t="inlineStr"/>
      <c r="B130" s="2" t="inlineStr"/>
      <c r="C130" s="2" t="inlineStr"/>
      <c r="D130" s="2" t="inlineStr"/>
      <c r="E130" s="2">
        <f>IF(D130="","",IFERROR(XLOOKUP(TRIM(D130),INVENTARIO!$A$2:$A$2000,INVENTARIO!$B$2:$B$2000),"NO ENCONTRADO"))</f>
        <v/>
      </c>
      <c r="F130" s="2">
        <f>IF(D130="","",IF(E130="NO ENCONTRADO","CODIGO NO EXISTE",IF(COUNTIF($D$2:D130,D130)&gt;1,"DEVOLUCION DUPLICADA",IF(COUNTIFS(SALIDAS!$B$2:$B$1000,B130,SALIDAS!$D$2:$D$1000,D130,SALIDAS!$G$2:$G$1000,"OK*")=0,"NO FIGURA EN SALIDA","OK"))))</f>
        <v/>
      </c>
    </row>
    <row r="131">
      <c r="A131" s="9" t="inlineStr"/>
      <c r="B131" s="2" t="inlineStr"/>
      <c r="C131" s="2" t="inlineStr"/>
      <c r="D131" s="2" t="inlineStr"/>
      <c r="E131" s="2">
        <f>IF(D131="","",IFERROR(XLOOKUP(TRIM(D131),INVENTARIO!$A$2:$A$2000,INVENTARIO!$B$2:$B$2000),"NO ENCONTRADO"))</f>
        <v/>
      </c>
      <c r="F131" s="2">
        <f>IF(D131="","",IF(E131="NO ENCONTRADO","CODIGO NO EXISTE",IF(COUNTIF($D$2:D131,D131)&gt;1,"DEVOLUCION DUPLICADA",IF(COUNTIFS(SALIDAS!$B$2:$B$1000,B131,SALIDAS!$D$2:$D$1000,D131,SALIDAS!$G$2:$G$1000,"OK*")=0,"NO FIGURA EN SALIDA","OK"))))</f>
        <v/>
      </c>
    </row>
    <row r="132">
      <c r="A132" s="9" t="inlineStr"/>
      <c r="B132" s="2" t="inlineStr"/>
      <c r="C132" s="2" t="inlineStr"/>
      <c r="D132" s="2" t="inlineStr"/>
      <c r="E132" s="2">
        <f>IF(D132="","",IFERROR(XLOOKUP(TRIM(D132),INVENTARIO!$A$2:$A$2000,INVENTARIO!$B$2:$B$2000),"NO ENCONTRADO"))</f>
        <v/>
      </c>
      <c r="F132" s="2">
        <f>IF(D132="","",IF(E132="NO ENCONTRADO","CODIGO NO EXISTE",IF(COUNTIF($D$2:D132,D132)&gt;1,"DEVOLUCION DUPLICADA",IF(COUNTIFS(SALIDAS!$B$2:$B$1000,B132,SALIDAS!$D$2:$D$1000,D132,SALIDAS!$G$2:$G$1000,"OK*")=0,"NO FIGURA EN SALIDA","OK"))))</f>
        <v/>
      </c>
    </row>
    <row r="133">
      <c r="A133" s="9" t="inlineStr"/>
      <c r="B133" s="2" t="inlineStr"/>
      <c r="C133" s="2" t="inlineStr"/>
      <c r="D133" s="2" t="inlineStr"/>
      <c r="E133" s="2">
        <f>IF(D133="","",IFERROR(XLOOKUP(TRIM(D133),INVENTARIO!$A$2:$A$2000,INVENTARIO!$B$2:$B$2000),"NO ENCONTRADO"))</f>
        <v/>
      </c>
      <c r="F133" s="2">
        <f>IF(D133="","",IF(E133="NO ENCONTRADO","CODIGO NO EXISTE",IF(COUNTIF($D$2:D133,D133)&gt;1,"DEVOLUCION DUPLICADA",IF(COUNTIFS(SALIDAS!$B$2:$B$1000,B133,SALIDAS!$D$2:$D$1000,D133,SALIDAS!$G$2:$G$1000,"OK*")=0,"NO FIGURA EN SALIDA","OK"))))</f>
        <v/>
      </c>
    </row>
    <row r="134">
      <c r="A134" s="9" t="inlineStr"/>
      <c r="B134" s="2" t="inlineStr"/>
      <c r="C134" s="2" t="inlineStr"/>
      <c r="D134" s="2" t="inlineStr"/>
      <c r="E134" s="2">
        <f>IF(D134="","",IFERROR(XLOOKUP(TRIM(D134),INVENTARIO!$A$2:$A$2000,INVENTARIO!$B$2:$B$2000),"NO ENCONTRADO"))</f>
        <v/>
      </c>
      <c r="F134" s="2">
        <f>IF(D134="","",IF(E134="NO ENCONTRADO","CODIGO NO EXISTE",IF(COUNTIF($D$2:D134,D134)&gt;1,"DEVOLUCION DUPLICADA",IF(COUNTIFS(SALIDAS!$B$2:$B$1000,B134,SALIDAS!$D$2:$D$1000,D134,SALIDAS!$G$2:$G$1000,"OK*")=0,"NO FIGURA EN SALIDA","OK"))))</f>
        <v/>
      </c>
    </row>
    <row r="135">
      <c r="A135" s="9" t="inlineStr"/>
      <c r="B135" s="2" t="inlineStr"/>
      <c r="C135" s="2" t="inlineStr"/>
      <c r="D135" s="2" t="inlineStr"/>
      <c r="E135" s="2">
        <f>IF(D135="","",IFERROR(XLOOKUP(TRIM(D135),INVENTARIO!$A$2:$A$2000,INVENTARIO!$B$2:$B$2000),"NO ENCONTRADO"))</f>
        <v/>
      </c>
      <c r="F135" s="2">
        <f>IF(D135="","",IF(E135="NO ENCONTRADO","CODIGO NO EXISTE",IF(COUNTIF($D$2:D135,D135)&gt;1,"DEVOLUCION DUPLICADA",IF(COUNTIFS(SALIDAS!$B$2:$B$1000,B135,SALIDAS!$D$2:$D$1000,D135,SALIDAS!$G$2:$G$1000,"OK*")=0,"NO FIGURA EN SALIDA","OK"))))</f>
        <v/>
      </c>
    </row>
    <row r="136">
      <c r="A136" s="9" t="inlineStr"/>
      <c r="B136" s="2" t="inlineStr"/>
      <c r="C136" s="2" t="inlineStr"/>
      <c r="D136" s="2" t="inlineStr"/>
      <c r="E136" s="2">
        <f>IF(D136="","",IFERROR(XLOOKUP(TRIM(D136),INVENTARIO!$A$2:$A$2000,INVENTARIO!$B$2:$B$2000),"NO ENCONTRADO"))</f>
        <v/>
      </c>
      <c r="F136" s="2">
        <f>IF(D136="","",IF(E136="NO ENCONTRADO","CODIGO NO EXISTE",IF(COUNTIF($D$2:D136,D136)&gt;1,"DEVOLUCION DUPLICADA",IF(COUNTIFS(SALIDAS!$B$2:$B$1000,B136,SALIDAS!$D$2:$D$1000,D136,SALIDAS!$G$2:$G$1000,"OK*")=0,"NO FIGURA EN SALIDA","OK"))))</f>
        <v/>
      </c>
    </row>
    <row r="137">
      <c r="A137" s="9" t="inlineStr"/>
      <c r="B137" s="2" t="inlineStr"/>
      <c r="C137" s="2" t="inlineStr"/>
      <c r="D137" s="2" t="inlineStr"/>
      <c r="E137" s="2">
        <f>IF(D137="","",IFERROR(XLOOKUP(TRIM(D137),INVENTARIO!$A$2:$A$2000,INVENTARIO!$B$2:$B$2000),"NO ENCONTRADO"))</f>
        <v/>
      </c>
      <c r="F137" s="2">
        <f>IF(D137="","",IF(E137="NO ENCONTRADO","CODIGO NO EXISTE",IF(COUNTIF($D$2:D137,D137)&gt;1,"DEVOLUCION DUPLICADA",IF(COUNTIFS(SALIDAS!$B$2:$B$1000,B137,SALIDAS!$D$2:$D$1000,D137,SALIDAS!$G$2:$G$1000,"OK*")=0,"NO FIGURA EN SALIDA","OK"))))</f>
        <v/>
      </c>
    </row>
    <row r="138">
      <c r="A138" s="9" t="inlineStr"/>
      <c r="B138" s="2" t="inlineStr"/>
      <c r="C138" s="2" t="inlineStr"/>
      <c r="D138" s="2" t="inlineStr"/>
      <c r="E138" s="2">
        <f>IF(D138="","",IFERROR(XLOOKUP(TRIM(D138),INVENTARIO!$A$2:$A$2000,INVENTARIO!$B$2:$B$2000),"NO ENCONTRADO"))</f>
        <v/>
      </c>
      <c r="F138" s="2">
        <f>IF(D138="","",IF(E138="NO ENCONTRADO","CODIGO NO EXISTE",IF(COUNTIF($D$2:D138,D138)&gt;1,"DEVOLUCION DUPLICADA",IF(COUNTIFS(SALIDAS!$B$2:$B$1000,B138,SALIDAS!$D$2:$D$1000,D138,SALIDAS!$G$2:$G$1000,"OK*")=0,"NO FIGURA EN SALIDA","OK"))))</f>
        <v/>
      </c>
    </row>
    <row r="139">
      <c r="A139" s="9" t="inlineStr"/>
      <c r="B139" s="2" t="inlineStr"/>
      <c r="C139" s="2" t="inlineStr"/>
      <c r="D139" s="2" t="inlineStr"/>
      <c r="E139" s="2">
        <f>IF(D139="","",IFERROR(XLOOKUP(TRIM(D139),INVENTARIO!$A$2:$A$2000,INVENTARIO!$B$2:$B$2000),"NO ENCONTRADO"))</f>
        <v/>
      </c>
      <c r="F139" s="2">
        <f>IF(D139="","",IF(E139="NO ENCONTRADO","CODIGO NO EXISTE",IF(COUNTIF($D$2:D139,D139)&gt;1,"DEVOLUCION DUPLICADA",IF(COUNTIFS(SALIDAS!$B$2:$B$1000,B139,SALIDAS!$D$2:$D$1000,D139,SALIDAS!$G$2:$G$1000,"OK*")=0,"NO FIGURA EN SALIDA","OK"))))</f>
        <v/>
      </c>
    </row>
    <row r="140">
      <c r="A140" s="9" t="inlineStr"/>
      <c r="B140" s="2" t="inlineStr"/>
      <c r="C140" s="2" t="inlineStr"/>
      <c r="D140" s="2" t="inlineStr"/>
      <c r="E140" s="2">
        <f>IF(D140="","",IFERROR(XLOOKUP(TRIM(D140),INVENTARIO!$A$2:$A$2000,INVENTARIO!$B$2:$B$2000),"NO ENCONTRADO"))</f>
        <v/>
      </c>
      <c r="F140" s="2">
        <f>IF(D140="","",IF(E140="NO ENCONTRADO","CODIGO NO EXISTE",IF(COUNTIF($D$2:D140,D140)&gt;1,"DEVOLUCION DUPLICADA",IF(COUNTIFS(SALIDAS!$B$2:$B$1000,B140,SALIDAS!$D$2:$D$1000,D140,SALIDAS!$G$2:$G$1000,"OK*")=0,"NO FIGURA EN SALIDA","OK"))))</f>
        <v/>
      </c>
    </row>
    <row r="141">
      <c r="A141" s="9" t="inlineStr"/>
      <c r="B141" s="2" t="inlineStr"/>
      <c r="C141" s="2" t="inlineStr"/>
      <c r="D141" s="2" t="inlineStr"/>
      <c r="E141" s="2">
        <f>IF(D141="","",IFERROR(XLOOKUP(TRIM(D141),INVENTARIO!$A$2:$A$2000,INVENTARIO!$B$2:$B$2000),"NO ENCONTRADO"))</f>
        <v/>
      </c>
      <c r="F141" s="2">
        <f>IF(D141="","",IF(E141="NO ENCONTRADO","CODIGO NO EXISTE",IF(COUNTIF($D$2:D141,D141)&gt;1,"DEVOLUCION DUPLICADA",IF(COUNTIFS(SALIDAS!$B$2:$B$1000,B141,SALIDAS!$D$2:$D$1000,D141,SALIDAS!$G$2:$G$1000,"OK*")=0,"NO FIGURA EN SALIDA","OK"))))</f>
        <v/>
      </c>
    </row>
    <row r="142">
      <c r="A142" s="9" t="inlineStr"/>
      <c r="B142" s="2" t="inlineStr"/>
      <c r="C142" s="2" t="inlineStr"/>
      <c r="D142" s="2" t="inlineStr"/>
      <c r="E142" s="2">
        <f>IF(D142="","",IFERROR(XLOOKUP(TRIM(D142),INVENTARIO!$A$2:$A$2000,INVENTARIO!$B$2:$B$2000),"NO ENCONTRADO"))</f>
        <v/>
      </c>
      <c r="F142" s="2">
        <f>IF(D142="","",IF(E142="NO ENCONTRADO","CODIGO NO EXISTE",IF(COUNTIF($D$2:D142,D142)&gt;1,"DEVOLUCION DUPLICADA",IF(COUNTIFS(SALIDAS!$B$2:$B$1000,B142,SALIDAS!$D$2:$D$1000,D142,SALIDAS!$G$2:$G$1000,"OK*")=0,"NO FIGURA EN SALIDA","OK"))))</f>
        <v/>
      </c>
    </row>
    <row r="143">
      <c r="A143" s="9" t="inlineStr"/>
      <c r="B143" s="2" t="inlineStr"/>
      <c r="C143" s="2" t="inlineStr"/>
      <c r="D143" s="2" t="inlineStr"/>
      <c r="E143" s="2">
        <f>IF(D143="","",IFERROR(XLOOKUP(TRIM(D143),INVENTARIO!$A$2:$A$2000,INVENTARIO!$B$2:$B$2000),"NO ENCONTRADO"))</f>
        <v/>
      </c>
      <c r="F143" s="2">
        <f>IF(D143="","",IF(E143="NO ENCONTRADO","CODIGO NO EXISTE",IF(COUNTIF($D$2:D143,D143)&gt;1,"DEVOLUCION DUPLICADA",IF(COUNTIFS(SALIDAS!$B$2:$B$1000,B143,SALIDAS!$D$2:$D$1000,D143,SALIDAS!$G$2:$G$1000,"OK*")=0,"NO FIGURA EN SALIDA","OK"))))</f>
        <v/>
      </c>
    </row>
    <row r="144">
      <c r="A144" s="9" t="inlineStr"/>
      <c r="B144" s="2" t="inlineStr"/>
      <c r="C144" s="2" t="inlineStr"/>
      <c r="D144" s="2" t="inlineStr"/>
      <c r="E144" s="2">
        <f>IF(D144="","",IFERROR(XLOOKUP(TRIM(D144),INVENTARIO!$A$2:$A$2000,INVENTARIO!$B$2:$B$2000),"NO ENCONTRADO"))</f>
        <v/>
      </c>
      <c r="F144" s="2">
        <f>IF(D144="","",IF(E144="NO ENCONTRADO","CODIGO NO EXISTE",IF(COUNTIF($D$2:D144,D144)&gt;1,"DEVOLUCION DUPLICADA",IF(COUNTIFS(SALIDAS!$B$2:$B$1000,B144,SALIDAS!$D$2:$D$1000,D144,SALIDAS!$G$2:$G$1000,"OK*")=0,"NO FIGURA EN SALIDA","OK"))))</f>
        <v/>
      </c>
    </row>
    <row r="145">
      <c r="A145" s="9" t="inlineStr"/>
      <c r="B145" s="2" t="inlineStr"/>
      <c r="C145" s="2" t="inlineStr"/>
      <c r="D145" s="2" t="inlineStr"/>
      <c r="E145" s="2">
        <f>IF(D145="","",IFERROR(XLOOKUP(TRIM(D145),INVENTARIO!$A$2:$A$2000,INVENTARIO!$B$2:$B$2000),"NO ENCONTRADO"))</f>
        <v/>
      </c>
      <c r="F145" s="2">
        <f>IF(D145="","",IF(E145="NO ENCONTRADO","CODIGO NO EXISTE",IF(COUNTIF($D$2:D145,D145)&gt;1,"DEVOLUCION DUPLICADA",IF(COUNTIFS(SALIDAS!$B$2:$B$1000,B145,SALIDAS!$D$2:$D$1000,D145,SALIDAS!$G$2:$G$1000,"OK*")=0,"NO FIGURA EN SALIDA","OK"))))</f>
        <v/>
      </c>
    </row>
    <row r="146">
      <c r="A146" s="9" t="inlineStr"/>
      <c r="B146" s="2" t="inlineStr"/>
      <c r="C146" s="2" t="inlineStr"/>
      <c r="D146" s="2" t="inlineStr"/>
      <c r="E146" s="2">
        <f>IF(D146="","",IFERROR(XLOOKUP(TRIM(D146),INVENTARIO!$A$2:$A$2000,INVENTARIO!$B$2:$B$2000),"NO ENCONTRADO"))</f>
        <v/>
      </c>
      <c r="F146" s="2">
        <f>IF(D146="","",IF(E146="NO ENCONTRADO","CODIGO NO EXISTE",IF(COUNTIF($D$2:D146,D146)&gt;1,"DEVOLUCION DUPLICADA",IF(COUNTIFS(SALIDAS!$B$2:$B$1000,B146,SALIDAS!$D$2:$D$1000,D146,SALIDAS!$G$2:$G$1000,"OK*")=0,"NO FIGURA EN SALIDA","OK"))))</f>
        <v/>
      </c>
    </row>
    <row r="147">
      <c r="A147" s="9" t="inlineStr"/>
      <c r="B147" s="2" t="inlineStr"/>
      <c r="C147" s="2" t="inlineStr"/>
      <c r="D147" s="2" t="inlineStr"/>
      <c r="E147" s="2">
        <f>IF(D147="","",IFERROR(XLOOKUP(TRIM(D147),INVENTARIO!$A$2:$A$2000,INVENTARIO!$B$2:$B$2000),"NO ENCONTRADO"))</f>
        <v/>
      </c>
      <c r="F147" s="2">
        <f>IF(D147="","",IF(E147="NO ENCONTRADO","CODIGO NO EXISTE",IF(COUNTIF($D$2:D147,D147)&gt;1,"DEVOLUCION DUPLICADA",IF(COUNTIFS(SALIDAS!$B$2:$B$1000,B147,SALIDAS!$D$2:$D$1000,D147,SALIDAS!$G$2:$G$1000,"OK*")=0,"NO FIGURA EN SALIDA","OK"))))</f>
        <v/>
      </c>
    </row>
    <row r="148">
      <c r="A148" s="9" t="inlineStr"/>
      <c r="B148" s="2" t="inlineStr"/>
      <c r="C148" s="2" t="inlineStr"/>
      <c r="D148" s="2" t="inlineStr"/>
      <c r="E148" s="2">
        <f>IF(D148="","",IFERROR(XLOOKUP(TRIM(D148),INVENTARIO!$A$2:$A$2000,INVENTARIO!$B$2:$B$2000),"NO ENCONTRADO"))</f>
        <v/>
      </c>
      <c r="F148" s="2">
        <f>IF(D148="","",IF(E148="NO ENCONTRADO","CODIGO NO EXISTE",IF(COUNTIF($D$2:D148,D148)&gt;1,"DEVOLUCION DUPLICADA",IF(COUNTIFS(SALIDAS!$B$2:$B$1000,B148,SALIDAS!$D$2:$D$1000,D148,SALIDAS!$G$2:$G$1000,"OK*")=0,"NO FIGURA EN SALIDA","OK"))))</f>
        <v/>
      </c>
    </row>
    <row r="149">
      <c r="A149" s="9" t="inlineStr"/>
      <c r="B149" s="2" t="inlineStr"/>
      <c r="C149" s="2" t="inlineStr"/>
      <c r="D149" s="2" t="inlineStr"/>
      <c r="E149" s="2">
        <f>IF(D149="","",IFERROR(XLOOKUP(TRIM(D149),INVENTARIO!$A$2:$A$2000,INVENTARIO!$B$2:$B$2000),"NO ENCONTRADO"))</f>
        <v/>
      </c>
      <c r="F149" s="2">
        <f>IF(D149="","",IF(E149="NO ENCONTRADO","CODIGO NO EXISTE",IF(COUNTIF($D$2:D149,D149)&gt;1,"DEVOLUCION DUPLICADA",IF(COUNTIFS(SALIDAS!$B$2:$B$1000,B149,SALIDAS!$D$2:$D$1000,D149,SALIDAS!$G$2:$G$1000,"OK*")=0,"NO FIGURA EN SALIDA","OK"))))</f>
        <v/>
      </c>
    </row>
    <row r="150">
      <c r="A150" s="9" t="inlineStr"/>
      <c r="B150" s="2" t="inlineStr"/>
      <c r="C150" s="2" t="inlineStr"/>
      <c r="D150" s="2" t="inlineStr"/>
      <c r="E150" s="2">
        <f>IF(D150="","",IFERROR(XLOOKUP(TRIM(D150),INVENTARIO!$A$2:$A$2000,INVENTARIO!$B$2:$B$2000),"NO ENCONTRADO"))</f>
        <v/>
      </c>
      <c r="F150" s="2">
        <f>IF(D150="","",IF(E150="NO ENCONTRADO","CODIGO NO EXISTE",IF(COUNTIF($D$2:D150,D150)&gt;1,"DEVOLUCION DUPLICADA",IF(COUNTIFS(SALIDAS!$B$2:$B$1000,B150,SALIDAS!$D$2:$D$1000,D150,SALIDAS!$G$2:$G$1000,"OK*")=0,"NO FIGURA EN SALIDA","OK"))))</f>
        <v/>
      </c>
    </row>
    <row r="151">
      <c r="A151" s="9" t="inlineStr"/>
      <c r="B151" s="2" t="inlineStr"/>
      <c r="C151" s="2" t="inlineStr"/>
      <c r="D151" s="2" t="inlineStr"/>
      <c r="E151" s="2">
        <f>IF(D151="","",IFERROR(XLOOKUP(TRIM(D151),INVENTARIO!$A$2:$A$2000,INVENTARIO!$B$2:$B$2000),"NO ENCONTRADO"))</f>
        <v/>
      </c>
      <c r="F151" s="2">
        <f>IF(D151="","",IF(E151="NO ENCONTRADO","CODIGO NO EXISTE",IF(COUNTIF($D$2:D151,D151)&gt;1,"DEVOLUCION DUPLICADA",IF(COUNTIFS(SALIDAS!$B$2:$B$1000,B151,SALIDAS!$D$2:$D$1000,D151,SALIDAS!$G$2:$G$1000,"OK*")=0,"NO FIGURA EN SALIDA","OK"))))</f>
        <v/>
      </c>
    </row>
    <row r="152">
      <c r="A152" s="9" t="inlineStr"/>
      <c r="B152" s="2" t="inlineStr"/>
      <c r="C152" s="2" t="inlineStr"/>
      <c r="D152" s="2" t="inlineStr"/>
      <c r="E152" s="2">
        <f>IF(D152="","",IFERROR(XLOOKUP(TRIM(D152),INVENTARIO!$A$2:$A$2000,INVENTARIO!$B$2:$B$2000),"NO ENCONTRADO"))</f>
        <v/>
      </c>
      <c r="F152" s="2">
        <f>IF(D152="","",IF(E152="NO ENCONTRADO","CODIGO NO EXISTE",IF(COUNTIF($D$2:D152,D152)&gt;1,"DEVOLUCION DUPLICADA",IF(COUNTIFS(SALIDAS!$B$2:$B$1000,B152,SALIDAS!$D$2:$D$1000,D152,SALIDAS!$G$2:$G$1000,"OK*")=0,"NO FIGURA EN SALIDA","OK"))))</f>
        <v/>
      </c>
    </row>
    <row r="153">
      <c r="A153" s="9" t="inlineStr"/>
      <c r="B153" s="2" t="inlineStr"/>
      <c r="C153" s="2" t="inlineStr"/>
      <c r="D153" s="2" t="inlineStr"/>
      <c r="E153" s="2">
        <f>IF(D153="","",IFERROR(XLOOKUP(TRIM(D153),INVENTARIO!$A$2:$A$2000,INVENTARIO!$B$2:$B$2000),"NO ENCONTRADO"))</f>
        <v/>
      </c>
      <c r="F153" s="2">
        <f>IF(D153="","",IF(E153="NO ENCONTRADO","CODIGO NO EXISTE",IF(COUNTIF($D$2:D153,D153)&gt;1,"DEVOLUCION DUPLICADA",IF(COUNTIFS(SALIDAS!$B$2:$B$1000,B153,SALIDAS!$D$2:$D$1000,D153,SALIDAS!$G$2:$G$1000,"OK*")=0,"NO FIGURA EN SALIDA","OK"))))</f>
        <v/>
      </c>
    </row>
    <row r="154">
      <c r="A154" s="9" t="inlineStr"/>
      <c r="B154" s="2" t="inlineStr"/>
      <c r="C154" s="2" t="inlineStr"/>
      <c r="D154" s="2" t="inlineStr"/>
      <c r="E154" s="2">
        <f>IF(D154="","",IFERROR(XLOOKUP(TRIM(D154),INVENTARIO!$A$2:$A$2000,INVENTARIO!$B$2:$B$2000),"NO ENCONTRADO"))</f>
        <v/>
      </c>
      <c r="F154" s="2">
        <f>IF(D154="","",IF(E154="NO ENCONTRADO","CODIGO NO EXISTE",IF(COUNTIF($D$2:D154,D154)&gt;1,"DEVOLUCION DUPLICADA",IF(COUNTIFS(SALIDAS!$B$2:$B$1000,B154,SALIDAS!$D$2:$D$1000,D154,SALIDAS!$G$2:$G$1000,"OK*")=0,"NO FIGURA EN SALIDA","OK"))))</f>
        <v/>
      </c>
    </row>
    <row r="155">
      <c r="A155" s="9" t="inlineStr"/>
      <c r="B155" s="2" t="inlineStr"/>
      <c r="C155" s="2" t="inlineStr"/>
      <c r="D155" s="2" t="inlineStr"/>
      <c r="E155" s="2">
        <f>IF(D155="","",IFERROR(XLOOKUP(TRIM(D155),INVENTARIO!$A$2:$A$2000,INVENTARIO!$B$2:$B$2000),"NO ENCONTRADO"))</f>
        <v/>
      </c>
      <c r="F155" s="2">
        <f>IF(D155="","",IF(E155="NO ENCONTRADO","CODIGO NO EXISTE",IF(COUNTIF($D$2:D155,D155)&gt;1,"DEVOLUCION DUPLICADA",IF(COUNTIFS(SALIDAS!$B$2:$B$1000,B155,SALIDAS!$D$2:$D$1000,D155,SALIDAS!$G$2:$G$1000,"OK*")=0,"NO FIGURA EN SALIDA","OK"))))</f>
        <v/>
      </c>
    </row>
    <row r="156">
      <c r="A156" s="9" t="inlineStr"/>
      <c r="B156" s="2" t="inlineStr"/>
      <c r="C156" s="2" t="inlineStr"/>
      <c r="D156" s="2" t="inlineStr"/>
      <c r="E156" s="2">
        <f>IF(D156="","",IFERROR(XLOOKUP(TRIM(D156),INVENTARIO!$A$2:$A$2000,INVENTARIO!$B$2:$B$2000),"NO ENCONTRADO"))</f>
        <v/>
      </c>
      <c r="F156" s="2">
        <f>IF(D156="","",IF(E156="NO ENCONTRADO","CODIGO NO EXISTE",IF(COUNTIF($D$2:D156,D156)&gt;1,"DEVOLUCION DUPLICADA",IF(COUNTIFS(SALIDAS!$B$2:$B$1000,B156,SALIDAS!$D$2:$D$1000,D156,SALIDAS!$G$2:$G$1000,"OK*")=0,"NO FIGURA EN SALIDA","OK"))))</f>
        <v/>
      </c>
    </row>
    <row r="157">
      <c r="A157" s="9" t="inlineStr"/>
      <c r="B157" s="2" t="inlineStr"/>
      <c r="C157" s="2" t="inlineStr"/>
      <c r="D157" s="2" t="inlineStr"/>
      <c r="E157" s="2">
        <f>IF(D157="","",IFERROR(XLOOKUP(TRIM(D157),INVENTARIO!$A$2:$A$2000,INVENTARIO!$B$2:$B$2000),"NO ENCONTRADO"))</f>
        <v/>
      </c>
      <c r="F157" s="2">
        <f>IF(D157="","",IF(E157="NO ENCONTRADO","CODIGO NO EXISTE",IF(COUNTIF($D$2:D157,D157)&gt;1,"DEVOLUCION DUPLICADA",IF(COUNTIFS(SALIDAS!$B$2:$B$1000,B157,SALIDAS!$D$2:$D$1000,D157,SALIDAS!$G$2:$G$1000,"OK*")=0,"NO FIGURA EN SALIDA","OK"))))</f>
        <v/>
      </c>
    </row>
    <row r="158">
      <c r="A158" s="9" t="inlineStr"/>
      <c r="B158" s="2" t="inlineStr"/>
      <c r="C158" s="2" t="inlineStr"/>
      <c r="D158" s="2" t="inlineStr"/>
      <c r="E158" s="2">
        <f>IF(D158="","",IFERROR(XLOOKUP(TRIM(D158),INVENTARIO!$A$2:$A$2000,INVENTARIO!$B$2:$B$2000),"NO ENCONTRADO"))</f>
        <v/>
      </c>
      <c r="F158" s="2">
        <f>IF(D158="","",IF(E158="NO ENCONTRADO","CODIGO NO EXISTE",IF(COUNTIF($D$2:D158,D158)&gt;1,"DEVOLUCION DUPLICADA",IF(COUNTIFS(SALIDAS!$B$2:$B$1000,B158,SALIDAS!$D$2:$D$1000,D158,SALIDAS!$G$2:$G$1000,"OK*")=0,"NO FIGURA EN SALIDA","OK"))))</f>
        <v/>
      </c>
    </row>
    <row r="159">
      <c r="A159" s="9" t="inlineStr"/>
      <c r="B159" s="2" t="inlineStr"/>
      <c r="C159" s="2" t="inlineStr"/>
      <c r="D159" s="2" t="inlineStr"/>
      <c r="E159" s="2">
        <f>IF(D159="","",IFERROR(XLOOKUP(TRIM(D159),INVENTARIO!$A$2:$A$2000,INVENTARIO!$B$2:$B$2000),"NO ENCONTRADO"))</f>
        <v/>
      </c>
      <c r="F159" s="2">
        <f>IF(D159="","",IF(E159="NO ENCONTRADO","CODIGO NO EXISTE",IF(COUNTIF($D$2:D159,D159)&gt;1,"DEVOLUCION DUPLICADA",IF(COUNTIFS(SALIDAS!$B$2:$B$1000,B159,SALIDAS!$D$2:$D$1000,D159,SALIDAS!$G$2:$G$1000,"OK*")=0,"NO FIGURA EN SALIDA","OK"))))</f>
        <v/>
      </c>
    </row>
    <row r="160">
      <c r="A160" s="9" t="inlineStr"/>
      <c r="B160" s="2" t="inlineStr"/>
      <c r="C160" s="2" t="inlineStr"/>
      <c r="D160" s="2" t="inlineStr"/>
      <c r="E160" s="2">
        <f>IF(D160="","",IFERROR(XLOOKUP(TRIM(D160),INVENTARIO!$A$2:$A$2000,INVENTARIO!$B$2:$B$2000),"NO ENCONTRADO"))</f>
        <v/>
      </c>
      <c r="F160" s="2">
        <f>IF(D160="","",IF(E160="NO ENCONTRADO","CODIGO NO EXISTE",IF(COUNTIF($D$2:D160,D160)&gt;1,"DEVOLUCION DUPLICADA",IF(COUNTIFS(SALIDAS!$B$2:$B$1000,B160,SALIDAS!$D$2:$D$1000,D160,SALIDAS!$G$2:$G$1000,"OK*")=0,"NO FIGURA EN SALIDA","OK"))))</f>
        <v/>
      </c>
    </row>
    <row r="161">
      <c r="A161" s="9" t="inlineStr"/>
      <c r="B161" s="2" t="inlineStr"/>
      <c r="C161" s="2" t="inlineStr"/>
      <c r="D161" s="2" t="inlineStr"/>
      <c r="E161" s="2">
        <f>IF(D161="","",IFERROR(XLOOKUP(TRIM(D161),INVENTARIO!$A$2:$A$2000,INVENTARIO!$B$2:$B$2000),"NO ENCONTRADO"))</f>
        <v/>
      </c>
      <c r="F161" s="2">
        <f>IF(D161="","",IF(E161="NO ENCONTRADO","CODIGO NO EXISTE",IF(COUNTIF($D$2:D161,D161)&gt;1,"DEVOLUCION DUPLICADA",IF(COUNTIFS(SALIDAS!$B$2:$B$1000,B161,SALIDAS!$D$2:$D$1000,D161,SALIDAS!$G$2:$G$1000,"OK*")=0,"NO FIGURA EN SALIDA","OK"))))</f>
        <v/>
      </c>
    </row>
    <row r="162">
      <c r="A162" s="9" t="inlineStr"/>
      <c r="B162" s="2" t="inlineStr"/>
      <c r="C162" s="2" t="inlineStr"/>
      <c r="D162" s="2" t="inlineStr"/>
      <c r="E162" s="2">
        <f>IF(D162="","",IFERROR(XLOOKUP(TRIM(D162),INVENTARIO!$A$2:$A$2000,INVENTARIO!$B$2:$B$2000),"NO ENCONTRADO"))</f>
        <v/>
      </c>
      <c r="F162" s="2">
        <f>IF(D162="","",IF(E162="NO ENCONTRADO","CODIGO NO EXISTE",IF(COUNTIF($D$2:D162,D162)&gt;1,"DEVOLUCION DUPLICADA",IF(COUNTIFS(SALIDAS!$B$2:$B$1000,B162,SALIDAS!$D$2:$D$1000,D162,SALIDAS!$G$2:$G$1000,"OK*")=0,"NO FIGURA EN SALIDA","OK"))))</f>
        <v/>
      </c>
    </row>
    <row r="163">
      <c r="A163" s="9" t="inlineStr"/>
      <c r="B163" s="2" t="inlineStr"/>
      <c r="C163" s="2" t="inlineStr"/>
      <c r="D163" s="2" t="inlineStr"/>
      <c r="E163" s="2">
        <f>IF(D163="","",IFERROR(XLOOKUP(TRIM(D163),INVENTARIO!$A$2:$A$2000,INVENTARIO!$B$2:$B$2000),"NO ENCONTRADO"))</f>
        <v/>
      </c>
      <c r="F163" s="2">
        <f>IF(D163="","",IF(E163="NO ENCONTRADO","CODIGO NO EXISTE",IF(COUNTIF($D$2:D163,D163)&gt;1,"DEVOLUCION DUPLICADA",IF(COUNTIFS(SALIDAS!$B$2:$B$1000,B163,SALIDAS!$D$2:$D$1000,D163,SALIDAS!$G$2:$G$1000,"OK*")=0,"NO FIGURA EN SALIDA","OK"))))</f>
        <v/>
      </c>
    </row>
    <row r="164">
      <c r="A164" s="9" t="inlineStr"/>
      <c r="B164" s="2" t="inlineStr"/>
      <c r="C164" s="2" t="inlineStr"/>
      <c r="D164" s="2" t="inlineStr"/>
      <c r="E164" s="2">
        <f>IF(D164="","",IFERROR(XLOOKUP(TRIM(D164),INVENTARIO!$A$2:$A$2000,INVENTARIO!$B$2:$B$2000),"NO ENCONTRADO"))</f>
        <v/>
      </c>
      <c r="F164" s="2">
        <f>IF(D164="","",IF(E164="NO ENCONTRADO","CODIGO NO EXISTE",IF(COUNTIF($D$2:D164,D164)&gt;1,"DEVOLUCION DUPLICADA",IF(COUNTIFS(SALIDAS!$B$2:$B$1000,B164,SALIDAS!$D$2:$D$1000,D164,SALIDAS!$G$2:$G$1000,"OK*")=0,"NO FIGURA EN SALIDA","OK"))))</f>
        <v/>
      </c>
    </row>
    <row r="165">
      <c r="A165" s="9" t="inlineStr"/>
      <c r="B165" s="2" t="inlineStr"/>
      <c r="C165" s="2" t="inlineStr"/>
      <c r="D165" s="2" t="inlineStr"/>
      <c r="E165" s="2">
        <f>IF(D165="","",IFERROR(XLOOKUP(TRIM(D165),INVENTARIO!$A$2:$A$2000,INVENTARIO!$B$2:$B$2000),"NO ENCONTRADO"))</f>
        <v/>
      </c>
      <c r="F165" s="2">
        <f>IF(D165="","",IF(E165="NO ENCONTRADO","CODIGO NO EXISTE",IF(COUNTIF($D$2:D165,D165)&gt;1,"DEVOLUCION DUPLICADA",IF(COUNTIFS(SALIDAS!$B$2:$B$1000,B165,SALIDAS!$D$2:$D$1000,D165,SALIDAS!$G$2:$G$1000,"OK*")=0,"NO FIGURA EN SALIDA","OK"))))</f>
        <v/>
      </c>
    </row>
    <row r="166">
      <c r="A166" s="9" t="inlineStr"/>
      <c r="B166" s="2" t="inlineStr"/>
      <c r="C166" s="2" t="inlineStr"/>
      <c r="D166" s="2" t="inlineStr"/>
      <c r="E166" s="2">
        <f>IF(D166="","",IFERROR(XLOOKUP(TRIM(D166),INVENTARIO!$A$2:$A$2000,INVENTARIO!$B$2:$B$2000),"NO ENCONTRADO"))</f>
        <v/>
      </c>
      <c r="F166" s="2">
        <f>IF(D166="","",IF(E166="NO ENCONTRADO","CODIGO NO EXISTE",IF(COUNTIF($D$2:D166,D166)&gt;1,"DEVOLUCION DUPLICADA",IF(COUNTIFS(SALIDAS!$B$2:$B$1000,B166,SALIDAS!$D$2:$D$1000,D166,SALIDAS!$G$2:$G$1000,"OK*")=0,"NO FIGURA EN SALIDA","OK"))))</f>
        <v/>
      </c>
    </row>
    <row r="167">
      <c r="A167" s="9" t="inlineStr"/>
      <c r="B167" s="2" t="inlineStr"/>
      <c r="C167" s="2" t="inlineStr"/>
      <c r="D167" s="2" t="inlineStr"/>
      <c r="E167" s="2">
        <f>IF(D167="","",IFERROR(XLOOKUP(TRIM(D167),INVENTARIO!$A$2:$A$2000,INVENTARIO!$B$2:$B$2000),"NO ENCONTRADO"))</f>
        <v/>
      </c>
      <c r="F167" s="2">
        <f>IF(D167="","",IF(E167="NO ENCONTRADO","CODIGO NO EXISTE",IF(COUNTIF($D$2:D167,D167)&gt;1,"DEVOLUCION DUPLICADA",IF(COUNTIFS(SALIDAS!$B$2:$B$1000,B167,SALIDAS!$D$2:$D$1000,D167,SALIDAS!$G$2:$G$1000,"OK*")=0,"NO FIGURA EN SALIDA","OK"))))</f>
        <v/>
      </c>
    </row>
    <row r="168">
      <c r="A168" s="9" t="inlineStr"/>
      <c r="B168" s="2" t="inlineStr"/>
      <c r="C168" s="2" t="inlineStr"/>
      <c r="D168" s="2" t="inlineStr"/>
      <c r="E168" s="2">
        <f>IF(D168="","",IFERROR(XLOOKUP(TRIM(D168),INVENTARIO!$A$2:$A$2000,INVENTARIO!$B$2:$B$2000),"NO ENCONTRADO"))</f>
        <v/>
      </c>
      <c r="F168" s="2">
        <f>IF(D168="","",IF(E168="NO ENCONTRADO","CODIGO NO EXISTE",IF(COUNTIF($D$2:D168,D168)&gt;1,"DEVOLUCION DUPLICADA",IF(COUNTIFS(SALIDAS!$B$2:$B$1000,B168,SALIDAS!$D$2:$D$1000,D168,SALIDAS!$G$2:$G$1000,"OK*")=0,"NO FIGURA EN SALIDA","OK"))))</f>
        <v/>
      </c>
    </row>
    <row r="169">
      <c r="A169" s="9" t="inlineStr"/>
      <c r="B169" s="2" t="inlineStr"/>
      <c r="C169" s="2" t="inlineStr"/>
      <c r="D169" s="2" t="inlineStr"/>
      <c r="E169" s="2">
        <f>IF(D169="","",IFERROR(XLOOKUP(TRIM(D169),INVENTARIO!$A$2:$A$2000,INVENTARIO!$B$2:$B$2000),"NO ENCONTRADO"))</f>
        <v/>
      </c>
      <c r="F169" s="2">
        <f>IF(D169="","",IF(E169="NO ENCONTRADO","CODIGO NO EXISTE",IF(COUNTIF($D$2:D169,D169)&gt;1,"DEVOLUCION DUPLICADA",IF(COUNTIFS(SALIDAS!$B$2:$B$1000,B169,SALIDAS!$D$2:$D$1000,D169,SALIDAS!$G$2:$G$1000,"OK*")=0,"NO FIGURA EN SALIDA","OK"))))</f>
        <v/>
      </c>
    </row>
    <row r="170">
      <c r="A170" s="9" t="inlineStr"/>
      <c r="B170" s="2" t="inlineStr"/>
      <c r="C170" s="2" t="inlineStr"/>
      <c r="D170" s="2" t="inlineStr"/>
      <c r="E170" s="2">
        <f>IF(D170="","",IFERROR(XLOOKUP(TRIM(D170),INVENTARIO!$A$2:$A$2000,INVENTARIO!$B$2:$B$2000),"NO ENCONTRADO"))</f>
        <v/>
      </c>
      <c r="F170" s="2">
        <f>IF(D170="","",IF(E170="NO ENCONTRADO","CODIGO NO EXISTE",IF(COUNTIF($D$2:D170,D170)&gt;1,"DEVOLUCION DUPLICADA",IF(COUNTIFS(SALIDAS!$B$2:$B$1000,B170,SALIDAS!$D$2:$D$1000,D170,SALIDAS!$G$2:$G$1000,"OK*")=0,"NO FIGURA EN SALIDA","OK"))))</f>
        <v/>
      </c>
    </row>
    <row r="171">
      <c r="A171" s="9" t="inlineStr"/>
      <c r="B171" s="2" t="inlineStr"/>
      <c r="C171" s="2" t="inlineStr"/>
      <c r="D171" s="2" t="inlineStr"/>
      <c r="E171" s="2">
        <f>IF(D171="","",IFERROR(XLOOKUP(TRIM(D171),INVENTARIO!$A$2:$A$2000,INVENTARIO!$B$2:$B$2000),"NO ENCONTRADO"))</f>
        <v/>
      </c>
      <c r="F171" s="2">
        <f>IF(D171="","",IF(E171="NO ENCONTRADO","CODIGO NO EXISTE",IF(COUNTIF($D$2:D171,D171)&gt;1,"DEVOLUCION DUPLICADA",IF(COUNTIFS(SALIDAS!$B$2:$B$1000,B171,SALIDAS!$D$2:$D$1000,D171,SALIDAS!$G$2:$G$1000,"OK*")=0,"NO FIGURA EN SALIDA","OK"))))</f>
        <v/>
      </c>
    </row>
    <row r="172">
      <c r="A172" s="9" t="inlineStr"/>
      <c r="B172" s="2" t="inlineStr"/>
      <c r="C172" s="2" t="inlineStr"/>
      <c r="D172" s="2" t="inlineStr"/>
      <c r="E172" s="2">
        <f>IF(D172="","",IFERROR(XLOOKUP(TRIM(D172),INVENTARIO!$A$2:$A$2000,INVENTARIO!$B$2:$B$2000),"NO ENCONTRADO"))</f>
        <v/>
      </c>
      <c r="F172" s="2">
        <f>IF(D172="","",IF(E172="NO ENCONTRADO","CODIGO NO EXISTE",IF(COUNTIF($D$2:D172,D172)&gt;1,"DEVOLUCION DUPLICADA",IF(COUNTIFS(SALIDAS!$B$2:$B$1000,B172,SALIDAS!$D$2:$D$1000,D172,SALIDAS!$G$2:$G$1000,"OK*")=0,"NO FIGURA EN SALIDA","OK"))))</f>
        <v/>
      </c>
    </row>
    <row r="173">
      <c r="A173" s="9" t="inlineStr"/>
      <c r="B173" s="2" t="inlineStr"/>
      <c r="C173" s="2" t="inlineStr"/>
      <c r="D173" s="2" t="inlineStr"/>
      <c r="E173" s="2">
        <f>IF(D173="","",IFERROR(XLOOKUP(TRIM(D173),INVENTARIO!$A$2:$A$2000,INVENTARIO!$B$2:$B$2000),"NO ENCONTRADO"))</f>
        <v/>
      </c>
      <c r="F173" s="2">
        <f>IF(D173="","",IF(E173="NO ENCONTRADO","CODIGO NO EXISTE",IF(COUNTIF($D$2:D173,D173)&gt;1,"DEVOLUCION DUPLICADA",IF(COUNTIFS(SALIDAS!$B$2:$B$1000,B173,SALIDAS!$D$2:$D$1000,D173,SALIDAS!$G$2:$G$1000,"OK*")=0,"NO FIGURA EN SALIDA","OK"))))</f>
        <v/>
      </c>
    </row>
    <row r="174">
      <c r="A174" s="9" t="inlineStr"/>
      <c r="B174" s="2" t="inlineStr"/>
      <c r="C174" s="2" t="inlineStr"/>
      <c r="D174" s="2" t="inlineStr"/>
      <c r="E174" s="2">
        <f>IF(D174="","",IFERROR(XLOOKUP(TRIM(D174),INVENTARIO!$A$2:$A$2000,INVENTARIO!$B$2:$B$2000),"NO ENCONTRADO"))</f>
        <v/>
      </c>
      <c r="F174" s="2">
        <f>IF(D174="","",IF(E174="NO ENCONTRADO","CODIGO NO EXISTE",IF(COUNTIF($D$2:D174,D174)&gt;1,"DEVOLUCION DUPLICADA",IF(COUNTIFS(SALIDAS!$B$2:$B$1000,B174,SALIDAS!$D$2:$D$1000,D174,SALIDAS!$G$2:$G$1000,"OK*")=0,"NO FIGURA EN SALIDA","OK"))))</f>
        <v/>
      </c>
    </row>
    <row r="175">
      <c r="A175" s="9" t="inlineStr"/>
      <c r="B175" s="2" t="inlineStr"/>
      <c r="C175" s="2" t="inlineStr"/>
      <c r="D175" s="2" t="inlineStr"/>
      <c r="E175" s="2">
        <f>IF(D175="","",IFERROR(XLOOKUP(TRIM(D175),INVENTARIO!$A$2:$A$2000,INVENTARIO!$B$2:$B$2000),"NO ENCONTRADO"))</f>
        <v/>
      </c>
      <c r="F175" s="2">
        <f>IF(D175="","",IF(E175="NO ENCONTRADO","CODIGO NO EXISTE",IF(COUNTIF($D$2:D175,D175)&gt;1,"DEVOLUCION DUPLICADA",IF(COUNTIFS(SALIDAS!$B$2:$B$1000,B175,SALIDAS!$D$2:$D$1000,D175,SALIDAS!$G$2:$G$1000,"OK*")=0,"NO FIGURA EN SALIDA","OK"))))</f>
        <v/>
      </c>
    </row>
    <row r="176">
      <c r="A176" s="9" t="inlineStr"/>
      <c r="B176" s="2" t="inlineStr"/>
      <c r="C176" s="2" t="inlineStr"/>
      <c r="D176" s="2" t="inlineStr"/>
      <c r="E176" s="2">
        <f>IF(D176="","",IFERROR(XLOOKUP(TRIM(D176),INVENTARIO!$A$2:$A$2000,INVENTARIO!$B$2:$B$2000),"NO ENCONTRADO"))</f>
        <v/>
      </c>
      <c r="F176" s="2">
        <f>IF(D176="","",IF(E176="NO ENCONTRADO","CODIGO NO EXISTE",IF(COUNTIF($D$2:D176,D176)&gt;1,"DEVOLUCION DUPLICADA",IF(COUNTIFS(SALIDAS!$B$2:$B$1000,B176,SALIDAS!$D$2:$D$1000,D176,SALIDAS!$G$2:$G$1000,"OK*")=0,"NO FIGURA EN SALIDA","OK"))))</f>
        <v/>
      </c>
    </row>
    <row r="177">
      <c r="A177" s="9" t="inlineStr"/>
      <c r="B177" s="2" t="inlineStr"/>
      <c r="C177" s="2" t="inlineStr"/>
      <c r="D177" s="2" t="inlineStr"/>
      <c r="E177" s="2">
        <f>IF(D177="","",IFERROR(XLOOKUP(TRIM(D177),INVENTARIO!$A$2:$A$2000,INVENTARIO!$B$2:$B$2000),"NO ENCONTRADO"))</f>
        <v/>
      </c>
      <c r="F177" s="2">
        <f>IF(D177="","",IF(E177="NO ENCONTRADO","CODIGO NO EXISTE",IF(COUNTIF($D$2:D177,D177)&gt;1,"DEVOLUCION DUPLICADA",IF(COUNTIFS(SALIDAS!$B$2:$B$1000,B177,SALIDAS!$D$2:$D$1000,D177,SALIDAS!$G$2:$G$1000,"OK*")=0,"NO FIGURA EN SALIDA","OK"))))</f>
        <v/>
      </c>
    </row>
    <row r="178">
      <c r="A178" s="9" t="inlineStr"/>
      <c r="B178" s="2" t="inlineStr"/>
      <c r="C178" s="2" t="inlineStr"/>
      <c r="D178" s="2" t="inlineStr"/>
      <c r="E178" s="2">
        <f>IF(D178="","",IFERROR(XLOOKUP(TRIM(D178),INVENTARIO!$A$2:$A$2000,INVENTARIO!$B$2:$B$2000),"NO ENCONTRADO"))</f>
        <v/>
      </c>
      <c r="F178" s="2">
        <f>IF(D178="","",IF(E178="NO ENCONTRADO","CODIGO NO EXISTE",IF(COUNTIF($D$2:D178,D178)&gt;1,"DEVOLUCION DUPLICADA",IF(COUNTIFS(SALIDAS!$B$2:$B$1000,B178,SALIDAS!$D$2:$D$1000,D178,SALIDAS!$G$2:$G$1000,"OK*")=0,"NO FIGURA EN SALIDA","OK"))))</f>
        <v/>
      </c>
    </row>
    <row r="179">
      <c r="A179" s="9" t="inlineStr"/>
      <c r="B179" s="2" t="inlineStr"/>
      <c r="C179" s="2" t="inlineStr"/>
      <c r="D179" s="2" t="inlineStr"/>
      <c r="E179" s="2">
        <f>IF(D179="","",IFERROR(XLOOKUP(TRIM(D179),INVENTARIO!$A$2:$A$2000,INVENTARIO!$B$2:$B$2000),"NO ENCONTRADO"))</f>
        <v/>
      </c>
      <c r="F179" s="2">
        <f>IF(D179="","",IF(E179="NO ENCONTRADO","CODIGO NO EXISTE",IF(COUNTIF($D$2:D179,D179)&gt;1,"DEVOLUCION DUPLICADA",IF(COUNTIFS(SALIDAS!$B$2:$B$1000,B179,SALIDAS!$D$2:$D$1000,D179,SALIDAS!$G$2:$G$1000,"OK*")=0,"NO FIGURA EN SALIDA","OK"))))</f>
        <v/>
      </c>
    </row>
    <row r="180">
      <c r="A180" s="9" t="inlineStr"/>
      <c r="B180" s="2" t="inlineStr"/>
      <c r="C180" s="2" t="inlineStr"/>
      <c r="D180" s="2" t="inlineStr"/>
      <c r="E180" s="2">
        <f>IF(D180="","",IFERROR(XLOOKUP(TRIM(D180),INVENTARIO!$A$2:$A$2000,INVENTARIO!$B$2:$B$2000),"NO ENCONTRADO"))</f>
        <v/>
      </c>
      <c r="F180" s="2">
        <f>IF(D180="","",IF(E180="NO ENCONTRADO","CODIGO NO EXISTE",IF(COUNTIF($D$2:D180,D180)&gt;1,"DEVOLUCION DUPLICADA",IF(COUNTIFS(SALIDAS!$B$2:$B$1000,B180,SALIDAS!$D$2:$D$1000,D180,SALIDAS!$G$2:$G$1000,"OK*")=0,"NO FIGURA EN SALIDA","OK"))))</f>
        <v/>
      </c>
    </row>
    <row r="181">
      <c r="A181" s="9" t="inlineStr"/>
      <c r="B181" s="2" t="inlineStr"/>
      <c r="C181" s="2" t="inlineStr"/>
      <c r="D181" s="2" t="inlineStr"/>
      <c r="E181" s="2">
        <f>IF(D181="","",IFERROR(XLOOKUP(TRIM(D181),INVENTARIO!$A$2:$A$2000,INVENTARIO!$B$2:$B$2000),"NO ENCONTRADO"))</f>
        <v/>
      </c>
      <c r="F181" s="2">
        <f>IF(D181="","",IF(E181="NO ENCONTRADO","CODIGO NO EXISTE",IF(COUNTIF($D$2:D181,D181)&gt;1,"DEVOLUCION DUPLICADA",IF(COUNTIFS(SALIDAS!$B$2:$B$1000,B181,SALIDAS!$D$2:$D$1000,D181,SALIDAS!$G$2:$G$1000,"OK*")=0,"NO FIGURA EN SALIDA","OK"))))</f>
        <v/>
      </c>
    </row>
    <row r="182">
      <c r="A182" s="9" t="inlineStr"/>
      <c r="B182" s="2" t="inlineStr"/>
      <c r="C182" s="2" t="inlineStr"/>
      <c r="D182" s="2" t="inlineStr"/>
      <c r="E182" s="2">
        <f>IF(D182="","",IFERROR(XLOOKUP(TRIM(D182),INVENTARIO!$A$2:$A$2000,INVENTARIO!$B$2:$B$2000),"NO ENCONTRADO"))</f>
        <v/>
      </c>
      <c r="F182" s="2">
        <f>IF(D182="","",IF(E182="NO ENCONTRADO","CODIGO NO EXISTE",IF(COUNTIF($D$2:D182,D182)&gt;1,"DEVOLUCION DUPLICADA",IF(COUNTIFS(SALIDAS!$B$2:$B$1000,B182,SALIDAS!$D$2:$D$1000,D182,SALIDAS!$G$2:$G$1000,"OK*")=0,"NO FIGURA EN SALIDA","OK"))))</f>
        <v/>
      </c>
    </row>
    <row r="183">
      <c r="A183" s="9" t="inlineStr"/>
      <c r="B183" s="2" t="inlineStr"/>
      <c r="C183" s="2" t="inlineStr"/>
      <c r="D183" s="2" t="inlineStr"/>
      <c r="E183" s="2">
        <f>IF(D183="","",IFERROR(XLOOKUP(TRIM(D183),INVENTARIO!$A$2:$A$2000,INVENTARIO!$B$2:$B$2000),"NO ENCONTRADO"))</f>
        <v/>
      </c>
      <c r="F183" s="2">
        <f>IF(D183="","",IF(E183="NO ENCONTRADO","CODIGO NO EXISTE",IF(COUNTIF($D$2:D183,D183)&gt;1,"DEVOLUCION DUPLICADA",IF(COUNTIFS(SALIDAS!$B$2:$B$1000,B183,SALIDAS!$D$2:$D$1000,D183,SALIDAS!$G$2:$G$1000,"OK*")=0,"NO FIGURA EN SALIDA","OK"))))</f>
        <v/>
      </c>
    </row>
    <row r="184">
      <c r="A184" s="9" t="inlineStr"/>
      <c r="B184" s="2" t="inlineStr"/>
      <c r="C184" s="2" t="inlineStr"/>
      <c r="D184" s="2" t="inlineStr"/>
      <c r="E184" s="2">
        <f>IF(D184="","",IFERROR(XLOOKUP(TRIM(D184),INVENTARIO!$A$2:$A$2000,INVENTARIO!$B$2:$B$2000),"NO ENCONTRADO"))</f>
        <v/>
      </c>
      <c r="F184" s="2">
        <f>IF(D184="","",IF(E184="NO ENCONTRADO","CODIGO NO EXISTE",IF(COUNTIF($D$2:D184,D184)&gt;1,"DEVOLUCION DUPLICADA",IF(COUNTIFS(SALIDAS!$B$2:$B$1000,B184,SALIDAS!$D$2:$D$1000,D184,SALIDAS!$G$2:$G$1000,"OK*")=0,"NO FIGURA EN SALIDA","OK"))))</f>
        <v/>
      </c>
    </row>
    <row r="185">
      <c r="A185" s="9" t="inlineStr"/>
      <c r="B185" s="2" t="inlineStr"/>
      <c r="C185" s="2" t="inlineStr"/>
      <c r="D185" s="2" t="inlineStr"/>
      <c r="E185" s="2">
        <f>IF(D185="","",IFERROR(XLOOKUP(TRIM(D185),INVENTARIO!$A$2:$A$2000,INVENTARIO!$B$2:$B$2000),"NO ENCONTRADO"))</f>
        <v/>
      </c>
      <c r="F185" s="2">
        <f>IF(D185="","",IF(E185="NO ENCONTRADO","CODIGO NO EXISTE",IF(COUNTIF($D$2:D185,D185)&gt;1,"DEVOLUCION DUPLICADA",IF(COUNTIFS(SALIDAS!$B$2:$B$1000,B185,SALIDAS!$D$2:$D$1000,D185,SALIDAS!$G$2:$G$1000,"OK*")=0,"NO FIGURA EN SALIDA","OK"))))</f>
        <v/>
      </c>
    </row>
    <row r="186">
      <c r="A186" s="9" t="inlineStr"/>
      <c r="B186" s="2" t="inlineStr"/>
      <c r="C186" s="2" t="inlineStr"/>
      <c r="D186" s="2" t="inlineStr"/>
      <c r="E186" s="2">
        <f>IF(D186="","",IFERROR(XLOOKUP(TRIM(D186),INVENTARIO!$A$2:$A$2000,INVENTARIO!$B$2:$B$2000),"NO ENCONTRADO"))</f>
        <v/>
      </c>
      <c r="F186" s="2">
        <f>IF(D186="","",IF(E186="NO ENCONTRADO","CODIGO NO EXISTE",IF(COUNTIF($D$2:D186,D186)&gt;1,"DEVOLUCION DUPLICADA",IF(COUNTIFS(SALIDAS!$B$2:$B$1000,B186,SALIDAS!$D$2:$D$1000,D186,SALIDAS!$G$2:$G$1000,"OK*")=0,"NO FIGURA EN SALIDA","OK"))))</f>
        <v/>
      </c>
    </row>
    <row r="187">
      <c r="A187" s="9" t="inlineStr"/>
      <c r="B187" s="2" t="inlineStr"/>
      <c r="C187" s="2" t="inlineStr"/>
      <c r="D187" s="2" t="inlineStr"/>
      <c r="E187" s="2">
        <f>IF(D187="","",IFERROR(XLOOKUP(TRIM(D187),INVENTARIO!$A$2:$A$2000,INVENTARIO!$B$2:$B$2000),"NO ENCONTRADO"))</f>
        <v/>
      </c>
      <c r="F187" s="2">
        <f>IF(D187="","",IF(E187="NO ENCONTRADO","CODIGO NO EXISTE",IF(COUNTIF($D$2:D187,D187)&gt;1,"DEVOLUCION DUPLICADA",IF(COUNTIFS(SALIDAS!$B$2:$B$1000,B187,SALIDAS!$D$2:$D$1000,D187,SALIDAS!$G$2:$G$1000,"OK*")=0,"NO FIGURA EN SALIDA","OK"))))</f>
        <v/>
      </c>
    </row>
    <row r="188">
      <c r="A188" s="9" t="inlineStr"/>
      <c r="B188" s="2" t="inlineStr"/>
      <c r="C188" s="2" t="inlineStr"/>
      <c r="D188" s="2" t="inlineStr"/>
      <c r="E188" s="2">
        <f>IF(D188="","",IFERROR(XLOOKUP(TRIM(D188),INVENTARIO!$A$2:$A$2000,INVENTARIO!$B$2:$B$2000),"NO ENCONTRADO"))</f>
        <v/>
      </c>
      <c r="F188" s="2">
        <f>IF(D188="","",IF(E188="NO ENCONTRADO","CODIGO NO EXISTE",IF(COUNTIF($D$2:D188,D188)&gt;1,"DEVOLUCION DUPLICADA",IF(COUNTIFS(SALIDAS!$B$2:$B$1000,B188,SALIDAS!$D$2:$D$1000,D188,SALIDAS!$G$2:$G$1000,"OK*")=0,"NO FIGURA EN SALIDA","OK"))))</f>
        <v/>
      </c>
    </row>
    <row r="189">
      <c r="A189" s="9" t="inlineStr"/>
      <c r="B189" s="2" t="inlineStr"/>
      <c r="C189" s="2" t="inlineStr"/>
      <c r="D189" s="2" t="inlineStr"/>
      <c r="E189" s="2">
        <f>IF(D189="","",IFERROR(XLOOKUP(TRIM(D189),INVENTARIO!$A$2:$A$2000,INVENTARIO!$B$2:$B$2000),"NO ENCONTRADO"))</f>
        <v/>
      </c>
      <c r="F189" s="2">
        <f>IF(D189="","",IF(E189="NO ENCONTRADO","CODIGO NO EXISTE",IF(COUNTIF($D$2:D189,D189)&gt;1,"DEVOLUCION DUPLICADA",IF(COUNTIFS(SALIDAS!$B$2:$B$1000,B189,SALIDAS!$D$2:$D$1000,D189,SALIDAS!$G$2:$G$1000,"OK*")=0,"NO FIGURA EN SALIDA","OK"))))</f>
        <v/>
      </c>
    </row>
    <row r="190">
      <c r="A190" s="9" t="inlineStr"/>
      <c r="B190" s="2" t="inlineStr"/>
      <c r="C190" s="2" t="inlineStr"/>
      <c r="D190" s="2" t="inlineStr"/>
      <c r="E190" s="2">
        <f>IF(D190="","",IFERROR(XLOOKUP(TRIM(D190),INVENTARIO!$A$2:$A$2000,INVENTARIO!$B$2:$B$2000),"NO ENCONTRADO"))</f>
        <v/>
      </c>
      <c r="F190" s="2">
        <f>IF(D190="","",IF(E190="NO ENCONTRADO","CODIGO NO EXISTE",IF(COUNTIF($D$2:D190,D190)&gt;1,"DEVOLUCION DUPLICADA",IF(COUNTIFS(SALIDAS!$B$2:$B$1000,B190,SALIDAS!$D$2:$D$1000,D190,SALIDAS!$G$2:$G$1000,"OK*")=0,"NO FIGURA EN SALIDA","OK"))))</f>
        <v/>
      </c>
    </row>
    <row r="191">
      <c r="A191" s="9" t="inlineStr"/>
      <c r="B191" s="2" t="inlineStr"/>
      <c r="C191" s="2" t="inlineStr"/>
      <c r="D191" s="2" t="inlineStr"/>
      <c r="E191" s="2">
        <f>IF(D191="","",IFERROR(XLOOKUP(TRIM(D191),INVENTARIO!$A$2:$A$2000,INVENTARIO!$B$2:$B$2000),"NO ENCONTRADO"))</f>
        <v/>
      </c>
      <c r="F191" s="2">
        <f>IF(D191="","",IF(E191="NO ENCONTRADO","CODIGO NO EXISTE",IF(COUNTIF($D$2:D191,D191)&gt;1,"DEVOLUCION DUPLICADA",IF(COUNTIFS(SALIDAS!$B$2:$B$1000,B191,SALIDAS!$D$2:$D$1000,D191,SALIDAS!$G$2:$G$1000,"OK*")=0,"NO FIGURA EN SALIDA","OK"))))</f>
        <v/>
      </c>
    </row>
    <row r="192">
      <c r="A192" s="9" t="inlineStr"/>
      <c r="B192" s="2" t="inlineStr"/>
      <c r="C192" s="2" t="inlineStr"/>
      <c r="D192" s="2" t="inlineStr"/>
      <c r="E192" s="2">
        <f>IF(D192="","",IFERROR(XLOOKUP(TRIM(D192),INVENTARIO!$A$2:$A$2000,INVENTARIO!$B$2:$B$2000),"NO ENCONTRADO"))</f>
        <v/>
      </c>
      <c r="F192" s="2">
        <f>IF(D192="","",IF(E192="NO ENCONTRADO","CODIGO NO EXISTE",IF(COUNTIF($D$2:D192,D192)&gt;1,"DEVOLUCION DUPLICADA",IF(COUNTIFS(SALIDAS!$B$2:$B$1000,B192,SALIDAS!$D$2:$D$1000,D192,SALIDAS!$G$2:$G$1000,"OK*")=0,"NO FIGURA EN SALIDA","OK"))))</f>
        <v/>
      </c>
    </row>
    <row r="193">
      <c r="A193" s="9" t="inlineStr"/>
      <c r="B193" s="2" t="inlineStr"/>
      <c r="C193" s="2" t="inlineStr"/>
      <c r="D193" s="2" t="inlineStr"/>
      <c r="E193" s="2">
        <f>IF(D193="","",IFERROR(XLOOKUP(TRIM(D193),INVENTARIO!$A$2:$A$2000,INVENTARIO!$B$2:$B$2000),"NO ENCONTRADO"))</f>
        <v/>
      </c>
      <c r="F193" s="2">
        <f>IF(D193="","",IF(E193="NO ENCONTRADO","CODIGO NO EXISTE",IF(COUNTIF($D$2:D193,D193)&gt;1,"DEVOLUCION DUPLICADA",IF(COUNTIFS(SALIDAS!$B$2:$B$1000,B193,SALIDAS!$D$2:$D$1000,D193,SALIDAS!$G$2:$G$1000,"OK*")=0,"NO FIGURA EN SALIDA","OK"))))</f>
        <v/>
      </c>
    </row>
    <row r="194">
      <c r="A194" s="9" t="inlineStr"/>
      <c r="B194" s="2" t="inlineStr"/>
      <c r="C194" s="2" t="inlineStr"/>
      <c r="D194" s="2" t="inlineStr"/>
      <c r="E194" s="2">
        <f>IF(D194="","",IFERROR(XLOOKUP(TRIM(D194),INVENTARIO!$A$2:$A$2000,INVENTARIO!$B$2:$B$2000),"NO ENCONTRADO"))</f>
        <v/>
      </c>
      <c r="F194" s="2">
        <f>IF(D194="","",IF(E194="NO ENCONTRADO","CODIGO NO EXISTE",IF(COUNTIF($D$2:D194,D194)&gt;1,"DEVOLUCION DUPLICADA",IF(COUNTIFS(SALIDAS!$B$2:$B$1000,B194,SALIDAS!$D$2:$D$1000,D194,SALIDAS!$G$2:$G$1000,"OK*")=0,"NO FIGURA EN SALIDA","OK"))))</f>
        <v/>
      </c>
    </row>
    <row r="195">
      <c r="A195" s="9" t="inlineStr"/>
      <c r="B195" s="2" t="inlineStr"/>
      <c r="C195" s="2" t="inlineStr"/>
      <c r="D195" s="2" t="inlineStr"/>
      <c r="E195" s="2">
        <f>IF(D195="","",IFERROR(XLOOKUP(TRIM(D195),INVENTARIO!$A$2:$A$2000,INVENTARIO!$B$2:$B$2000),"NO ENCONTRADO"))</f>
        <v/>
      </c>
      <c r="F195" s="2">
        <f>IF(D195="","",IF(E195="NO ENCONTRADO","CODIGO NO EXISTE",IF(COUNTIF($D$2:D195,D195)&gt;1,"DEVOLUCION DUPLICADA",IF(COUNTIFS(SALIDAS!$B$2:$B$1000,B195,SALIDAS!$D$2:$D$1000,D195,SALIDAS!$G$2:$G$1000,"OK*")=0,"NO FIGURA EN SALIDA","OK"))))</f>
        <v/>
      </c>
    </row>
    <row r="196">
      <c r="A196" s="9" t="inlineStr"/>
      <c r="B196" s="2" t="inlineStr"/>
      <c r="C196" s="2" t="inlineStr"/>
      <c r="D196" s="2" t="inlineStr"/>
      <c r="E196" s="2">
        <f>IF(D196="","",IFERROR(XLOOKUP(TRIM(D196),INVENTARIO!$A$2:$A$2000,INVENTARIO!$B$2:$B$2000),"NO ENCONTRADO"))</f>
        <v/>
      </c>
      <c r="F196" s="2">
        <f>IF(D196="","",IF(E196="NO ENCONTRADO","CODIGO NO EXISTE",IF(COUNTIF($D$2:D196,D196)&gt;1,"DEVOLUCION DUPLICADA",IF(COUNTIFS(SALIDAS!$B$2:$B$1000,B196,SALIDAS!$D$2:$D$1000,D196,SALIDAS!$G$2:$G$1000,"OK*")=0,"NO FIGURA EN SALIDA","OK"))))</f>
        <v/>
      </c>
    </row>
    <row r="197">
      <c r="A197" s="9" t="inlineStr"/>
      <c r="B197" s="2" t="inlineStr"/>
      <c r="C197" s="2" t="inlineStr"/>
      <c r="D197" s="2" t="inlineStr"/>
      <c r="E197" s="2">
        <f>IF(D197="","",IFERROR(XLOOKUP(TRIM(D197),INVENTARIO!$A$2:$A$2000,INVENTARIO!$B$2:$B$2000),"NO ENCONTRADO"))</f>
        <v/>
      </c>
      <c r="F197" s="2">
        <f>IF(D197="","",IF(E197="NO ENCONTRADO","CODIGO NO EXISTE",IF(COUNTIF($D$2:D197,D197)&gt;1,"DEVOLUCION DUPLICADA",IF(COUNTIFS(SALIDAS!$B$2:$B$1000,B197,SALIDAS!$D$2:$D$1000,D197,SALIDAS!$G$2:$G$1000,"OK*")=0,"NO FIGURA EN SALIDA","OK"))))</f>
        <v/>
      </c>
    </row>
    <row r="198">
      <c r="A198" s="9" t="inlineStr"/>
      <c r="B198" s="2" t="inlineStr"/>
      <c r="C198" s="2" t="inlineStr"/>
      <c r="D198" s="2" t="inlineStr"/>
      <c r="E198" s="2">
        <f>IF(D198="","",IFERROR(XLOOKUP(TRIM(D198),INVENTARIO!$A$2:$A$2000,INVENTARIO!$B$2:$B$2000),"NO ENCONTRADO"))</f>
        <v/>
      </c>
      <c r="F198" s="2">
        <f>IF(D198="","",IF(E198="NO ENCONTRADO","CODIGO NO EXISTE",IF(COUNTIF($D$2:D198,D198)&gt;1,"DEVOLUCION DUPLICADA",IF(COUNTIFS(SALIDAS!$B$2:$B$1000,B198,SALIDAS!$D$2:$D$1000,D198,SALIDAS!$G$2:$G$1000,"OK*")=0,"NO FIGURA EN SALIDA","OK"))))</f>
        <v/>
      </c>
    </row>
    <row r="199">
      <c r="A199" s="9" t="inlineStr"/>
      <c r="B199" s="2" t="inlineStr"/>
      <c r="C199" s="2" t="inlineStr"/>
      <c r="D199" s="2" t="inlineStr"/>
      <c r="E199" s="2">
        <f>IF(D199="","",IFERROR(XLOOKUP(TRIM(D199),INVENTARIO!$A$2:$A$2000,INVENTARIO!$B$2:$B$2000),"NO ENCONTRADO"))</f>
        <v/>
      </c>
      <c r="F199" s="2">
        <f>IF(D199="","",IF(E199="NO ENCONTRADO","CODIGO NO EXISTE",IF(COUNTIF($D$2:D199,D199)&gt;1,"DEVOLUCION DUPLICADA",IF(COUNTIFS(SALIDAS!$B$2:$B$1000,B199,SALIDAS!$D$2:$D$1000,D199,SALIDAS!$G$2:$G$1000,"OK*")=0,"NO FIGURA EN SALIDA","OK"))))</f>
        <v/>
      </c>
    </row>
    <row r="200">
      <c r="A200" s="9" t="inlineStr"/>
      <c r="B200" s="2" t="inlineStr"/>
      <c r="C200" s="2" t="inlineStr"/>
      <c r="D200" s="2" t="inlineStr"/>
      <c r="E200" s="2">
        <f>IF(D200="","",IFERROR(XLOOKUP(TRIM(D200),INVENTARIO!$A$2:$A$2000,INVENTARIO!$B$2:$B$2000),"NO ENCONTRADO"))</f>
        <v/>
      </c>
      <c r="F200" s="2">
        <f>IF(D200="","",IF(E200="NO ENCONTRADO","CODIGO NO EXISTE",IF(COUNTIF($D$2:D200,D200)&gt;1,"DEVOLUCION DUPLICADA",IF(COUNTIFS(SALIDAS!$B$2:$B$1000,B200,SALIDAS!$D$2:$D$1000,D200,SALIDAS!$G$2:$G$1000,"OK*")=0,"NO FIGURA EN SALIDA","OK"))))</f>
        <v/>
      </c>
    </row>
    <row r="201">
      <c r="A201" s="9" t="inlineStr"/>
      <c r="B201" s="2" t="inlineStr"/>
      <c r="C201" s="2" t="inlineStr"/>
      <c r="D201" s="2" t="inlineStr"/>
      <c r="E201" s="2">
        <f>IF(D201="","",IFERROR(XLOOKUP(TRIM(D201),INVENTARIO!$A$2:$A$2000,INVENTARIO!$B$2:$B$2000),"NO ENCONTRADO"))</f>
        <v/>
      </c>
      <c r="F201" s="2">
        <f>IF(D201="","",IF(E201="NO ENCONTRADO","CODIGO NO EXISTE",IF(COUNTIF($D$2:D201,D201)&gt;1,"DEVOLUCION DUPLICADA",IF(COUNTIFS(SALIDAS!$B$2:$B$1000,B201,SALIDAS!$D$2:$D$1000,D201,SALIDAS!$G$2:$G$1000,"OK*")=0,"NO FIGURA EN SALIDA","OK"))))</f>
        <v/>
      </c>
    </row>
    <row r="202">
      <c r="A202" s="9" t="inlineStr"/>
      <c r="B202" s="2" t="inlineStr"/>
      <c r="C202" s="2" t="inlineStr"/>
      <c r="D202" s="2" t="inlineStr"/>
      <c r="E202" s="2">
        <f>IF(D202="","",IFERROR(XLOOKUP(TRIM(D202),INVENTARIO!$A$2:$A$2000,INVENTARIO!$B$2:$B$2000),"NO ENCONTRADO"))</f>
        <v/>
      </c>
      <c r="F202" s="2">
        <f>IF(D202="","",IF(E202="NO ENCONTRADO","CODIGO NO EXISTE",IF(COUNTIF($D$2:D202,D202)&gt;1,"DEVOLUCION DUPLICADA",IF(COUNTIFS(SALIDAS!$B$2:$B$1000,B202,SALIDAS!$D$2:$D$1000,D202,SALIDAS!$G$2:$G$1000,"OK*")=0,"NO FIGURA EN SALIDA","OK"))))</f>
        <v/>
      </c>
    </row>
    <row r="203">
      <c r="A203" s="9" t="inlineStr"/>
      <c r="B203" s="2" t="inlineStr"/>
      <c r="C203" s="2" t="inlineStr"/>
      <c r="D203" s="2" t="inlineStr"/>
      <c r="E203" s="2">
        <f>IF(D203="","",IFERROR(XLOOKUP(TRIM(D203),INVENTARIO!$A$2:$A$2000,INVENTARIO!$B$2:$B$2000),"NO ENCONTRADO"))</f>
        <v/>
      </c>
      <c r="F203" s="2">
        <f>IF(D203="","",IF(E203="NO ENCONTRADO","CODIGO NO EXISTE",IF(COUNTIF($D$2:D203,D203)&gt;1,"DEVOLUCION DUPLICADA",IF(COUNTIFS(SALIDAS!$B$2:$B$1000,B203,SALIDAS!$D$2:$D$1000,D203,SALIDAS!$G$2:$G$1000,"OK*")=0,"NO FIGURA EN SALIDA","OK"))))</f>
        <v/>
      </c>
    </row>
    <row r="204">
      <c r="A204" s="9" t="inlineStr"/>
      <c r="B204" s="2" t="inlineStr"/>
      <c r="C204" s="2" t="inlineStr"/>
      <c r="D204" s="2" t="inlineStr"/>
      <c r="E204" s="2">
        <f>IF(D204="","",IFERROR(XLOOKUP(TRIM(D204),INVENTARIO!$A$2:$A$2000,INVENTARIO!$B$2:$B$2000),"NO ENCONTRADO"))</f>
        <v/>
      </c>
      <c r="F204" s="2">
        <f>IF(D204="","",IF(E204="NO ENCONTRADO","CODIGO NO EXISTE",IF(COUNTIF($D$2:D204,D204)&gt;1,"DEVOLUCION DUPLICADA",IF(COUNTIFS(SALIDAS!$B$2:$B$1000,B204,SALIDAS!$D$2:$D$1000,D204,SALIDAS!$G$2:$G$1000,"OK*")=0,"NO FIGURA EN SALIDA","OK"))))</f>
        <v/>
      </c>
    </row>
    <row r="205">
      <c r="A205" s="9" t="inlineStr"/>
      <c r="B205" s="2" t="inlineStr"/>
      <c r="C205" s="2" t="inlineStr"/>
      <c r="D205" s="2" t="inlineStr"/>
      <c r="E205" s="2">
        <f>IF(D205="","",IFERROR(XLOOKUP(TRIM(D205),INVENTARIO!$A$2:$A$2000,INVENTARIO!$B$2:$B$2000),"NO ENCONTRADO"))</f>
        <v/>
      </c>
      <c r="F205" s="2">
        <f>IF(D205="","",IF(E205="NO ENCONTRADO","CODIGO NO EXISTE",IF(COUNTIF($D$2:D205,D205)&gt;1,"DEVOLUCION DUPLICADA",IF(COUNTIFS(SALIDAS!$B$2:$B$1000,B205,SALIDAS!$D$2:$D$1000,D205,SALIDAS!$G$2:$G$1000,"OK*")=0,"NO FIGURA EN SALIDA","OK"))))</f>
        <v/>
      </c>
    </row>
    <row r="206">
      <c r="A206" s="9" t="inlineStr"/>
      <c r="B206" s="2" t="inlineStr"/>
      <c r="C206" s="2" t="inlineStr"/>
      <c r="D206" s="2" t="inlineStr"/>
      <c r="E206" s="2">
        <f>IF(D206="","",IFERROR(XLOOKUP(TRIM(D206),INVENTARIO!$A$2:$A$2000,INVENTARIO!$B$2:$B$2000),"NO ENCONTRADO"))</f>
        <v/>
      </c>
      <c r="F206" s="2">
        <f>IF(D206="","",IF(E206="NO ENCONTRADO","CODIGO NO EXISTE",IF(COUNTIF($D$2:D206,D206)&gt;1,"DEVOLUCION DUPLICADA",IF(COUNTIFS(SALIDAS!$B$2:$B$1000,B206,SALIDAS!$D$2:$D$1000,D206,SALIDAS!$G$2:$G$1000,"OK*")=0,"NO FIGURA EN SALIDA","OK"))))</f>
        <v/>
      </c>
    </row>
    <row r="207">
      <c r="A207" s="9" t="inlineStr"/>
      <c r="B207" s="2" t="inlineStr"/>
      <c r="C207" s="2" t="inlineStr"/>
      <c r="D207" s="2" t="inlineStr"/>
      <c r="E207" s="2">
        <f>IF(D207="","",IFERROR(XLOOKUP(TRIM(D207),INVENTARIO!$A$2:$A$2000,INVENTARIO!$B$2:$B$2000),"NO ENCONTRADO"))</f>
        <v/>
      </c>
      <c r="F207" s="2">
        <f>IF(D207="","",IF(E207="NO ENCONTRADO","CODIGO NO EXISTE",IF(COUNTIF($D$2:D207,D207)&gt;1,"DEVOLUCION DUPLICADA",IF(COUNTIFS(SALIDAS!$B$2:$B$1000,B207,SALIDAS!$D$2:$D$1000,D207,SALIDAS!$G$2:$G$1000,"OK*")=0,"NO FIGURA EN SALIDA","OK"))))</f>
        <v/>
      </c>
    </row>
    <row r="208">
      <c r="A208" s="9" t="inlineStr"/>
      <c r="B208" s="2" t="inlineStr"/>
      <c r="C208" s="2" t="inlineStr"/>
      <c r="D208" s="2" t="inlineStr"/>
      <c r="E208" s="2">
        <f>IF(D208="","",IFERROR(XLOOKUP(TRIM(D208),INVENTARIO!$A$2:$A$2000,INVENTARIO!$B$2:$B$2000),"NO ENCONTRADO"))</f>
        <v/>
      </c>
      <c r="F208" s="2">
        <f>IF(D208="","",IF(E208="NO ENCONTRADO","CODIGO NO EXISTE",IF(COUNTIF($D$2:D208,D208)&gt;1,"DEVOLUCION DUPLICADA",IF(COUNTIFS(SALIDAS!$B$2:$B$1000,B208,SALIDAS!$D$2:$D$1000,D208,SALIDAS!$G$2:$G$1000,"OK*")=0,"NO FIGURA EN SALIDA","OK"))))</f>
        <v/>
      </c>
    </row>
    <row r="209">
      <c r="A209" s="9" t="inlineStr"/>
      <c r="B209" s="2" t="inlineStr"/>
      <c r="C209" s="2" t="inlineStr"/>
      <c r="D209" s="2" t="inlineStr"/>
      <c r="E209" s="2">
        <f>IF(D209="","",IFERROR(XLOOKUP(TRIM(D209),INVENTARIO!$A$2:$A$2000,INVENTARIO!$B$2:$B$2000),"NO ENCONTRADO"))</f>
        <v/>
      </c>
      <c r="F209" s="2">
        <f>IF(D209="","",IF(E209="NO ENCONTRADO","CODIGO NO EXISTE",IF(COUNTIF($D$2:D209,D209)&gt;1,"DEVOLUCION DUPLICADA",IF(COUNTIFS(SALIDAS!$B$2:$B$1000,B209,SALIDAS!$D$2:$D$1000,D209,SALIDAS!$G$2:$G$1000,"OK*")=0,"NO FIGURA EN SALIDA","OK"))))</f>
        <v/>
      </c>
    </row>
    <row r="210">
      <c r="A210" s="9" t="inlineStr"/>
      <c r="B210" s="2" t="inlineStr"/>
      <c r="C210" s="2" t="inlineStr"/>
      <c r="D210" s="2" t="inlineStr"/>
      <c r="E210" s="2">
        <f>IF(D210="","",IFERROR(XLOOKUP(TRIM(D210),INVENTARIO!$A$2:$A$2000,INVENTARIO!$B$2:$B$2000),"NO ENCONTRADO"))</f>
        <v/>
      </c>
      <c r="F210" s="2">
        <f>IF(D210="","",IF(E210="NO ENCONTRADO","CODIGO NO EXISTE",IF(COUNTIF($D$2:D210,D210)&gt;1,"DEVOLUCION DUPLICADA",IF(COUNTIFS(SALIDAS!$B$2:$B$1000,B210,SALIDAS!$D$2:$D$1000,D210,SALIDAS!$G$2:$G$1000,"OK*")=0,"NO FIGURA EN SALIDA","OK"))))</f>
        <v/>
      </c>
    </row>
    <row r="211">
      <c r="A211" s="9" t="inlineStr"/>
      <c r="B211" s="2" t="inlineStr"/>
      <c r="C211" s="2" t="inlineStr"/>
      <c r="D211" s="2" t="inlineStr"/>
      <c r="E211" s="2">
        <f>IF(D211="","",IFERROR(XLOOKUP(TRIM(D211),INVENTARIO!$A$2:$A$2000,INVENTARIO!$B$2:$B$2000),"NO ENCONTRADO"))</f>
        <v/>
      </c>
      <c r="F211" s="2">
        <f>IF(D211="","",IF(E211="NO ENCONTRADO","CODIGO NO EXISTE",IF(COUNTIF($D$2:D211,D211)&gt;1,"DEVOLUCION DUPLICADA",IF(COUNTIFS(SALIDAS!$B$2:$B$1000,B211,SALIDAS!$D$2:$D$1000,D211,SALIDAS!$G$2:$G$1000,"OK*")=0,"NO FIGURA EN SALIDA","OK"))))</f>
        <v/>
      </c>
    </row>
    <row r="212">
      <c r="A212" s="9" t="inlineStr"/>
      <c r="B212" s="2" t="inlineStr"/>
      <c r="C212" s="2" t="inlineStr"/>
      <c r="D212" s="2" t="inlineStr"/>
      <c r="E212" s="2">
        <f>IF(D212="","",IFERROR(XLOOKUP(TRIM(D212),INVENTARIO!$A$2:$A$2000,INVENTARIO!$B$2:$B$2000),"NO ENCONTRADO"))</f>
        <v/>
      </c>
      <c r="F212" s="2">
        <f>IF(D212="","",IF(E212="NO ENCONTRADO","CODIGO NO EXISTE",IF(COUNTIF($D$2:D212,D212)&gt;1,"DEVOLUCION DUPLICADA",IF(COUNTIFS(SALIDAS!$B$2:$B$1000,B212,SALIDAS!$D$2:$D$1000,D212,SALIDAS!$G$2:$G$1000,"OK*")=0,"NO FIGURA EN SALIDA","OK"))))</f>
        <v/>
      </c>
    </row>
    <row r="213">
      <c r="A213" s="9" t="inlineStr"/>
      <c r="B213" s="2" t="inlineStr"/>
      <c r="C213" s="2" t="inlineStr"/>
      <c r="D213" s="2" t="inlineStr"/>
      <c r="E213" s="2">
        <f>IF(D213="","",IFERROR(XLOOKUP(TRIM(D213),INVENTARIO!$A$2:$A$2000,INVENTARIO!$B$2:$B$2000),"NO ENCONTRADO"))</f>
        <v/>
      </c>
      <c r="F213" s="2">
        <f>IF(D213="","",IF(E213="NO ENCONTRADO","CODIGO NO EXISTE",IF(COUNTIF($D$2:D213,D213)&gt;1,"DEVOLUCION DUPLICADA",IF(COUNTIFS(SALIDAS!$B$2:$B$1000,B213,SALIDAS!$D$2:$D$1000,D213,SALIDAS!$G$2:$G$1000,"OK*")=0,"NO FIGURA EN SALIDA","OK"))))</f>
        <v/>
      </c>
    </row>
    <row r="214">
      <c r="A214" s="9" t="inlineStr"/>
      <c r="B214" s="2" t="inlineStr"/>
      <c r="C214" s="2" t="inlineStr"/>
      <c r="D214" s="2" t="inlineStr"/>
      <c r="E214" s="2">
        <f>IF(D214="","",IFERROR(XLOOKUP(TRIM(D214),INVENTARIO!$A$2:$A$2000,INVENTARIO!$B$2:$B$2000),"NO ENCONTRADO"))</f>
        <v/>
      </c>
      <c r="F214" s="2">
        <f>IF(D214="","",IF(E214="NO ENCONTRADO","CODIGO NO EXISTE",IF(COUNTIF($D$2:D214,D214)&gt;1,"DEVOLUCION DUPLICADA",IF(COUNTIFS(SALIDAS!$B$2:$B$1000,B214,SALIDAS!$D$2:$D$1000,D214,SALIDAS!$G$2:$G$1000,"OK*")=0,"NO FIGURA EN SALIDA","OK"))))</f>
        <v/>
      </c>
    </row>
    <row r="215">
      <c r="A215" s="9" t="inlineStr"/>
      <c r="B215" s="2" t="inlineStr"/>
      <c r="C215" s="2" t="inlineStr"/>
      <c r="D215" s="2" t="inlineStr"/>
      <c r="E215" s="2">
        <f>IF(D215="","",IFERROR(XLOOKUP(TRIM(D215),INVENTARIO!$A$2:$A$2000,INVENTARIO!$B$2:$B$2000),"NO ENCONTRADO"))</f>
        <v/>
      </c>
      <c r="F215" s="2">
        <f>IF(D215="","",IF(E215="NO ENCONTRADO","CODIGO NO EXISTE",IF(COUNTIF($D$2:D215,D215)&gt;1,"DEVOLUCION DUPLICADA",IF(COUNTIFS(SALIDAS!$B$2:$B$1000,B215,SALIDAS!$D$2:$D$1000,D215,SALIDAS!$G$2:$G$1000,"OK*")=0,"NO FIGURA EN SALIDA","OK"))))</f>
        <v/>
      </c>
    </row>
    <row r="216">
      <c r="A216" s="9" t="inlineStr"/>
      <c r="B216" s="2" t="inlineStr"/>
      <c r="C216" s="2" t="inlineStr"/>
      <c r="D216" s="2" t="inlineStr"/>
      <c r="E216" s="2">
        <f>IF(D216="","",IFERROR(XLOOKUP(TRIM(D216),INVENTARIO!$A$2:$A$2000,INVENTARIO!$B$2:$B$2000),"NO ENCONTRADO"))</f>
        <v/>
      </c>
      <c r="F216" s="2">
        <f>IF(D216="","",IF(E216="NO ENCONTRADO","CODIGO NO EXISTE",IF(COUNTIF($D$2:D216,D216)&gt;1,"DEVOLUCION DUPLICADA",IF(COUNTIFS(SALIDAS!$B$2:$B$1000,B216,SALIDAS!$D$2:$D$1000,D216,SALIDAS!$G$2:$G$1000,"OK*")=0,"NO FIGURA EN SALIDA","OK"))))</f>
        <v/>
      </c>
    </row>
    <row r="217">
      <c r="A217" s="9" t="inlineStr"/>
      <c r="B217" s="2" t="inlineStr"/>
      <c r="C217" s="2" t="inlineStr"/>
      <c r="D217" s="2" t="inlineStr"/>
      <c r="E217" s="2">
        <f>IF(D217="","",IFERROR(XLOOKUP(TRIM(D217),INVENTARIO!$A$2:$A$2000,INVENTARIO!$B$2:$B$2000),"NO ENCONTRADO"))</f>
        <v/>
      </c>
      <c r="F217" s="2">
        <f>IF(D217="","",IF(E217="NO ENCONTRADO","CODIGO NO EXISTE",IF(COUNTIF($D$2:D217,D217)&gt;1,"DEVOLUCION DUPLICADA",IF(COUNTIFS(SALIDAS!$B$2:$B$1000,B217,SALIDAS!$D$2:$D$1000,D217,SALIDAS!$G$2:$G$1000,"OK*")=0,"NO FIGURA EN SALIDA","OK"))))</f>
        <v/>
      </c>
    </row>
    <row r="218">
      <c r="A218" s="9" t="inlineStr"/>
      <c r="B218" s="2" t="inlineStr"/>
      <c r="C218" s="2" t="inlineStr"/>
      <c r="D218" s="2" t="inlineStr"/>
      <c r="E218" s="2">
        <f>IF(D218="","",IFERROR(XLOOKUP(TRIM(D218),INVENTARIO!$A$2:$A$2000,INVENTARIO!$B$2:$B$2000),"NO ENCONTRADO"))</f>
        <v/>
      </c>
      <c r="F218" s="2">
        <f>IF(D218="","",IF(E218="NO ENCONTRADO","CODIGO NO EXISTE",IF(COUNTIF($D$2:D218,D218)&gt;1,"DEVOLUCION DUPLICADA",IF(COUNTIFS(SALIDAS!$B$2:$B$1000,B218,SALIDAS!$D$2:$D$1000,D218,SALIDAS!$G$2:$G$1000,"OK*")=0,"NO FIGURA EN SALIDA","OK"))))</f>
        <v/>
      </c>
    </row>
    <row r="219">
      <c r="A219" s="9" t="inlineStr"/>
      <c r="B219" s="2" t="inlineStr"/>
      <c r="C219" s="2" t="inlineStr"/>
      <c r="D219" s="2" t="inlineStr"/>
      <c r="E219" s="2">
        <f>IF(D219="","",IFERROR(XLOOKUP(TRIM(D219),INVENTARIO!$A$2:$A$2000,INVENTARIO!$B$2:$B$2000),"NO ENCONTRADO"))</f>
        <v/>
      </c>
      <c r="F219" s="2">
        <f>IF(D219="","",IF(E219="NO ENCONTRADO","CODIGO NO EXISTE",IF(COUNTIF($D$2:D219,D219)&gt;1,"DEVOLUCION DUPLICADA",IF(COUNTIFS(SALIDAS!$B$2:$B$1000,B219,SALIDAS!$D$2:$D$1000,D219,SALIDAS!$G$2:$G$1000,"OK*")=0,"NO FIGURA EN SALIDA","OK"))))</f>
        <v/>
      </c>
    </row>
    <row r="220">
      <c r="A220" s="9" t="inlineStr"/>
      <c r="B220" s="2" t="inlineStr"/>
      <c r="C220" s="2" t="inlineStr"/>
      <c r="D220" s="2" t="inlineStr"/>
      <c r="E220" s="2">
        <f>IF(D220="","",IFERROR(XLOOKUP(TRIM(D220),INVENTARIO!$A$2:$A$2000,INVENTARIO!$B$2:$B$2000),"NO ENCONTRADO"))</f>
        <v/>
      </c>
      <c r="F220" s="2">
        <f>IF(D220="","",IF(E220="NO ENCONTRADO","CODIGO NO EXISTE",IF(COUNTIF($D$2:D220,D220)&gt;1,"DEVOLUCION DUPLICADA",IF(COUNTIFS(SALIDAS!$B$2:$B$1000,B220,SALIDAS!$D$2:$D$1000,D220,SALIDAS!$G$2:$G$1000,"OK*")=0,"NO FIGURA EN SALIDA","OK"))))</f>
        <v/>
      </c>
    </row>
    <row r="221">
      <c r="A221" s="9" t="inlineStr"/>
      <c r="B221" s="2" t="inlineStr"/>
      <c r="C221" s="2" t="inlineStr"/>
      <c r="D221" s="2" t="inlineStr"/>
      <c r="E221" s="2">
        <f>IF(D221="","",IFERROR(XLOOKUP(TRIM(D221),INVENTARIO!$A$2:$A$2000,INVENTARIO!$B$2:$B$2000),"NO ENCONTRADO"))</f>
        <v/>
      </c>
      <c r="F221" s="2">
        <f>IF(D221="","",IF(E221="NO ENCONTRADO","CODIGO NO EXISTE",IF(COUNTIF($D$2:D221,D221)&gt;1,"DEVOLUCION DUPLICADA",IF(COUNTIFS(SALIDAS!$B$2:$B$1000,B221,SALIDAS!$D$2:$D$1000,D221,SALIDAS!$G$2:$G$1000,"OK*")=0,"NO FIGURA EN SALIDA","OK"))))</f>
        <v/>
      </c>
    </row>
    <row r="222">
      <c r="A222" s="9" t="inlineStr"/>
      <c r="B222" s="2" t="inlineStr"/>
      <c r="C222" s="2" t="inlineStr"/>
      <c r="D222" s="2" t="inlineStr"/>
      <c r="E222" s="2">
        <f>IF(D222="","",IFERROR(XLOOKUP(TRIM(D222),INVENTARIO!$A$2:$A$2000,INVENTARIO!$B$2:$B$2000),"NO ENCONTRADO"))</f>
        <v/>
      </c>
      <c r="F222" s="2">
        <f>IF(D222="","",IF(E222="NO ENCONTRADO","CODIGO NO EXISTE",IF(COUNTIF($D$2:D222,D222)&gt;1,"DEVOLUCION DUPLICADA",IF(COUNTIFS(SALIDAS!$B$2:$B$1000,B222,SALIDAS!$D$2:$D$1000,D222,SALIDAS!$G$2:$G$1000,"OK*")=0,"NO FIGURA EN SALIDA","OK"))))</f>
        <v/>
      </c>
    </row>
    <row r="223">
      <c r="A223" s="9" t="inlineStr"/>
      <c r="B223" s="2" t="inlineStr"/>
      <c r="C223" s="2" t="inlineStr"/>
      <c r="D223" s="2" t="inlineStr"/>
      <c r="E223" s="2">
        <f>IF(D223="","",IFERROR(XLOOKUP(TRIM(D223),INVENTARIO!$A$2:$A$2000,INVENTARIO!$B$2:$B$2000),"NO ENCONTRADO"))</f>
        <v/>
      </c>
      <c r="F223" s="2">
        <f>IF(D223="","",IF(E223="NO ENCONTRADO","CODIGO NO EXISTE",IF(COUNTIF($D$2:D223,D223)&gt;1,"DEVOLUCION DUPLICADA",IF(COUNTIFS(SALIDAS!$B$2:$B$1000,B223,SALIDAS!$D$2:$D$1000,D223,SALIDAS!$G$2:$G$1000,"OK*")=0,"NO FIGURA EN SALIDA","OK"))))</f>
        <v/>
      </c>
    </row>
    <row r="224">
      <c r="A224" s="9" t="inlineStr"/>
      <c r="B224" s="2" t="inlineStr"/>
      <c r="C224" s="2" t="inlineStr"/>
      <c r="D224" s="2" t="inlineStr"/>
      <c r="E224" s="2">
        <f>IF(D224="","",IFERROR(XLOOKUP(TRIM(D224),INVENTARIO!$A$2:$A$2000,INVENTARIO!$B$2:$B$2000),"NO ENCONTRADO"))</f>
        <v/>
      </c>
      <c r="F224" s="2">
        <f>IF(D224="","",IF(E224="NO ENCONTRADO","CODIGO NO EXISTE",IF(COUNTIF($D$2:D224,D224)&gt;1,"DEVOLUCION DUPLICADA",IF(COUNTIFS(SALIDAS!$B$2:$B$1000,B224,SALIDAS!$D$2:$D$1000,D224,SALIDAS!$G$2:$G$1000,"OK*")=0,"NO FIGURA EN SALIDA","OK"))))</f>
        <v/>
      </c>
    </row>
    <row r="225">
      <c r="A225" s="9" t="inlineStr"/>
      <c r="B225" s="2" t="inlineStr"/>
      <c r="C225" s="2" t="inlineStr"/>
      <c r="D225" s="2" t="inlineStr"/>
      <c r="E225" s="2">
        <f>IF(D225="","",IFERROR(XLOOKUP(TRIM(D225),INVENTARIO!$A$2:$A$2000,INVENTARIO!$B$2:$B$2000),"NO ENCONTRADO"))</f>
        <v/>
      </c>
      <c r="F225" s="2">
        <f>IF(D225="","",IF(E225="NO ENCONTRADO","CODIGO NO EXISTE",IF(COUNTIF($D$2:D225,D225)&gt;1,"DEVOLUCION DUPLICADA",IF(COUNTIFS(SALIDAS!$B$2:$B$1000,B225,SALIDAS!$D$2:$D$1000,D225,SALIDAS!$G$2:$G$1000,"OK*")=0,"NO FIGURA EN SALIDA","OK"))))</f>
        <v/>
      </c>
    </row>
    <row r="226">
      <c r="A226" s="9" t="inlineStr"/>
      <c r="B226" s="2" t="inlineStr"/>
      <c r="C226" s="2" t="inlineStr"/>
      <c r="D226" s="2" t="inlineStr"/>
      <c r="E226" s="2">
        <f>IF(D226="","",IFERROR(XLOOKUP(TRIM(D226),INVENTARIO!$A$2:$A$2000,INVENTARIO!$B$2:$B$2000),"NO ENCONTRADO"))</f>
        <v/>
      </c>
      <c r="F226" s="2">
        <f>IF(D226="","",IF(E226="NO ENCONTRADO","CODIGO NO EXISTE",IF(COUNTIF($D$2:D226,D226)&gt;1,"DEVOLUCION DUPLICADA",IF(COUNTIFS(SALIDAS!$B$2:$B$1000,B226,SALIDAS!$D$2:$D$1000,D226,SALIDAS!$G$2:$G$1000,"OK*")=0,"NO FIGURA EN SALIDA","OK"))))</f>
        <v/>
      </c>
    </row>
    <row r="227">
      <c r="A227" s="9" t="inlineStr"/>
      <c r="B227" s="2" t="inlineStr"/>
      <c r="C227" s="2" t="inlineStr"/>
      <c r="D227" s="2" t="inlineStr"/>
      <c r="E227" s="2">
        <f>IF(D227="","",IFERROR(XLOOKUP(TRIM(D227),INVENTARIO!$A$2:$A$2000,INVENTARIO!$B$2:$B$2000),"NO ENCONTRADO"))</f>
        <v/>
      </c>
      <c r="F227" s="2">
        <f>IF(D227="","",IF(E227="NO ENCONTRADO","CODIGO NO EXISTE",IF(COUNTIF($D$2:D227,D227)&gt;1,"DEVOLUCION DUPLICADA",IF(COUNTIFS(SALIDAS!$B$2:$B$1000,B227,SALIDAS!$D$2:$D$1000,D227,SALIDAS!$G$2:$G$1000,"OK*")=0,"NO FIGURA EN SALIDA","OK"))))</f>
        <v/>
      </c>
    </row>
    <row r="228">
      <c r="A228" s="9" t="inlineStr"/>
      <c r="B228" s="2" t="inlineStr"/>
      <c r="C228" s="2" t="inlineStr"/>
      <c r="D228" s="2" t="inlineStr"/>
      <c r="E228" s="2">
        <f>IF(D228="","",IFERROR(XLOOKUP(TRIM(D228),INVENTARIO!$A$2:$A$2000,INVENTARIO!$B$2:$B$2000),"NO ENCONTRADO"))</f>
        <v/>
      </c>
      <c r="F228" s="2">
        <f>IF(D228="","",IF(E228="NO ENCONTRADO","CODIGO NO EXISTE",IF(COUNTIF($D$2:D228,D228)&gt;1,"DEVOLUCION DUPLICADA",IF(COUNTIFS(SALIDAS!$B$2:$B$1000,B228,SALIDAS!$D$2:$D$1000,D228,SALIDAS!$G$2:$G$1000,"OK*")=0,"NO FIGURA EN SALIDA","OK"))))</f>
        <v/>
      </c>
    </row>
    <row r="229">
      <c r="A229" s="9" t="inlineStr"/>
      <c r="B229" s="2" t="inlineStr"/>
      <c r="C229" s="2" t="inlineStr"/>
      <c r="D229" s="2" t="inlineStr"/>
      <c r="E229" s="2">
        <f>IF(D229="","",IFERROR(XLOOKUP(TRIM(D229),INVENTARIO!$A$2:$A$2000,INVENTARIO!$B$2:$B$2000),"NO ENCONTRADO"))</f>
        <v/>
      </c>
      <c r="F229" s="2">
        <f>IF(D229="","",IF(E229="NO ENCONTRADO","CODIGO NO EXISTE",IF(COUNTIF($D$2:D229,D229)&gt;1,"DEVOLUCION DUPLICADA",IF(COUNTIFS(SALIDAS!$B$2:$B$1000,B229,SALIDAS!$D$2:$D$1000,D229,SALIDAS!$G$2:$G$1000,"OK*")=0,"NO FIGURA EN SALIDA","OK"))))</f>
        <v/>
      </c>
    </row>
    <row r="230">
      <c r="A230" s="9" t="inlineStr"/>
      <c r="B230" s="2" t="inlineStr"/>
      <c r="C230" s="2" t="inlineStr"/>
      <c r="D230" s="2" t="inlineStr"/>
      <c r="E230" s="2">
        <f>IF(D230="","",IFERROR(XLOOKUP(TRIM(D230),INVENTARIO!$A$2:$A$2000,INVENTARIO!$B$2:$B$2000),"NO ENCONTRADO"))</f>
        <v/>
      </c>
      <c r="F230" s="2">
        <f>IF(D230="","",IF(E230="NO ENCONTRADO","CODIGO NO EXISTE",IF(COUNTIF($D$2:D230,D230)&gt;1,"DEVOLUCION DUPLICADA",IF(COUNTIFS(SALIDAS!$B$2:$B$1000,B230,SALIDAS!$D$2:$D$1000,D230,SALIDAS!$G$2:$G$1000,"OK*")=0,"NO FIGURA EN SALIDA","OK"))))</f>
        <v/>
      </c>
    </row>
    <row r="231">
      <c r="A231" s="9" t="inlineStr"/>
      <c r="B231" s="2" t="inlineStr"/>
      <c r="C231" s="2" t="inlineStr"/>
      <c r="D231" s="2" t="inlineStr"/>
      <c r="E231" s="2">
        <f>IF(D231="","",IFERROR(XLOOKUP(TRIM(D231),INVENTARIO!$A$2:$A$2000,INVENTARIO!$B$2:$B$2000),"NO ENCONTRADO"))</f>
        <v/>
      </c>
      <c r="F231" s="2">
        <f>IF(D231="","",IF(E231="NO ENCONTRADO","CODIGO NO EXISTE",IF(COUNTIF($D$2:D231,D231)&gt;1,"DEVOLUCION DUPLICADA",IF(COUNTIFS(SALIDAS!$B$2:$B$1000,B231,SALIDAS!$D$2:$D$1000,D231,SALIDAS!$G$2:$G$1000,"OK*")=0,"NO FIGURA EN SALIDA","OK"))))</f>
        <v/>
      </c>
    </row>
    <row r="232">
      <c r="A232" s="9" t="inlineStr"/>
      <c r="B232" s="2" t="inlineStr"/>
      <c r="C232" s="2" t="inlineStr"/>
      <c r="D232" s="2" t="inlineStr"/>
      <c r="E232" s="2">
        <f>IF(D232="","",IFERROR(XLOOKUP(TRIM(D232),INVENTARIO!$A$2:$A$2000,INVENTARIO!$B$2:$B$2000),"NO ENCONTRADO"))</f>
        <v/>
      </c>
      <c r="F232" s="2">
        <f>IF(D232="","",IF(E232="NO ENCONTRADO","CODIGO NO EXISTE",IF(COUNTIF($D$2:D232,D232)&gt;1,"DEVOLUCION DUPLICADA",IF(COUNTIFS(SALIDAS!$B$2:$B$1000,B232,SALIDAS!$D$2:$D$1000,D232,SALIDAS!$G$2:$G$1000,"OK*")=0,"NO FIGURA EN SALIDA","OK"))))</f>
        <v/>
      </c>
    </row>
    <row r="233">
      <c r="A233" s="9" t="inlineStr"/>
      <c r="B233" s="2" t="inlineStr"/>
      <c r="C233" s="2" t="inlineStr"/>
      <c r="D233" s="2" t="inlineStr"/>
      <c r="E233" s="2">
        <f>IF(D233="","",IFERROR(XLOOKUP(TRIM(D233),INVENTARIO!$A$2:$A$2000,INVENTARIO!$B$2:$B$2000),"NO ENCONTRADO"))</f>
        <v/>
      </c>
      <c r="F233" s="2">
        <f>IF(D233="","",IF(E233="NO ENCONTRADO","CODIGO NO EXISTE",IF(COUNTIF($D$2:D233,D233)&gt;1,"DEVOLUCION DUPLICADA",IF(COUNTIFS(SALIDAS!$B$2:$B$1000,B233,SALIDAS!$D$2:$D$1000,D233,SALIDAS!$G$2:$G$1000,"OK*")=0,"NO FIGURA EN SALIDA","OK"))))</f>
        <v/>
      </c>
    </row>
    <row r="234">
      <c r="A234" s="9" t="inlineStr"/>
      <c r="B234" s="2" t="inlineStr"/>
      <c r="C234" s="2" t="inlineStr"/>
      <c r="D234" s="2" t="inlineStr"/>
      <c r="E234" s="2">
        <f>IF(D234="","",IFERROR(XLOOKUP(TRIM(D234),INVENTARIO!$A$2:$A$2000,INVENTARIO!$B$2:$B$2000),"NO ENCONTRADO"))</f>
        <v/>
      </c>
      <c r="F234" s="2">
        <f>IF(D234="","",IF(E234="NO ENCONTRADO","CODIGO NO EXISTE",IF(COUNTIF($D$2:D234,D234)&gt;1,"DEVOLUCION DUPLICADA",IF(COUNTIFS(SALIDAS!$B$2:$B$1000,B234,SALIDAS!$D$2:$D$1000,D234,SALIDAS!$G$2:$G$1000,"OK*")=0,"NO FIGURA EN SALIDA","OK"))))</f>
        <v/>
      </c>
    </row>
    <row r="235">
      <c r="A235" s="9" t="inlineStr"/>
      <c r="B235" s="2" t="inlineStr"/>
      <c r="C235" s="2" t="inlineStr"/>
      <c r="D235" s="2" t="inlineStr"/>
      <c r="E235" s="2">
        <f>IF(D235="","",IFERROR(XLOOKUP(TRIM(D235),INVENTARIO!$A$2:$A$2000,INVENTARIO!$B$2:$B$2000),"NO ENCONTRADO"))</f>
        <v/>
      </c>
      <c r="F235" s="2">
        <f>IF(D235="","",IF(E235="NO ENCONTRADO","CODIGO NO EXISTE",IF(COUNTIF($D$2:D235,D235)&gt;1,"DEVOLUCION DUPLICADA",IF(COUNTIFS(SALIDAS!$B$2:$B$1000,B235,SALIDAS!$D$2:$D$1000,D235,SALIDAS!$G$2:$G$1000,"OK*")=0,"NO FIGURA EN SALIDA","OK"))))</f>
        <v/>
      </c>
    </row>
    <row r="236">
      <c r="A236" s="9" t="inlineStr"/>
      <c r="B236" s="2" t="inlineStr"/>
      <c r="C236" s="2" t="inlineStr"/>
      <c r="D236" s="2" t="inlineStr"/>
      <c r="E236" s="2">
        <f>IF(D236="","",IFERROR(XLOOKUP(TRIM(D236),INVENTARIO!$A$2:$A$2000,INVENTARIO!$B$2:$B$2000),"NO ENCONTRADO"))</f>
        <v/>
      </c>
      <c r="F236" s="2">
        <f>IF(D236="","",IF(E236="NO ENCONTRADO","CODIGO NO EXISTE",IF(COUNTIF($D$2:D236,D236)&gt;1,"DEVOLUCION DUPLICADA",IF(COUNTIFS(SALIDAS!$B$2:$B$1000,B236,SALIDAS!$D$2:$D$1000,D236,SALIDAS!$G$2:$G$1000,"OK*")=0,"NO FIGURA EN SALIDA","OK"))))</f>
        <v/>
      </c>
    </row>
    <row r="237">
      <c r="A237" s="9" t="inlineStr"/>
      <c r="B237" s="2" t="inlineStr"/>
      <c r="C237" s="2" t="inlineStr"/>
      <c r="D237" s="2" t="inlineStr"/>
      <c r="E237" s="2">
        <f>IF(D237="","",IFERROR(XLOOKUP(TRIM(D237),INVENTARIO!$A$2:$A$2000,INVENTARIO!$B$2:$B$2000),"NO ENCONTRADO"))</f>
        <v/>
      </c>
      <c r="F237" s="2">
        <f>IF(D237="","",IF(E237="NO ENCONTRADO","CODIGO NO EXISTE",IF(COUNTIF($D$2:D237,D237)&gt;1,"DEVOLUCION DUPLICADA",IF(COUNTIFS(SALIDAS!$B$2:$B$1000,B237,SALIDAS!$D$2:$D$1000,D237,SALIDAS!$G$2:$G$1000,"OK*")=0,"NO FIGURA EN SALIDA","OK"))))</f>
        <v/>
      </c>
    </row>
    <row r="238">
      <c r="A238" s="9" t="inlineStr"/>
      <c r="B238" s="2" t="inlineStr"/>
      <c r="C238" s="2" t="inlineStr"/>
      <c r="D238" s="2" t="inlineStr"/>
      <c r="E238" s="2">
        <f>IF(D238="","",IFERROR(XLOOKUP(TRIM(D238),INVENTARIO!$A$2:$A$2000,INVENTARIO!$B$2:$B$2000),"NO ENCONTRADO"))</f>
        <v/>
      </c>
      <c r="F238" s="2">
        <f>IF(D238="","",IF(E238="NO ENCONTRADO","CODIGO NO EXISTE",IF(COUNTIF($D$2:D238,D238)&gt;1,"DEVOLUCION DUPLICADA",IF(COUNTIFS(SALIDAS!$B$2:$B$1000,B238,SALIDAS!$D$2:$D$1000,D238,SALIDAS!$G$2:$G$1000,"OK*")=0,"NO FIGURA EN SALIDA","OK"))))</f>
        <v/>
      </c>
    </row>
    <row r="239">
      <c r="A239" s="9" t="inlineStr"/>
      <c r="B239" s="2" t="inlineStr"/>
      <c r="C239" s="2" t="inlineStr"/>
      <c r="D239" s="2" t="inlineStr"/>
      <c r="E239" s="2">
        <f>IF(D239="","",IFERROR(XLOOKUP(TRIM(D239),INVENTARIO!$A$2:$A$2000,INVENTARIO!$B$2:$B$2000),"NO ENCONTRADO"))</f>
        <v/>
      </c>
      <c r="F239" s="2">
        <f>IF(D239="","",IF(E239="NO ENCONTRADO","CODIGO NO EXISTE",IF(COUNTIF($D$2:D239,D239)&gt;1,"DEVOLUCION DUPLICADA",IF(COUNTIFS(SALIDAS!$B$2:$B$1000,B239,SALIDAS!$D$2:$D$1000,D239,SALIDAS!$G$2:$G$1000,"OK*")=0,"NO FIGURA EN SALIDA","OK"))))</f>
        <v/>
      </c>
    </row>
    <row r="240">
      <c r="A240" s="9" t="inlineStr"/>
      <c r="B240" s="2" t="inlineStr"/>
      <c r="C240" s="2" t="inlineStr"/>
      <c r="D240" s="2" t="inlineStr"/>
      <c r="E240" s="2">
        <f>IF(D240="","",IFERROR(XLOOKUP(TRIM(D240),INVENTARIO!$A$2:$A$2000,INVENTARIO!$B$2:$B$2000),"NO ENCONTRADO"))</f>
        <v/>
      </c>
      <c r="F240" s="2">
        <f>IF(D240="","",IF(E240="NO ENCONTRADO","CODIGO NO EXISTE",IF(COUNTIF($D$2:D240,D240)&gt;1,"DEVOLUCION DUPLICADA",IF(COUNTIFS(SALIDAS!$B$2:$B$1000,B240,SALIDAS!$D$2:$D$1000,D240,SALIDAS!$G$2:$G$1000,"OK*")=0,"NO FIGURA EN SALIDA","OK"))))</f>
        <v/>
      </c>
    </row>
    <row r="241">
      <c r="A241" s="9" t="inlineStr"/>
      <c r="B241" s="2" t="inlineStr"/>
      <c r="C241" s="2" t="inlineStr"/>
      <c r="D241" s="2" t="inlineStr"/>
      <c r="E241" s="2">
        <f>IF(D241="","",IFERROR(XLOOKUP(TRIM(D241),INVENTARIO!$A$2:$A$2000,INVENTARIO!$B$2:$B$2000),"NO ENCONTRADO"))</f>
        <v/>
      </c>
      <c r="F241" s="2">
        <f>IF(D241="","",IF(E241="NO ENCONTRADO","CODIGO NO EXISTE",IF(COUNTIF($D$2:D241,D241)&gt;1,"DEVOLUCION DUPLICADA",IF(COUNTIFS(SALIDAS!$B$2:$B$1000,B241,SALIDAS!$D$2:$D$1000,D241,SALIDAS!$G$2:$G$1000,"OK*")=0,"NO FIGURA EN SALIDA","OK"))))</f>
        <v/>
      </c>
    </row>
    <row r="242">
      <c r="A242" s="9" t="inlineStr"/>
      <c r="B242" s="2" t="inlineStr"/>
      <c r="C242" s="2" t="inlineStr"/>
      <c r="D242" s="2" t="inlineStr"/>
      <c r="E242" s="2">
        <f>IF(D242="","",IFERROR(XLOOKUP(TRIM(D242),INVENTARIO!$A$2:$A$2000,INVENTARIO!$B$2:$B$2000),"NO ENCONTRADO"))</f>
        <v/>
      </c>
      <c r="F242" s="2">
        <f>IF(D242="","",IF(E242="NO ENCONTRADO","CODIGO NO EXISTE",IF(COUNTIF($D$2:D242,D242)&gt;1,"DEVOLUCION DUPLICADA",IF(COUNTIFS(SALIDAS!$B$2:$B$1000,B242,SALIDAS!$D$2:$D$1000,D242,SALIDAS!$G$2:$G$1000,"OK*")=0,"NO FIGURA EN SALIDA","OK"))))</f>
        <v/>
      </c>
    </row>
    <row r="243">
      <c r="A243" s="9" t="inlineStr"/>
      <c r="B243" s="2" t="inlineStr"/>
      <c r="C243" s="2" t="inlineStr"/>
      <c r="D243" s="2" t="inlineStr"/>
      <c r="E243" s="2">
        <f>IF(D243="","",IFERROR(XLOOKUP(TRIM(D243),INVENTARIO!$A$2:$A$2000,INVENTARIO!$B$2:$B$2000),"NO ENCONTRADO"))</f>
        <v/>
      </c>
      <c r="F243" s="2">
        <f>IF(D243="","",IF(E243="NO ENCONTRADO","CODIGO NO EXISTE",IF(COUNTIF($D$2:D243,D243)&gt;1,"DEVOLUCION DUPLICADA",IF(COUNTIFS(SALIDAS!$B$2:$B$1000,B243,SALIDAS!$D$2:$D$1000,D243,SALIDAS!$G$2:$G$1000,"OK*")=0,"NO FIGURA EN SALIDA","OK"))))</f>
        <v/>
      </c>
    </row>
    <row r="244">
      <c r="A244" s="9" t="inlineStr"/>
      <c r="B244" s="2" t="inlineStr"/>
      <c r="C244" s="2" t="inlineStr"/>
      <c r="D244" s="2" t="inlineStr"/>
      <c r="E244" s="2">
        <f>IF(D244="","",IFERROR(XLOOKUP(TRIM(D244),INVENTARIO!$A$2:$A$2000,INVENTARIO!$B$2:$B$2000),"NO ENCONTRADO"))</f>
        <v/>
      </c>
      <c r="F244" s="2">
        <f>IF(D244="","",IF(E244="NO ENCONTRADO","CODIGO NO EXISTE",IF(COUNTIF($D$2:D244,D244)&gt;1,"DEVOLUCION DUPLICADA",IF(COUNTIFS(SALIDAS!$B$2:$B$1000,B244,SALIDAS!$D$2:$D$1000,D244,SALIDAS!$G$2:$G$1000,"OK*")=0,"NO FIGURA EN SALIDA","OK"))))</f>
        <v/>
      </c>
    </row>
    <row r="245">
      <c r="A245" s="9" t="inlineStr"/>
      <c r="B245" s="2" t="inlineStr"/>
      <c r="C245" s="2" t="inlineStr"/>
      <c r="D245" s="2" t="inlineStr"/>
      <c r="E245" s="2">
        <f>IF(D245="","",IFERROR(XLOOKUP(TRIM(D245),INVENTARIO!$A$2:$A$2000,INVENTARIO!$B$2:$B$2000),"NO ENCONTRADO"))</f>
        <v/>
      </c>
      <c r="F245" s="2">
        <f>IF(D245="","",IF(E245="NO ENCONTRADO","CODIGO NO EXISTE",IF(COUNTIF($D$2:D245,D245)&gt;1,"DEVOLUCION DUPLICADA",IF(COUNTIFS(SALIDAS!$B$2:$B$1000,B245,SALIDAS!$D$2:$D$1000,D245,SALIDAS!$G$2:$G$1000,"OK*")=0,"NO FIGURA EN SALIDA","OK"))))</f>
        <v/>
      </c>
    </row>
    <row r="246">
      <c r="A246" s="9" t="inlineStr"/>
      <c r="B246" s="2" t="inlineStr"/>
      <c r="C246" s="2" t="inlineStr"/>
      <c r="D246" s="2" t="inlineStr"/>
      <c r="E246" s="2">
        <f>IF(D246="","",IFERROR(XLOOKUP(TRIM(D246),INVENTARIO!$A$2:$A$2000,INVENTARIO!$B$2:$B$2000),"NO ENCONTRADO"))</f>
        <v/>
      </c>
      <c r="F246" s="2">
        <f>IF(D246="","",IF(E246="NO ENCONTRADO","CODIGO NO EXISTE",IF(COUNTIF($D$2:D246,D246)&gt;1,"DEVOLUCION DUPLICADA",IF(COUNTIFS(SALIDAS!$B$2:$B$1000,B246,SALIDAS!$D$2:$D$1000,D246,SALIDAS!$G$2:$G$1000,"OK*")=0,"NO FIGURA EN SALIDA","OK"))))</f>
        <v/>
      </c>
    </row>
    <row r="247">
      <c r="A247" s="9" t="inlineStr"/>
      <c r="B247" s="2" t="inlineStr"/>
      <c r="C247" s="2" t="inlineStr"/>
      <c r="D247" s="2" t="inlineStr"/>
      <c r="E247" s="2">
        <f>IF(D247="","",IFERROR(XLOOKUP(TRIM(D247),INVENTARIO!$A$2:$A$2000,INVENTARIO!$B$2:$B$2000),"NO ENCONTRADO"))</f>
        <v/>
      </c>
      <c r="F247" s="2">
        <f>IF(D247="","",IF(E247="NO ENCONTRADO","CODIGO NO EXISTE",IF(COUNTIF($D$2:D247,D247)&gt;1,"DEVOLUCION DUPLICADA",IF(COUNTIFS(SALIDAS!$B$2:$B$1000,B247,SALIDAS!$D$2:$D$1000,D247,SALIDAS!$G$2:$G$1000,"OK*")=0,"NO FIGURA EN SALIDA","OK"))))</f>
        <v/>
      </c>
    </row>
    <row r="248">
      <c r="A248" s="9" t="inlineStr"/>
      <c r="B248" s="2" t="inlineStr"/>
      <c r="C248" s="2" t="inlineStr"/>
      <c r="D248" s="2" t="inlineStr"/>
      <c r="E248" s="2">
        <f>IF(D248="","",IFERROR(XLOOKUP(TRIM(D248),INVENTARIO!$A$2:$A$2000,INVENTARIO!$B$2:$B$2000),"NO ENCONTRADO"))</f>
        <v/>
      </c>
      <c r="F248" s="2">
        <f>IF(D248="","",IF(E248="NO ENCONTRADO","CODIGO NO EXISTE",IF(COUNTIF($D$2:D248,D248)&gt;1,"DEVOLUCION DUPLICADA",IF(COUNTIFS(SALIDAS!$B$2:$B$1000,B248,SALIDAS!$D$2:$D$1000,D248,SALIDAS!$G$2:$G$1000,"OK*")=0,"NO FIGURA EN SALIDA","OK"))))</f>
        <v/>
      </c>
    </row>
    <row r="249">
      <c r="A249" s="9" t="inlineStr"/>
      <c r="B249" s="2" t="inlineStr"/>
      <c r="C249" s="2" t="inlineStr"/>
      <c r="D249" s="2" t="inlineStr"/>
      <c r="E249" s="2">
        <f>IF(D249="","",IFERROR(XLOOKUP(TRIM(D249),INVENTARIO!$A$2:$A$2000,INVENTARIO!$B$2:$B$2000),"NO ENCONTRADO"))</f>
        <v/>
      </c>
      <c r="F249" s="2">
        <f>IF(D249="","",IF(E249="NO ENCONTRADO","CODIGO NO EXISTE",IF(COUNTIF($D$2:D249,D249)&gt;1,"DEVOLUCION DUPLICADA",IF(COUNTIFS(SALIDAS!$B$2:$B$1000,B249,SALIDAS!$D$2:$D$1000,D249,SALIDAS!$G$2:$G$1000,"OK*")=0,"NO FIGURA EN SALIDA","OK"))))</f>
        <v/>
      </c>
    </row>
    <row r="250">
      <c r="A250" s="9" t="inlineStr"/>
      <c r="B250" s="2" t="inlineStr"/>
      <c r="C250" s="2" t="inlineStr"/>
      <c r="D250" s="2" t="inlineStr"/>
      <c r="E250" s="2">
        <f>IF(D250="","",IFERROR(XLOOKUP(TRIM(D250),INVENTARIO!$A$2:$A$2000,INVENTARIO!$B$2:$B$2000),"NO ENCONTRADO"))</f>
        <v/>
      </c>
      <c r="F250" s="2">
        <f>IF(D250="","",IF(E250="NO ENCONTRADO","CODIGO NO EXISTE",IF(COUNTIF($D$2:D250,D250)&gt;1,"DEVOLUCION DUPLICADA",IF(COUNTIFS(SALIDAS!$B$2:$B$1000,B250,SALIDAS!$D$2:$D$1000,D250,SALIDAS!$G$2:$G$1000,"OK*")=0,"NO FIGURA EN SALIDA","OK"))))</f>
        <v/>
      </c>
    </row>
    <row r="251">
      <c r="A251" s="9" t="inlineStr"/>
      <c r="B251" s="2" t="inlineStr"/>
      <c r="C251" s="2" t="inlineStr"/>
      <c r="D251" s="2" t="inlineStr"/>
      <c r="E251" s="2">
        <f>IF(D251="","",IFERROR(XLOOKUP(TRIM(D251),INVENTARIO!$A$2:$A$2000,INVENTARIO!$B$2:$B$2000),"NO ENCONTRADO"))</f>
        <v/>
      </c>
      <c r="F251" s="2">
        <f>IF(D251="","",IF(E251="NO ENCONTRADO","CODIGO NO EXISTE",IF(COUNTIF($D$2:D251,D251)&gt;1,"DEVOLUCION DUPLICADA",IF(COUNTIFS(SALIDAS!$B$2:$B$1000,B251,SALIDAS!$D$2:$D$1000,D251,SALIDAS!$G$2:$G$1000,"OK*")=0,"NO FIGURA EN SALIDA","OK"))))</f>
        <v/>
      </c>
    </row>
    <row r="252">
      <c r="A252" s="9" t="inlineStr"/>
      <c r="B252" s="2" t="inlineStr"/>
      <c r="C252" s="2" t="inlineStr"/>
      <c r="D252" s="2" t="inlineStr"/>
      <c r="E252" s="2">
        <f>IF(D252="","",IFERROR(XLOOKUP(TRIM(D252),INVENTARIO!$A$2:$A$2000,INVENTARIO!$B$2:$B$2000),"NO ENCONTRADO"))</f>
        <v/>
      </c>
      <c r="F252" s="2">
        <f>IF(D252="","",IF(E252="NO ENCONTRADO","CODIGO NO EXISTE",IF(COUNTIF($D$2:D252,D252)&gt;1,"DEVOLUCION DUPLICADA",IF(COUNTIFS(SALIDAS!$B$2:$B$1000,B252,SALIDAS!$D$2:$D$1000,D252,SALIDAS!$G$2:$G$1000,"OK*")=0,"NO FIGURA EN SALIDA","OK"))))</f>
        <v/>
      </c>
    </row>
    <row r="253">
      <c r="A253" s="9" t="inlineStr"/>
      <c r="B253" s="2" t="inlineStr"/>
      <c r="C253" s="2" t="inlineStr"/>
      <c r="D253" s="2" t="inlineStr"/>
      <c r="E253" s="2">
        <f>IF(D253="","",IFERROR(XLOOKUP(TRIM(D253),INVENTARIO!$A$2:$A$2000,INVENTARIO!$B$2:$B$2000),"NO ENCONTRADO"))</f>
        <v/>
      </c>
      <c r="F253" s="2">
        <f>IF(D253="","",IF(E253="NO ENCONTRADO","CODIGO NO EXISTE",IF(COUNTIF($D$2:D253,D253)&gt;1,"DEVOLUCION DUPLICADA",IF(COUNTIFS(SALIDAS!$B$2:$B$1000,B253,SALIDAS!$D$2:$D$1000,D253,SALIDAS!$G$2:$G$1000,"OK*")=0,"NO FIGURA EN SALIDA","OK"))))</f>
        <v/>
      </c>
    </row>
    <row r="254">
      <c r="A254" s="9" t="inlineStr"/>
      <c r="B254" s="2" t="inlineStr"/>
      <c r="C254" s="2" t="inlineStr"/>
      <c r="D254" s="2" t="inlineStr"/>
      <c r="E254" s="2">
        <f>IF(D254="","",IFERROR(XLOOKUP(TRIM(D254),INVENTARIO!$A$2:$A$2000,INVENTARIO!$B$2:$B$2000),"NO ENCONTRADO"))</f>
        <v/>
      </c>
      <c r="F254" s="2">
        <f>IF(D254="","",IF(E254="NO ENCONTRADO","CODIGO NO EXISTE",IF(COUNTIF($D$2:D254,D254)&gt;1,"DEVOLUCION DUPLICADA",IF(COUNTIFS(SALIDAS!$B$2:$B$1000,B254,SALIDAS!$D$2:$D$1000,D254,SALIDAS!$G$2:$G$1000,"OK*")=0,"NO FIGURA EN SALIDA","OK"))))</f>
        <v/>
      </c>
    </row>
    <row r="255">
      <c r="A255" s="9" t="inlineStr"/>
      <c r="B255" s="2" t="inlineStr"/>
      <c r="C255" s="2" t="inlineStr"/>
      <c r="D255" s="2" t="inlineStr"/>
      <c r="E255" s="2">
        <f>IF(D255="","",IFERROR(XLOOKUP(TRIM(D255),INVENTARIO!$A$2:$A$2000,INVENTARIO!$B$2:$B$2000),"NO ENCONTRADO"))</f>
        <v/>
      </c>
      <c r="F255" s="2">
        <f>IF(D255="","",IF(E255="NO ENCONTRADO","CODIGO NO EXISTE",IF(COUNTIF($D$2:D255,D255)&gt;1,"DEVOLUCION DUPLICADA",IF(COUNTIFS(SALIDAS!$B$2:$B$1000,B255,SALIDAS!$D$2:$D$1000,D255,SALIDAS!$G$2:$G$1000,"OK*")=0,"NO FIGURA EN SALIDA","OK"))))</f>
        <v/>
      </c>
    </row>
    <row r="256">
      <c r="A256" s="9" t="inlineStr"/>
      <c r="B256" s="2" t="inlineStr"/>
      <c r="C256" s="2" t="inlineStr"/>
      <c r="D256" s="2" t="inlineStr"/>
      <c r="E256" s="2">
        <f>IF(D256="","",IFERROR(XLOOKUP(TRIM(D256),INVENTARIO!$A$2:$A$2000,INVENTARIO!$B$2:$B$2000),"NO ENCONTRADO"))</f>
        <v/>
      </c>
      <c r="F256" s="2">
        <f>IF(D256="","",IF(E256="NO ENCONTRADO","CODIGO NO EXISTE",IF(COUNTIF($D$2:D256,D256)&gt;1,"DEVOLUCION DUPLICADA",IF(COUNTIFS(SALIDAS!$B$2:$B$1000,B256,SALIDAS!$D$2:$D$1000,D256,SALIDAS!$G$2:$G$1000,"OK*")=0,"NO FIGURA EN SALIDA","OK"))))</f>
        <v/>
      </c>
    </row>
    <row r="257">
      <c r="A257" s="9" t="inlineStr"/>
      <c r="B257" s="2" t="inlineStr"/>
      <c r="C257" s="2" t="inlineStr"/>
      <c r="D257" s="2" t="inlineStr"/>
      <c r="E257" s="2">
        <f>IF(D257="","",IFERROR(XLOOKUP(TRIM(D257),INVENTARIO!$A$2:$A$2000,INVENTARIO!$B$2:$B$2000),"NO ENCONTRADO"))</f>
        <v/>
      </c>
      <c r="F257" s="2">
        <f>IF(D257="","",IF(E257="NO ENCONTRADO","CODIGO NO EXISTE",IF(COUNTIF($D$2:D257,D257)&gt;1,"DEVOLUCION DUPLICADA",IF(COUNTIFS(SALIDAS!$B$2:$B$1000,B257,SALIDAS!$D$2:$D$1000,D257,SALIDAS!$G$2:$G$1000,"OK*")=0,"NO FIGURA EN SALIDA","OK"))))</f>
        <v/>
      </c>
    </row>
    <row r="258">
      <c r="A258" s="9" t="inlineStr"/>
      <c r="B258" s="2" t="inlineStr"/>
      <c r="C258" s="2" t="inlineStr"/>
      <c r="D258" s="2" t="inlineStr"/>
      <c r="E258" s="2">
        <f>IF(D258="","",IFERROR(XLOOKUP(TRIM(D258),INVENTARIO!$A$2:$A$2000,INVENTARIO!$B$2:$B$2000),"NO ENCONTRADO"))</f>
        <v/>
      </c>
      <c r="F258" s="2">
        <f>IF(D258="","",IF(E258="NO ENCONTRADO","CODIGO NO EXISTE",IF(COUNTIF($D$2:D258,D258)&gt;1,"DEVOLUCION DUPLICADA",IF(COUNTIFS(SALIDAS!$B$2:$B$1000,B258,SALIDAS!$D$2:$D$1000,D258,SALIDAS!$G$2:$G$1000,"OK*")=0,"NO FIGURA EN SALIDA","OK"))))</f>
        <v/>
      </c>
    </row>
    <row r="259">
      <c r="A259" s="9" t="inlineStr"/>
      <c r="B259" s="2" t="inlineStr"/>
      <c r="C259" s="2" t="inlineStr"/>
      <c r="D259" s="2" t="inlineStr"/>
      <c r="E259" s="2">
        <f>IF(D259="","",IFERROR(XLOOKUP(TRIM(D259),INVENTARIO!$A$2:$A$2000,INVENTARIO!$B$2:$B$2000),"NO ENCONTRADO"))</f>
        <v/>
      </c>
      <c r="F259" s="2">
        <f>IF(D259="","",IF(E259="NO ENCONTRADO","CODIGO NO EXISTE",IF(COUNTIF($D$2:D259,D259)&gt;1,"DEVOLUCION DUPLICADA",IF(COUNTIFS(SALIDAS!$B$2:$B$1000,B259,SALIDAS!$D$2:$D$1000,D259,SALIDAS!$G$2:$G$1000,"OK*")=0,"NO FIGURA EN SALIDA","OK"))))</f>
        <v/>
      </c>
    </row>
    <row r="260">
      <c r="A260" s="9" t="inlineStr"/>
      <c r="B260" s="2" t="inlineStr"/>
      <c r="C260" s="2" t="inlineStr"/>
      <c r="D260" s="2" t="inlineStr"/>
      <c r="E260" s="2">
        <f>IF(D260="","",IFERROR(XLOOKUP(TRIM(D260),INVENTARIO!$A$2:$A$2000,INVENTARIO!$B$2:$B$2000),"NO ENCONTRADO"))</f>
        <v/>
      </c>
      <c r="F260" s="2">
        <f>IF(D260="","",IF(E260="NO ENCONTRADO","CODIGO NO EXISTE",IF(COUNTIF($D$2:D260,D260)&gt;1,"DEVOLUCION DUPLICADA",IF(COUNTIFS(SALIDAS!$B$2:$B$1000,B260,SALIDAS!$D$2:$D$1000,D260,SALIDAS!$G$2:$G$1000,"OK*")=0,"NO FIGURA EN SALIDA","OK"))))</f>
        <v/>
      </c>
    </row>
    <row r="261">
      <c r="A261" s="9" t="inlineStr"/>
      <c r="B261" s="2" t="inlineStr"/>
      <c r="C261" s="2" t="inlineStr"/>
      <c r="D261" s="2" t="inlineStr"/>
      <c r="E261" s="2">
        <f>IF(D261="","",IFERROR(XLOOKUP(TRIM(D261),INVENTARIO!$A$2:$A$2000,INVENTARIO!$B$2:$B$2000),"NO ENCONTRADO"))</f>
        <v/>
      </c>
      <c r="F261" s="2">
        <f>IF(D261="","",IF(E261="NO ENCONTRADO","CODIGO NO EXISTE",IF(COUNTIF($D$2:D261,D261)&gt;1,"DEVOLUCION DUPLICADA",IF(COUNTIFS(SALIDAS!$B$2:$B$1000,B261,SALIDAS!$D$2:$D$1000,D261,SALIDAS!$G$2:$G$1000,"OK*")=0,"NO FIGURA EN SALIDA","OK"))))</f>
        <v/>
      </c>
    </row>
    <row r="262">
      <c r="A262" s="9" t="inlineStr"/>
      <c r="B262" s="2" t="inlineStr"/>
      <c r="C262" s="2" t="inlineStr"/>
      <c r="D262" s="2" t="inlineStr"/>
      <c r="E262" s="2">
        <f>IF(D262="","",IFERROR(XLOOKUP(TRIM(D262),INVENTARIO!$A$2:$A$2000,INVENTARIO!$B$2:$B$2000),"NO ENCONTRADO"))</f>
        <v/>
      </c>
      <c r="F262" s="2">
        <f>IF(D262="","",IF(E262="NO ENCONTRADO","CODIGO NO EXISTE",IF(COUNTIF($D$2:D262,D262)&gt;1,"DEVOLUCION DUPLICADA",IF(COUNTIFS(SALIDAS!$B$2:$B$1000,B262,SALIDAS!$D$2:$D$1000,D262,SALIDAS!$G$2:$G$1000,"OK*")=0,"NO FIGURA EN SALIDA","OK"))))</f>
        <v/>
      </c>
    </row>
    <row r="263">
      <c r="A263" s="9" t="inlineStr"/>
      <c r="B263" s="2" t="inlineStr"/>
      <c r="C263" s="2" t="inlineStr"/>
      <c r="D263" s="2" t="inlineStr"/>
      <c r="E263" s="2">
        <f>IF(D263="","",IFERROR(XLOOKUP(TRIM(D263),INVENTARIO!$A$2:$A$2000,INVENTARIO!$B$2:$B$2000),"NO ENCONTRADO"))</f>
        <v/>
      </c>
      <c r="F263" s="2">
        <f>IF(D263="","",IF(E263="NO ENCONTRADO","CODIGO NO EXISTE",IF(COUNTIF($D$2:D263,D263)&gt;1,"DEVOLUCION DUPLICADA",IF(COUNTIFS(SALIDAS!$B$2:$B$1000,B263,SALIDAS!$D$2:$D$1000,D263,SALIDAS!$G$2:$G$1000,"OK*")=0,"NO FIGURA EN SALIDA","OK"))))</f>
        <v/>
      </c>
    </row>
    <row r="264">
      <c r="A264" s="9" t="inlineStr"/>
      <c r="B264" s="2" t="inlineStr"/>
      <c r="C264" s="2" t="inlineStr"/>
      <c r="D264" s="2" t="inlineStr"/>
      <c r="E264" s="2">
        <f>IF(D264="","",IFERROR(XLOOKUP(TRIM(D264),INVENTARIO!$A$2:$A$2000,INVENTARIO!$B$2:$B$2000),"NO ENCONTRADO"))</f>
        <v/>
      </c>
      <c r="F264" s="2">
        <f>IF(D264="","",IF(E264="NO ENCONTRADO","CODIGO NO EXISTE",IF(COUNTIF($D$2:D264,D264)&gt;1,"DEVOLUCION DUPLICADA",IF(COUNTIFS(SALIDAS!$B$2:$B$1000,B264,SALIDAS!$D$2:$D$1000,D264,SALIDAS!$G$2:$G$1000,"OK*")=0,"NO FIGURA EN SALIDA","OK"))))</f>
        <v/>
      </c>
    </row>
    <row r="265">
      <c r="A265" s="9" t="inlineStr"/>
      <c r="B265" s="2" t="inlineStr"/>
      <c r="C265" s="2" t="inlineStr"/>
      <c r="D265" s="2" t="inlineStr"/>
      <c r="E265" s="2">
        <f>IF(D265="","",IFERROR(XLOOKUP(TRIM(D265),INVENTARIO!$A$2:$A$2000,INVENTARIO!$B$2:$B$2000),"NO ENCONTRADO"))</f>
        <v/>
      </c>
      <c r="F265" s="2">
        <f>IF(D265="","",IF(E265="NO ENCONTRADO","CODIGO NO EXISTE",IF(COUNTIF($D$2:D265,D265)&gt;1,"DEVOLUCION DUPLICADA",IF(COUNTIFS(SALIDAS!$B$2:$B$1000,B265,SALIDAS!$D$2:$D$1000,D265,SALIDAS!$G$2:$G$1000,"OK*")=0,"NO FIGURA EN SALIDA","OK"))))</f>
        <v/>
      </c>
    </row>
    <row r="266">
      <c r="A266" s="9" t="inlineStr"/>
      <c r="B266" s="2" t="inlineStr"/>
      <c r="C266" s="2" t="inlineStr"/>
      <c r="D266" s="2" t="inlineStr"/>
      <c r="E266" s="2">
        <f>IF(D266="","",IFERROR(XLOOKUP(TRIM(D266),INVENTARIO!$A$2:$A$2000,INVENTARIO!$B$2:$B$2000),"NO ENCONTRADO"))</f>
        <v/>
      </c>
      <c r="F266" s="2">
        <f>IF(D266="","",IF(E266="NO ENCONTRADO","CODIGO NO EXISTE",IF(COUNTIF($D$2:D266,D266)&gt;1,"DEVOLUCION DUPLICADA",IF(COUNTIFS(SALIDAS!$B$2:$B$1000,B266,SALIDAS!$D$2:$D$1000,D266,SALIDAS!$G$2:$G$1000,"OK*")=0,"NO FIGURA EN SALIDA","OK"))))</f>
        <v/>
      </c>
    </row>
    <row r="267">
      <c r="A267" s="9" t="inlineStr"/>
      <c r="B267" s="2" t="inlineStr"/>
      <c r="C267" s="2" t="inlineStr"/>
      <c r="D267" s="2" t="inlineStr"/>
      <c r="E267" s="2">
        <f>IF(D267="","",IFERROR(XLOOKUP(TRIM(D267),INVENTARIO!$A$2:$A$2000,INVENTARIO!$B$2:$B$2000),"NO ENCONTRADO"))</f>
        <v/>
      </c>
      <c r="F267" s="2">
        <f>IF(D267="","",IF(E267="NO ENCONTRADO","CODIGO NO EXISTE",IF(COUNTIF($D$2:D267,D267)&gt;1,"DEVOLUCION DUPLICADA",IF(COUNTIFS(SALIDAS!$B$2:$B$1000,B267,SALIDAS!$D$2:$D$1000,D267,SALIDAS!$G$2:$G$1000,"OK*")=0,"NO FIGURA EN SALIDA","OK"))))</f>
        <v/>
      </c>
    </row>
    <row r="268">
      <c r="A268" s="9" t="inlineStr"/>
      <c r="B268" s="2" t="inlineStr"/>
      <c r="C268" s="2" t="inlineStr"/>
      <c r="D268" s="2" t="inlineStr"/>
      <c r="E268" s="2">
        <f>IF(D268="","",IFERROR(XLOOKUP(TRIM(D268),INVENTARIO!$A$2:$A$2000,INVENTARIO!$B$2:$B$2000),"NO ENCONTRADO"))</f>
        <v/>
      </c>
      <c r="F268" s="2">
        <f>IF(D268="","",IF(E268="NO ENCONTRADO","CODIGO NO EXISTE",IF(COUNTIF($D$2:D268,D268)&gt;1,"DEVOLUCION DUPLICADA",IF(COUNTIFS(SALIDAS!$B$2:$B$1000,B268,SALIDAS!$D$2:$D$1000,D268,SALIDAS!$G$2:$G$1000,"OK*")=0,"NO FIGURA EN SALIDA","OK"))))</f>
        <v/>
      </c>
    </row>
    <row r="269">
      <c r="A269" s="9" t="inlineStr"/>
      <c r="B269" s="2" t="inlineStr"/>
      <c r="C269" s="2" t="inlineStr"/>
      <c r="D269" s="2" t="inlineStr"/>
      <c r="E269" s="2">
        <f>IF(D269="","",IFERROR(XLOOKUP(TRIM(D269),INVENTARIO!$A$2:$A$2000,INVENTARIO!$B$2:$B$2000),"NO ENCONTRADO"))</f>
        <v/>
      </c>
      <c r="F269" s="2">
        <f>IF(D269="","",IF(E269="NO ENCONTRADO","CODIGO NO EXISTE",IF(COUNTIF($D$2:D269,D269)&gt;1,"DEVOLUCION DUPLICADA",IF(COUNTIFS(SALIDAS!$B$2:$B$1000,B269,SALIDAS!$D$2:$D$1000,D269,SALIDAS!$G$2:$G$1000,"OK*")=0,"NO FIGURA EN SALIDA","OK"))))</f>
        <v/>
      </c>
    </row>
    <row r="270">
      <c r="A270" s="9" t="inlineStr"/>
      <c r="B270" s="2" t="inlineStr"/>
      <c r="C270" s="2" t="inlineStr"/>
      <c r="D270" s="2" t="inlineStr"/>
      <c r="E270" s="2">
        <f>IF(D270="","",IFERROR(XLOOKUP(TRIM(D270),INVENTARIO!$A$2:$A$2000,INVENTARIO!$B$2:$B$2000),"NO ENCONTRADO"))</f>
        <v/>
      </c>
      <c r="F270" s="2">
        <f>IF(D270="","",IF(E270="NO ENCONTRADO","CODIGO NO EXISTE",IF(COUNTIF($D$2:D270,D270)&gt;1,"DEVOLUCION DUPLICADA",IF(COUNTIFS(SALIDAS!$B$2:$B$1000,B270,SALIDAS!$D$2:$D$1000,D270,SALIDAS!$G$2:$G$1000,"OK*")=0,"NO FIGURA EN SALIDA","OK"))))</f>
        <v/>
      </c>
    </row>
    <row r="271">
      <c r="A271" s="9" t="inlineStr"/>
      <c r="B271" s="2" t="inlineStr"/>
      <c r="C271" s="2" t="inlineStr"/>
      <c r="D271" s="2" t="inlineStr"/>
      <c r="E271" s="2">
        <f>IF(D271="","",IFERROR(XLOOKUP(TRIM(D271),INVENTARIO!$A$2:$A$2000,INVENTARIO!$B$2:$B$2000),"NO ENCONTRADO"))</f>
        <v/>
      </c>
      <c r="F271" s="2">
        <f>IF(D271="","",IF(E271="NO ENCONTRADO","CODIGO NO EXISTE",IF(COUNTIF($D$2:D271,D271)&gt;1,"DEVOLUCION DUPLICADA",IF(COUNTIFS(SALIDAS!$B$2:$B$1000,B271,SALIDAS!$D$2:$D$1000,D271,SALIDAS!$G$2:$G$1000,"OK*")=0,"NO FIGURA EN SALIDA","OK"))))</f>
        <v/>
      </c>
    </row>
    <row r="272">
      <c r="A272" s="9" t="inlineStr"/>
      <c r="B272" s="2" t="inlineStr"/>
      <c r="C272" s="2" t="inlineStr"/>
      <c r="D272" s="2" t="inlineStr"/>
      <c r="E272" s="2">
        <f>IF(D272="","",IFERROR(XLOOKUP(TRIM(D272),INVENTARIO!$A$2:$A$2000,INVENTARIO!$B$2:$B$2000),"NO ENCONTRADO"))</f>
        <v/>
      </c>
      <c r="F272" s="2">
        <f>IF(D272="","",IF(E272="NO ENCONTRADO","CODIGO NO EXISTE",IF(COUNTIF($D$2:D272,D272)&gt;1,"DEVOLUCION DUPLICADA",IF(COUNTIFS(SALIDAS!$B$2:$B$1000,B272,SALIDAS!$D$2:$D$1000,D272,SALIDAS!$G$2:$G$1000,"OK*")=0,"NO FIGURA EN SALIDA","OK"))))</f>
        <v/>
      </c>
    </row>
    <row r="273">
      <c r="A273" s="9" t="inlineStr"/>
      <c r="B273" s="2" t="inlineStr"/>
      <c r="C273" s="2" t="inlineStr"/>
      <c r="D273" s="2" t="inlineStr"/>
      <c r="E273" s="2">
        <f>IF(D273="","",IFERROR(XLOOKUP(TRIM(D273),INVENTARIO!$A$2:$A$2000,INVENTARIO!$B$2:$B$2000),"NO ENCONTRADO"))</f>
        <v/>
      </c>
      <c r="F273" s="2">
        <f>IF(D273="","",IF(E273="NO ENCONTRADO","CODIGO NO EXISTE",IF(COUNTIF($D$2:D273,D273)&gt;1,"DEVOLUCION DUPLICADA",IF(COUNTIFS(SALIDAS!$B$2:$B$1000,B273,SALIDAS!$D$2:$D$1000,D273,SALIDAS!$G$2:$G$1000,"OK*")=0,"NO FIGURA EN SALIDA","OK"))))</f>
        <v/>
      </c>
    </row>
    <row r="274">
      <c r="A274" s="9" t="inlineStr"/>
      <c r="B274" s="2" t="inlineStr"/>
      <c r="C274" s="2" t="inlineStr"/>
      <c r="D274" s="2" t="inlineStr"/>
      <c r="E274" s="2">
        <f>IF(D274="","",IFERROR(XLOOKUP(TRIM(D274),INVENTARIO!$A$2:$A$2000,INVENTARIO!$B$2:$B$2000),"NO ENCONTRADO"))</f>
        <v/>
      </c>
      <c r="F274" s="2">
        <f>IF(D274="","",IF(E274="NO ENCONTRADO","CODIGO NO EXISTE",IF(COUNTIF($D$2:D274,D274)&gt;1,"DEVOLUCION DUPLICADA",IF(COUNTIFS(SALIDAS!$B$2:$B$1000,B274,SALIDAS!$D$2:$D$1000,D274,SALIDAS!$G$2:$G$1000,"OK*")=0,"NO FIGURA EN SALIDA","OK"))))</f>
        <v/>
      </c>
    </row>
    <row r="275">
      <c r="A275" s="9" t="inlineStr"/>
      <c r="B275" s="2" t="inlineStr"/>
      <c r="C275" s="2" t="inlineStr"/>
      <c r="D275" s="2" t="inlineStr"/>
      <c r="E275" s="2">
        <f>IF(D275="","",IFERROR(XLOOKUP(TRIM(D275),INVENTARIO!$A$2:$A$2000,INVENTARIO!$B$2:$B$2000),"NO ENCONTRADO"))</f>
        <v/>
      </c>
      <c r="F275" s="2">
        <f>IF(D275="","",IF(E275="NO ENCONTRADO","CODIGO NO EXISTE",IF(COUNTIF($D$2:D275,D275)&gt;1,"DEVOLUCION DUPLICADA",IF(COUNTIFS(SALIDAS!$B$2:$B$1000,B275,SALIDAS!$D$2:$D$1000,D275,SALIDAS!$G$2:$G$1000,"OK*")=0,"NO FIGURA EN SALIDA","OK"))))</f>
        <v/>
      </c>
    </row>
    <row r="276">
      <c r="A276" s="9" t="inlineStr"/>
      <c r="B276" s="2" t="inlineStr"/>
      <c r="C276" s="2" t="inlineStr"/>
      <c r="D276" s="2" t="inlineStr"/>
      <c r="E276" s="2">
        <f>IF(D276="","",IFERROR(XLOOKUP(TRIM(D276),INVENTARIO!$A$2:$A$2000,INVENTARIO!$B$2:$B$2000),"NO ENCONTRADO"))</f>
        <v/>
      </c>
      <c r="F276" s="2">
        <f>IF(D276="","",IF(E276="NO ENCONTRADO","CODIGO NO EXISTE",IF(COUNTIF($D$2:D276,D276)&gt;1,"DEVOLUCION DUPLICADA",IF(COUNTIFS(SALIDAS!$B$2:$B$1000,B276,SALIDAS!$D$2:$D$1000,D276,SALIDAS!$G$2:$G$1000,"OK*")=0,"NO FIGURA EN SALIDA","OK"))))</f>
        <v/>
      </c>
    </row>
    <row r="277">
      <c r="A277" s="9" t="inlineStr"/>
      <c r="B277" s="2" t="inlineStr"/>
      <c r="C277" s="2" t="inlineStr"/>
      <c r="D277" s="2" t="inlineStr"/>
      <c r="E277" s="2">
        <f>IF(D277="","",IFERROR(XLOOKUP(TRIM(D277),INVENTARIO!$A$2:$A$2000,INVENTARIO!$B$2:$B$2000),"NO ENCONTRADO"))</f>
        <v/>
      </c>
      <c r="F277" s="2">
        <f>IF(D277="","",IF(E277="NO ENCONTRADO","CODIGO NO EXISTE",IF(COUNTIF($D$2:D277,D277)&gt;1,"DEVOLUCION DUPLICADA",IF(COUNTIFS(SALIDAS!$B$2:$B$1000,B277,SALIDAS!$D$2:$D$1000,D277,SALIDAS!$G$2:$G$1000,"OK*")=0,"NO FIGURA EN SALIDA","OK"))))</f>
        <v/>
      </c>
    </row>
    <row r="278">
      <c r="A278" s="9" t="inlineStr"/>
      <c r="B278" s="2" t="inlineStr"/>
      <c r="C278" s="2" t="inlineStr"/>
      <c r="D278" s="2" t="inlineStr"/>
      <c r="E278" s="2">
        <f>IF(D278="","",IFERROR(XLOOKUP(TRIM(D278),INVENTARIO!$A$2:$A$2000,INVENTARIO!$B$2:$B$2000),"NO ENCONTRADO"))</f>
        <v/>
      </c>
      <c r="F278" s="2">
        <f>IF(D278="","",IF(E278="NO ENCONTRADO","CODIGO NO EXISTE",IF(COUNTIF($D$2:D278,D278)&gt;1,"DEVOLUCION DUPLICADA",IF(COUNTIFS(SALIDAS!$B$2:$B$1000,B278,SALIDAS!$D$2:$D$1000,D278,SALIDAS!$G$2:$G$1000,"OK*")=0,"NO FIGURA EN SALIDA","OK"))))</f>
        <v/>
      </c>
    </row>
    <row r="279">
      <c r="A279" s="9" t="inlineStr"/>
      <c r="B279" s="2" t="inlineStr"/>
      <c r="C279" s="2" t="inlineStr"/>
      <c r="D279" s="2" t="inlineStr"/>
      <c r="E279" s="2">
        <f>IF(D279="","",IFERROR(XLOOKUP(TRIM(D279),INVENTARIO!$A$2:$A$2000,INVENTARIO!$B$2:$B$2000),"NO ENCONTRADO"))</f>
        <v/>
      </c>
      <c r="F279" s="2">
        <f>IF(D279="","",IF(E279="NO ENCONTRADO","CODIGO NO EXISTE",IF(COUNTIF($D$2:D279,D279)&gt;1,"DEVOLUCION DUPLICADA",IF(COUNTIFS(SALIDAS!$B$2:$B$1000,B279,SALIDAS!$D$2:$D$1000,D279,SALIDAS!$G$2:$G$1000,"OK*")=0,"NO FIGURA EN SALIDA","OK"))))</f>
        <v/>
      </c>
    </row>
    <row r="280">
      <c r="A280" s="9" t="inlineStr"/>
      <c r="B280" s="2" t="inlineStr"/>
      <c r="C280" s="2" t="inlineStr"/>
      <c r="D280" s="2" t="inlineStr"/>
      <c r="E280" s="2">
        <f>IF(D280="","",IFERROR(XLOOKUP(TRIM(D280),INVENTARIO!$A$2:$A$2000,INVENTARIO!$B$2:$B$2000),"NO ENCONTRADO"))</f>
        <v/>
      </c>
      <c r="F280" s="2">
        <f>IF(D280="","",IF(E280="NO ENCONTRADO","CODIGO NO EXISTE",IF(COUNTIF($D$2:D280,D280)&gt;1,"DEVOLUCION DUPLICADA",IF(COUNTIFS(SALIDAS!$B$2:$B$1000,B280,SALIDAS!$D$2:$D$1000,D280,SALIDAS!$G$2:$G$1000,"OK*")=0,"NO FIGURA EN SALIDA","OK"))))</f>
        <v/>
      </c>
    </row>
    <row r="281">
      <c r="A281" s="9" t="inlineStr"/>
      <c r="B281" s="2" t="inlineStr"/>
      <c r="C281" s="2" t="inlineStr"/>
      <c r="D281" s="2" t="inlineStr"/>
      <c r="E281" s="2">
        <f>IF(D281="","",IFERROR(XLOOKUP(TRIM(D281),INVENTARIO!$A$2:$A$2000,INVENTARIO!$B$2:$B$2000),"NO ENCONTRADO"))</f>
        <v/>
      </c>
      <c r="F281" s="2">
        <f>IF(D281="","",IF(E281="NO ENCONTRADO","CODIGO NO EXISTE",IF(COUNTIF($D$2:D281,D281)&gt;1,"DEVOLUCION DUPLICADA",IF(COUNTIFS(SALIDAS!$B$2:$B$1000,B281,SALIDAS!$D$2:$D$1000,D281,SALIDAS!$G$2:$G$1000,"OK*")=0,"NO FIGURA EN SALIDA","OK"))))</f>
        <v/>
      </c>
    </row>
    <row r="282">
      <c r="A282" s="9" t="inlineStr"/>
      <c r="B282" s="2" t="inlineStr"/>
      <c r="C282" s="2" t="inlineStr"/>
      <c r="D282" s="2" t="inlineStr"/>
      <c r="E282" s="2">
        <f>IF(D282="","",IFERROR(XLOOKUP(TRIM(D282),INVENTARIO!$A$2:$A$2000,INVENTARIO!$B$2:$B$2000),"NO ENCONTRADO"))</f>
        <v/>
      </c>
      <c r="F282" s="2">
        <f>IF(D282="","",IF(E282="NO ENCONTRADO","CODIGO NO EXISTE",IF(COUNTIF($D$2:D282,D282)&gt;1,"DEVOLUCION DUPLICADA",IF(COUNTIFS(SALIDAS!$B$2:$B$1000,B282,SALIDAS!$D$2:$D$1000,D282,SALIDAS!$G$2:$G$1000,"OK*")=0,"NO FIGURA EN SALIDA","OK"))))</f>
        <v/>
      </c>
    </row>
    <row r="283">
      <c r="A283" s="9" t="inlineStr"/>
      <c r="B283" s="2" t="inlineStr"/>
      <c r="C283" s="2" t="inlineStr"/>
      <c r="D283" s="2" t="inlineStr"/>
      <c r="E283" s="2">
        <f>IF(D283="","",IFERROR(XLOOKUP(TRIM(D283),INVENTARIO!$A$2:$A$2000,INVENTARIO!$B$2:$B$2000),"NO ENCONTRADO"))</f>
        <v/>
      </c>
      <c r="F283" s="2">
        <f>IF(D283="","",IF(E283="NO ENCONTRADO","CODIGO NO EXISTE",IF(COUNTIF($D$2:D283,D283)&gt;1,"DEVOLUCION DUPLICADA",IF(COUNTIFS(SALIDAS!$B$2:$B$1000,B283,SALIDAS!$D$2:$D$1000,D283,SALIDAS!$G$2:$G$1000,"OK*")=0,"NO FIGURA EN SALIDA","OK"))))</f>
        <v/>
      </c>
    </row>
    <row r="284">
      <c r="A284" s="9" t="inlineStr"/>
      <c r="B284" s="2" t="inlineStr"/>
      <c r="C284" s="2" t="inlineStr"/>
      <c r="D284" s="2" t="inlineStr"/>
      <c r="E284" s="2">
        <f>IF(D284="","",IFERROR(XLOOKUP(TRIM(D284),INVENTARIO!$A$2:$A$2000,INVENTARIO!$B$2:$B$2000),"NO ENCONTRADO"))</f>
        <v/>
      </c>
      <c r="F284" s="2">
        <f>IF(D284="","",IF(E284="NO ENCONTRADO","CODIGO NO EXISTE",IF(COUNTIF($D$2:D284,D284)&gt;1,"DEVOLUCION DUPLICADA",IF(COUNTIFS(SALIDAS!$B$2:$B$1000,B284,SALIDAS!$D$2:$D$1000,D284,SALIDAS!$G$2:$G$1000,"OK*")=0,"NO FIGURA EN SALIDA","OK"))))</f>
        <v/>
      </c>
    </row>
    <row r="285">
      <c r="A285" s="9" t="inlineStr"/>
      <c r="B285" s="2" t="inlineStr"/>
      <c r="C285" s="2" t="inlineStr"/>
      <c r="D285" s="2" t="inlineStr"/>
      <c r="E285" s="2">
        <f>IF(D285="","",IFERROR(XLOOKUP(TRIM(D285),INVENTARIO!$A$2:$A$2000,INVENTARIO!$B$2:$B$2000),"NO ENCONTRADO"))</f>
        <v/>
      </c>
      <c r="F285" s="2">
        <f>IF(D285="","",IF(E285="NO ENCONTRADO","CODIGO NO EXISTE",IF(COUNTIF($D$2:D285,D285)&gt;1,"DEVOLUCION DUPLICADA",IF(COUNTIFS(SALIDAS!$B$2:$B$1000,B285,SALIDAS!$D$2:$D$1000,D285,SALIDAS!$G$2:$G$1000,"OK*")=0,"NO FIGURA EN SALIDA","OK"))))</f>
        <v/>
      </c>
    </row>
    <row r="286">
      <c r="A286" s="9" t="inlineStr"/>
      <c r="B286" s="2" t="inlineStr"/>
      <c r="C286" s="2" t="inlineStr"/>
      <c r="D286" s="2" t="inlineStr"/>
      <c r="E286" s="2">
        <f>IF(D286="","",IFERROR(XLOOKUP(TRIM(D286),INVENTARIO!$A$2:$A$2000,INVENTARIO!$B$2:$B$2000),"NO ENCONTRADO"))</f>
        <v/>
      </c>
      <c r="F286" s="2">
        <f>IF(D286="","",IF(E286="NO ENCONTRADO","CODIGO NO EXISTE",IF(COUNTIF($D$2:D286,D286)&gt;1,"DEVOLUCION DUPLICADA",IF(COUNTIFS(SALIDAS!$B$2:$B$1000,B286,SALIDAS!$D$2:$D$1000,D286,SALIDAS!$G$2:$G$1000,"OK*")=0,"NO FIGURA EN SALIDA","OK"))))</f>
        <v/>
      </c>
    </row>
    <row r="287">
      <c r="A287" s="9" t="inlineStr"/>
      <c r="B287" s="2" t="inlineStr"/>
      <c r="C287" s="2" t="inlineStr"/>
      <c r="D287" s="2" t="inlineStr"/>
      <c r="E287" s="2">
        <f>IF(D287="","",IFERROR(XLOOKUP(TRIM(D287),INVENTARIO!$A$2:$A$2000,INVENTARIO!$B$2:$B$2000),"NO ENCONTRADO"))</f>
        <v/>
      </c>
      <c r="F287" s="2">
        <f>IF(D287="","",IF(E287="NO ENCONTRADO","CODIGO NO EXISTE",IF(COUNTIF($D$2:D287,D287)&gt;1,"DEVOLUCION DUPLICADA",IF(COUNTIFS(SALIDAS!$B$2:$B$1000,B287,SALIDAS!$D$2:$D$1000,D287,SALIDAS!$G$2:$G$1000,"OK*")=0,"NO FIGURA EN SALIDA","OK"))))</f>
        <v/>
      </c>
    </row>
    <row r="288">
      <c r="A288" s="9" t="inlineStr"/>
      <c r="B288" s="2" t="inlineStr"/>
      <c r="C288" s="2" t="inlineStr"/>
      <c r="D288" s="2" t="inlineStr"/>
      <c r="E288" s="2">
        <f>IF(D288="","",IFERROR(XLOOKUP(TRIM(D288),INVENTARIO!$A$2:$A$2000,INVENTARIO!$B$2:$B$2000),"NO ENCONTRADO"))</f>
        <v/>
      </c>
      <c r="F288" s="2">
        <f>IF(D288="","",IF(E288="NO ENCONTRADO","CODIGO NO EXISTE",IF(COUNTIF($D$2:D288,D288)&gt;1,"DEVOLUCION DUPLICADA",IF(COUNTIFS(SALIDAS!$B$2:$B$1000,B288,SALIDAS!$D$2:$D$1000,D288,SALIDAS!$G$2:$G$1000,"OK*")=0,"NO FIGURA EN SALIDA","OK"))))</f>
        <v/>
      </c>
    </row>
    <row r="289">
      <c r="A289" s="9" t="inlineStr"/>
      <c r="B289" s="2" t="inlineStr"/>
      <c r="C289" s="2" t="inlineStr"/>
      <c r="D289" s="2" t="inlineStr"/>
      <c r="E289" s="2">
        <f>IF(D289="","",IFERROR(XLOOKUP(TRIM(D289),INVENTARIO!$A$2:$A$2000,INVENTARIO!$B$2:$B$2000),"NO ENCONTRADO"))</f>
        <v/>
      </c>
      <c r="F289" s="2">
        <f>IF(D289="","",IF(E289="NO ENCONTRADO","CODIGO NO EXISTE",IF(COUNTIF($D$2:D289,D289)&gt;1,"DEVOLUCION DUPLICADA",IF(COUNTIFS(SALIDAS!$B$2:$B$1000,B289,SALIDAS!$D$2:$D$1000,D289,SALIDAS!$G$2:$G$1000,"OK*")=0,"NO FIGURA EN SALIDA","OK"))))</f>
        <v/>
      </c>
    </row>
    <row r="290">
      <c r="A290" s="9" t="inlineStr"/>
      <c r="B290" s="2" t="inlineStr"/>
      <c r="C290" s="2" t="inlineStr"/>
      <c r="D290" s="2" t="inlineStr"/>
      <c r="E290" s="2">
        <f>IF(D290="","",IFERROR(XLOOKUP(TRIM(D290),INVENTARIO!$A$2:$A$2000,INVENTARIO!$B$2:$B$2000),"NO ENCONTRADO"))</f>
        <v/>
      </c>
      <c r="F290" s="2">
        <f>IF(D290="","",IF(E290="NO ENCONTRADO","CODIGO NO EXISTE",IF(COUNTIF($D$2:D290,D290)&gt;1,"DEVOLUCION DUPLICADA",IF(COUNTIFS(SALIDAS!$B$2:$B$1000,B290,SALIDAS!$D$2:$D$1000,D290,SALIDAS!$G$2:$G$1000,"OK*")=0,"NO FIGURA EN SALIDA","OK"))))</f>
        <v/>
      </c>
    </row>
    <row r="291">
      <c r="A291" s="9" t="inlineStr"/>
      <c r="B291" s="2" t="inlineStr"/>
      <c r="C291" s="2" t="inlineStr"/>
      <c r="D291" s="2" t="inlineStr"/>
      <c r="E291" s="2">
        <f>IF(D291="","",IFERROR(XLOOKUP(TRIM(D291),INVENTARIO!$A$2:$A$2000,INVENTARIO!$B$2:$B$2000),"NO ENCONTRADO"))</f>
        <v/>
      </c>
      <c r="F291" s="2">
        <f>IF(D291="","",IF(E291="NO ENCONTRADO","CODIGO NO EXISTE",IF(COUNTIF($D$2:D291,D291)&gt;1,"DEVOLUCION DUPLICADA",IF(COUNTIFS(SALIDAS!$B$2:$B$1000,B291,SALIDAS!$D$2:$D$1000,D291,SALIDAS!$G$2:$G$1000,"OK*")=0,"NO FIGURA EN SALIDA","OK"))))</f>
        <v/>
      </c>
    </row>
    <row r="292">
      <c r="A292" s="9" t="inlineStr"/>
      <c r="B292" s="2" t="inlineStr"/>
      <c r="C292" s="2" t="inlineStr"/>
      <c r="D292" s="2" t="inlineStr"/>
      <c r="E292" s="2">
        <f>IF(D292="","",IFERROR(XLOOKUP(TRIM(D292),INVENTARIO!$A$2:$A$2000,INVENTARIO!$B$2:$B$2000),"NO ENCONTRADO"))</f>
        <v/>
      </c>
      <c r="F292" s="2">
        <f>IF(D292="","",IF(E292="NO ENCONTRADO","CODIGO NO EXISTE",IF(COUNTIF($D$2:D292,D292)&gt;1,"DEVOLUCION DUPLICADA",IF(COUNTIFS(SALIDAS!$B$2:$B$1000,B292,SALIDAS!$D$2:$D$1000,D292,SALIDAS!$G$2:$G$1000,"OK*")=0,"NO FIGURA EN SALIDA","OK"))))</f>
        <v/>
      </c>
    </row>
    <row r="293">
      <c r="A293" s="9" t="inlineStr"/>
      <c r="B293" s="2" t="inlineStr"/>
      <c r="C293" s="2" t="inlineStr"/>
      <c r="D293" s="2" t="inlineStr"/>
      <c r="E293" s="2">
        <f>IF(D293="","",IFERROR(XLOOKUP(TRIM(D293),INVENTARIO!$A$2:$A$2000,INVENTARIO!$B$2:$B$2000),"NO ENCONTRADO"))</f>
        <v/>
      </c>
      <c r="F293" s="2">
        <f>IF(D293="","",IF(E293="NO ENCONTRADO","CODIGO NO EXISTE",IF(COUNTIF($D$2:D293,D293)&gt;1,"DEVOLUCION DUPLICADA",IF(COUNTIFS(SALIDAS!$B$2:$B$1000,B293,SALIDAS!$D$2:$D$1000,D293,SALIDAS!$G$2:$G$1000,"OK*")=0,"NO FIGURA EN SALIDA","OK"))))</f>
        <v/>
      </c>
    </row>
    <row r="294">
      <c r="A294" s="9" t="inlineStr"/>
      <c r="B294" s="2" t="inlineStr"/>
      <c r="C294" s="2" t="inlineStr"/>
      <c r="D294" s="2" t="inlineStr"/>
      <c r="E294" s="2">
        <f>IF(D294="","",IFERROR(XLOOKUP(TRIM(D294),INVENTARIO!$A$2:$A$2000,INVENTARIO!$B$2:$B$2000),"NO ENCONTRADO"))</f>
        <v/>
      </c>
      <c r="F294" s="2">
        <f>IF(D294="","",IF(E294="NO ENCONTRADO","CODIGO NO EXISTE",IF(COUNTIF($D$2:D294,D294)&gt;1,"DEVOLUCION DUPLICADA",IF(COUNTIFS(SALIDAS!$B$2:$B$1000,B294,SALIDAS!$D$2:$D$1000,D294,SALIDAS!$G$2:$G$1000,"OK*")=0,"NO FIGURA EN SALIDA","OK"))))</f>
        <v/>
      </c>
    </row>
    <row r="295">
      <c r="A295" s="9" t="inlineStr"/>
      <c r="B295" s="2" t="inlineStr"/>
      <c r="C295" s="2" t="inlineStr"/>
      <c r="D295" s="2" t="inlineStr"/>
      <c r="E295" s="2">
        <f>IF(D295="","",IFERROR(XLOOKUP(TRIM(D295),INVENTARIO!$A$2:$A$2000,INVENTARIO!$B$2:$B$2000),"NO ENCONTRADO"))</f>
        <v/>
      </c>
      <c r="F295" s="2">
        <f>IF(D295="","",IF(E295="NO ENCONTRADO","CODIGO NO EXISTE",IF(COUNTIF($D$2:D295,D295)&gt;1,"DEVOLUCION DUPLICADA",IF(COUNTIFS(SALIDAS!$B$2:$B$1000,B295,SALIDAS!$D$2:$D$1000,D295,SALIDAS!$G$2:$G$1000,"OK*")=0,"NO FIGURA EN SALIDA","OK"))))</f>
        <v/>
      </c>
    </row>
    <row r="296">
      <c r="A296" s="9" t="inlineStr"/>
      <c r="B296" s="2" t="inlineStr"/>
      <c r="C296" s="2" t="inlineStr"/>
      <c r="D296" s="2" t="inlineStr"/>
      <c r="E296" s="2">
        <f>IF(D296="","",IFERROR(XLOOKUP(TRIM(D296),INVENTARIO!$A$2:$A$2000,INVENTARIO!$B$2:$B$2000),"NO ENCONTRADO"))</f>
        <v/>
      </c>
      <c r="F296" s="2">
        <f>IF(D296="","",IF(E296="NO ENCONTRADO","CODIGO NO EXISTE",IF(COUNTIF($D$2:D296,D296)&gt;1,"DEVOLUCION DUPLICADA",IF(COUNTIFS(SALIDAS!$B$2:$B$1000,B296,SALIDAS!$D$2:$D$1000,D296,SALIDAS!$G$2:$G$1000,"OK*")=0,"NO FIGURA EN SALIDA","OK"))))</f>
        <v/>
      </c>
    </row>
    <row r="297">
      <c r="A297" s="9" t="inlineStr"/>
      <c r="B297" s="2" t="inlineStr"/>
      <c r="C297" s="2" t="inlineStr"/>
      <c r="D297" s="2" t="inlineStr"/>
      <c r="E297" s="2">
        <f>IF(D297="","",IFERROR(XLOOKUP(TRIM(D297),INVENTARIO!$A$2:$A$2000,INVENTARIO!$B$2:$B$2000),"NO ENCONTRADO"))</f>
        <v/>
      </c>
      <c r="F297" s="2">
        <f>IF(D297="","",IF(E297="NO ENCONTRADO","CODIGO NO EXISTE",IF(COUNTIF($D$2:D297,D297)&gt;1,"DEVOLUCION DUPLICADA",IF(COUNTIFS(SALIDAS!$B$2:$B$1000,B297,SALIDAS!$D$2:$D$1000,D297,SALIDAS!$G$2:$G$1000,"OK*")=0,"NO FIGURA EN SALIDA","OK"))))</f>
        <v/>
      </c>
    </row>
    <row r="298">
      <c r="A298" s="9" t="inlineStr"/>
      <c r="B298" s="2" t="inlineStr"/>
      <c r="C298" s="2" t="inlineStr"/>
      <c r="D298" s="2" t="inlineStr"/>
      <c r="E298" s="2">
        <f>IF(D298="","",IFERROR(XLOOKUP(TRIM(D298),INVENTARIO!$A$2:$A$2000,INVENTARIO!$B$2:$B$2000),"NO ENCONTRADO"))</f>
        <v/>
      </c>
      <c r="F298" s="2">
        <f>IF(D298="","",IF(E298="NO ENCONTRADO","CODIGO NO EXISTE",IF(COUNTIF($D$2:D298,D298)&gt;1,"DEVOLUCION DUPLICADA",IF(COUNTIFS(SALIDAS!$B$2:$B$1000,B298,SALIDAS!$D$2:$D$1000,D298,SALIDAS!$G$2:$G$1000,"OK*")=0,"NO FIGURA EN SALIDA","OK"))))</f>
        <v/>
      </c>
    </row>
    <row r="299">
      <c r="A299" s="9" t="inlineStr"/>
      <c r="B299" s="2" t="inlineStr"/>
      <c r="C299" s="2" t="inlineStr"/>
      <c r="D299" s="2" t="inlineStr"/>
      <c r="E299" s="2">
        <f>IF(D299="","",IFERROR(XLOOKUP(TRIM(D299),INVENTARIO!$A$2:$A$2000,INVENTARIO!$B$2:$B$2000),"NO ENCONTRADO"))</f>
        <v/>
      </c>
      <c r="F299" s="2">
        <f>IF(D299="","",IF(E299="NO ENCONTRADO","CODIGO NO EXISTE",IF(COUNTIF($D$2:D299,D299)&gt;1,"DEVOLUCION DUPLICADA",IF(COUNTIFS(SALIDAS!$B$2:$B$1000,B299,SALIDAS!$D$2:$D$1000,D299,SALIDAS!$G$2:$G$1000,"OK*")=0,"NO FIGURA EN SALIDA","OK"))))</f>
        <v/>
      </c>
    </row>
    <row r="300">
      <c r="A300" s="9" t="inlineStr"/>
      <c r="B300" s="2" t="inlineStr"/>
      <c r="C300" s="2" t="inlineStr"/>
      <c r="D300" s="2" t="inlineStr"/>
      <c r="E300" s="2">
        <f>IF(D300="","",IFERROR(XLOOKUP(TRIM(D300),INVENTARIO!$A$2:$A$2000,INVENTARIO!$B$2:$B$2000),"NO ENCONTRADO"))</f>
        <v/>
      </c>
      <c r="F300" s="2">
        <f>IF(D300="","",IF(E300="NO ENCONTRADO","CODIGO NO EXISTE",IF(COUNTIF($D$2:D300,D300)&gt;1,"DEVOLUCION DUPLICADA",IF(COUNTIFS(SALIDAS!$B$2:$B$1000,B300,SALIDAS!$D$2:$D$1000,D300,SALIDAS!$G$2:$G$1000,"OK*")=0,"NO FIGURA EN SALIDA","OK"))))</f>
        <v/>
      </c>
    </row>
    <row r="301">
      <c r="A301" s="9" t="inlineStr"/>
      <c r="B301" s="2" t="inlineStr"/>
      <c r="C301" s="2" t="inlineStr"/>
      <c r="D301" s="2" t="inlineStr"/>
      <c r="E301" s="2">
        <f>IF(D301="","",IFERROR(XLOOKUP(TRIM(D301),INVENTARIO!$A$2:$A$2000,INVENTARIO!$B$2:$B$2000),"NO ENCONTRADO"))</f>
        <v/>
      </c>
      <c r="F301" s="2">
        <f>IF(D301="","",IF(E301="NO ENCONTRADO","CODIGO NO EXISTE",IF(COUNTIF($D$2:D301,D301)&gt;1,"DEVOLUCION DUPLICADA",IF(COUNTIFS(SALIDAS!$B$2:$B$1000,B301,SALIDAS!$D$2:$D$1000,D301,SALIDAS!$G$2:$G$1000,"OK*")=0,"NO FIGURA EN SALIDA","OK"))))</f>
        <v/>
      </c>
    </row>
    <row r="302">
      <c r="A302" s="9" t="inlineStr"/>
      <c r="B302" s="2" t="inlineStr"/>
      <c r="C302" s="2" t="inlineStr"/>
      <c r="D302" s="2" t="inlineStr"/>
      <c r="E302" s="2">
        <f>IF(D302="","",IFERROR(XLOOKUP(TRIM(D302),INVENTARIO!$A$2:$A$2000,INVENTARIO!$B$2:$B$2000),"NO ENCONTRADO"))</f>
        <v/>
      </c>
      <c r="F302" s="2">
        <f>IF(D302="","",IF(E302="NO ENCONTRADO","CODIGO NO EXISTE",IF(COUNTIF($D$2:D302,D302)&gt;1,"DEVOLUCION DUPLICADA",IF(COUNTIFS(SALIDAS!$B$2:$B$1000,B302,SALIDAS!$D$2:$D$1000,D302,SALIDAS!$G$2:$G$1000,"OK*")=0,"NO FIGURA EN SALIDA","OK"))))</f>
        <v/>
      </c>
    </row>
    <row r="303">
      <c r="A303" s="9" t="inlineStr"/>
      <c r="B303" s="2" t="inlineStr"/>
      <c r="C303" s="2" t="inlineStr"/>
      <c r="D303" s="2" t="inlineStr"/>
      <c r="E303" s="2">
        <f>IF(D303="","",IFERROR(XLOOKUP(TRIM(D303),INVENTARIO!$A$2:$A$2000,INVENTARIO!$B$2:$B$2000),"NO ENCONTRADO"))</f>
        <v/>
      </c>
      <c r="F303" s="2">
        <f>IF(D303="","",IF(E303="NO ENCONTRADO","CODIGO NO EXISTE",IF(COUNTIF($D$2:D303,D303)&gt;1,"DEVOLUCION DUPLICADA",IF(COUNTIFS(SALIDAS!$B$2:$B$1000,B303,SALIDAS!$D$2:$D$1000,D303,SALIDAS!$G$2:$G$1000,"OK*")=0,"NO FIGURA EN SALIDA","OK"))))</f>
        <v/>
      </c>
    </row>
    <row r="304">
      <c r="A304" s="9" t="inlineStr"/>
      <c r="B304" s="2" t="inlineStr"/>
      <c r="C304" s="2" t="inlineStr"/>
      <c r="D304" s="2" t="inlineStr"/>
      <c r="E304" s="2">
        <f>IF(D304="","",IFERROR(XLOOKUP(TRIM(D304),INVENTARIO!$A$2:$A$2000,INVENTARIO!$B$2:$B$2000),"NO ENCONTRADO"))</f>
        <v/>
      </c>
      <c r="F304" s="2">
        <f>IF(D304="","",IF(E304="NO ENCONTRADO","CODIGO NO EXISTE",IF(COUNTIF($D$2:D304,D304)&gt;1,"DEVOLUCION DUPLICADA",IF(COUNTIFS(SALIDAS!$B$2:$B$1000,B304,SALIDAS!$D$2:$D$1000,D304,SALIDAS!$G$2:$G$1000,"OK*")=0,"NO FIGURA EN SALIDA","OK"))))</f>
        <v/>
      </c>
    </row>
    <row r="305">
      <c r="A305" s="9" t="inlineStr"/>
      <c r="B305" s="2" t="inlineStr"/>
      <c r="C305" s="2" t="inlineStr"/>
      <c r="D305" s="2" t="inlineStr"/>
      <c r="E305" s="2">
        <f>IF(D305="","",IFERROR(XLOOKUP(TRIM(D305),INVENTARIO!$A$2:$A$2000,INVENTARIO!$B$2:$B$2000),"NO ENCONTRADO"))</f>
        <v/>
      </c>
      <c r="F305" s="2">
        <f>IF(D305="","",IF(E305="NO ENCONTRADO","CODIGO NO EXISTE",IF(COUNTIF($D$2:D305,D305)&gt;1,"DEVOLUCION DUPLICADA",IF(COUNTIFS(SALIDAS!$B$2:$B$1000,B305,SALIDAS!$D$2:$D$1000,D305,SALIDAS!$G$2:$G$1000,"OK*")=0,"NO FIGURA EN SALIDA","OK"))))</f>
        <v/>
      </c>
    </row>
    <row r="306">
      <c r="A306" s="9" t="inlineStr"/>
      <c r="B306" s="2" t="inlineStr"/>
      <c r="C306" s="2" t="inlineStr"/>
      <c r="D306" s="2" t="inlineStr"/>
      <c r="E306" s="2">
        <f>IF(D306="","",IFERROR(XLOOKUP(TRIM(D306),INVENTARIO!$A$2:$A$2000,INVENTARIO!$B$2:$B$2000),"NO ENCONTRADO"))</f>
        <v/>
      </c>
      <c r="F306" s="2">
        <f>IF(D306="","",IF(E306="NO ENCONTRADO","CODIGO NO EXISTE",IF(COUNTIF($D$2:D306,D306)&gt;1,"DEVOLUCION DUPLICADA",IF(COUNTIFS(SALIDAS!$B$2:$B$1000,B306,SALIDAS!$D$2:$D$1000,D306,SALIDAS!$G$2:$G$1000,"OK*")=0,"NO FIGURA EN SALIDA","OK"))))</f>
        <v/>
      </c>
    </row>
    <row r="307">
      <c r="A307" s="9" t="inlineStr"/>
      <c r="B307" s="2" t="inlineStr"/>
      <c r="C307" s="2" t="inlineStr"/>
      <c r="D307" s="2" t="inlineStr"/>
      <c r="E307" s="2">
        <f>IF(D307="","",IFERROR(XLOOKUP(TRIM(D307),INVENTARIO!$A$2:$A$2000,INVENTARIO!$B$2:$B$2000),"NO ENCONTRADO"))</f>
        <v/>
      </c>
      <c r="F307" s="2">
        <f>IF(D307="","",IF(E307="NO ENCONTRADO","CODIGO NO EXISTE",IF(COUNTIF($D$2:D307,D307)&gt;1,"DEVOLUCION DUPLICADA",IF(COUNTIFS(SALIDAS!$B$2:$B$1000,B307,SALIDAS!$D$2:$D$1000,D307,SALIDAS!$G$2:$G$1000,"OK*")=0,"NO FIGURA EN SALIDA","OK"))))</f>
        <v/>
      </c>
    </row>
    <row r="308">
      <c r="A308" s="9" t="inlineStr"/>
      <c r="B308" s="2" t="inlineStr"/>
      <c r="C308" s="2" t="inlineStr"/>
      <c r="D308" s="2" t="inlineStr"/>
      <c r="E308" s="2">
        <f>IF(D308="","",IFERROR(XLOOKUP(TRIM(D308),INVENTARIO!$A$2:$A$2000,INVENTARIO!$B$2:$B$2000),"NO ENCONTRADO"))</f>
        <v/>
      </c>
      <c r="F308" s="2">
        <f>IF(D308="","",IF(E308="NO ENCONTRADO","CODIGO NO EXISTE",IF(COUNTIF($D$2:D308,D308)&gt;1,"DEVOLUCION DUPLICADA",IF(COUNTIFS(SALIDAS!$B$2:$B$1000,B308,SALIDAS!$D$2:$D$1000,D308,SALIDAS!$G$2:$G$1000,"OK*")=0,"NO FIGURA EN SALIDA","OK"))))</f>
        <v/>
      </c>
    </row>
    <row r="309">
      <c r="A309" s="9" t="inlineStr"/>
      <c r="B309" s="2" t="inlineStr"/>
      <c r="C309" s="2" t="inlineStr"/>
      <c r="D309" s="2" t="inlineStr"/>
      <c r="E309" s="2">
        <f>IF(D309="","",IFERROR(XLOOKUP(TRIM(D309),INVENTARIO!$A$2:$A$2000,INVENTARIO!$B$2:$B$2000),"NO ENCONTRADO"))</f>
        <v/>
      </c>
      <c r="F309" s="2">
        <f>IF(D309="","",IF(E309="NO ENCONTRADO","CODIGO NO EXISTE",IF(COUNTIF($D$2:D309,D309)&gt;1,"DEVOLUCION DUPLICADA",IF(COUNTIFS(SALIDAS!$B$2:$B$1000,B309,SALIDAS!$D$2:$D$1000,D309,SALIDAS!$G$2:$G$1000,"OK*")=0,"NO FIGURA EN SALIDA","OK"))))</f>
        <v/>
      </c>
    </row>
    <row r="310">
      <c r="A310" s="9" t="inlineStr"/>
      <c r="B310" s="2" t="inlineStr"/>
      <c r="C310" s="2" t="inlineStr"/>
      <c r="D310" s="2" t="inlineStr"/>
      <c r="E310" s="2">
        <f>IF(D310="","",IFERROR(XLOOKUP(TRIM(D310),INVENTARIO!$A$2:$A$2000,INVENTARIO!$B$2:$B$2000),"NO ENCONTRADO"))</f>
        <v/>
      </c>
      <c r="F310" s="2">
        <f>IF(D310="","",IF(E310="NO ENCONTRADO","CODIGO NO EXISTE",IF(COUNTIF($D$2:D310,D310)&gt;1,"DEVOLUCION DUPLICADA",IF(COUNTIFS(SALIDAS!$B$2:$B$1000,B310,SALIDAS!$D$2:$D$1000,D310,SALIDAS!$G$2:$G$1000,"OK*")=0,"NO FIGURA EN SALIDA","OK"))))</f>
        <v/>
      </c>
    </row>
    <row r="311">
      <c r="A311" s="9" t="inlineStr"/>
      <c r="B311" s="2" t="inlineStr"/>
      <c r="C311" s="2" t="inlineStr"/>
      <c r="D311" s="2" t="inlineStr"/>
      <c r="E311" s="2">
        <f>IF(D311="","",IFERROR(XLOOKUP(TRIM(D311),INVENTARIO!$A$2:$A$2000,INVENTARIO!$B$2:$B$2000),"NO ENCONTRADO"))</f>
        <v/>
      </c>
      <c r="F311" s="2">
        <f>IF(D311="","",IF(E311="NO ENCONTRADO","CODIGO NO EXISTE",IF(COUNTIF($D$2:D311,D311)&gt;1,"DEVOLUCION DUPLICADA",IF(COUNTIFS(SALIDAS!$B$2:$B$1000,B311,SALIDAS!$D$2:$D$1000,D311,SALIDAS!$G$2:$G$1000,"OK*")=0,"NO FIGURA EN SALIDA","OK"))))</f>
        <v/>
      </c>
    </row>
    <row r="312">
      <c r="A312" s="9" t="inlineStr"/>
      <c r="B312" s="2" t="inlineStr"/>
      <c r="C312" s="2" t="inlineStr"/>
      <c r="D312" s="2" t="inlineStr"/>
      <c r="E312" s="2">
        <f>IF(D312="","",IFERROR(XLOOKUP(TRIM(D312),INVENTARIO!$A$2:$A$2000,INVENTARIO!$B$2:$B$2000),"NO ENCONTRADO"))</f>
        <v/>
      </c>
      <c r="F312" s="2">
        <f>IF(D312="","",IF(E312="NO ENCONTRADO","CODIGO NO EXISTE",IF(COUNTIF($D$2:D312,D312)&gt;1,"DEVOLUCION DUPLICADA",IF(COUNTIFS(SALIDAS!$B$2:$B$1000,B312,SALIDAS!$D$2:$D$1000,D312,SALIDAS!$G$2:$G$1000,"OK*")=0,"NO FIGURA EN SALIDA","OK"))))</f>
        <v/>
      </c>
    </row>
    <row r="313">
      <c r="A313" s="9" t="inlineStr"/>
      <c r="B313" s="2" t="inlineStr"/>
      <c r="C313" s="2" t="inlineStr"/>
      <c r="D313" s="2" t="inlineStr"/>
      <c r="E313" s="2">
        <f>IF(D313="","",IFERROR(XLOOKUP(TRIM(D313),INVENTARIO!$A$2:$A$2000,INVENTARIO!$B$2:$B$2000),"NO ENCONTRADO"))</f>
        <v/>
      </c>
      <c r="F313" s="2">
        <f>IF(D313="","",IF(E313="NO ENCONTRADO","CODIGO NO EXISTE",IF(COUNTIF($D$2:D313,D313)&gt;1,"DEVOLUCION DUPLICADA",IF(COUNTIFS(SALIDAS!$B$2:$B$1000,B313,SALIDAS!$D$2:$D$1000,D313,SALIDAS!$G$2:$G$1000,"OK*")=0,"NO FIGURA EN SALIDA","OK"))))</f>
        <v/>
      </c>
    </row>
    <row r="314">
      <c r="A314" s="9" t="inlineStr"/>
      <c r="B314" s="2" t="inlineStr"/>
      <c r="C314" s="2" t="inlineStr"/>
      <c r="D314" s="2" t="inlineStr"/>
      <c r="E314" s="2">
        <f>IF(D314="","",IFERROR(XLOOKUP(TRIM(D314),INVENTARIO!$A$2:$A$2000,INVENTARIO!$B$2:$B$2000),"NO ENCONTRADO"))</f>
        <v/>
      </c>
      <c r="F314" s="2">
        <f>IF(D314="","",IF(E314="NO ENCONTRADO","CODIGO NO EXISTE",IF(COUNTIF($D$2:D314,D314)&gt;1,"DEVOLUCION DUPLICADA",IF(COUNTIFS(SALIDAS!$B$2:$B$1000,B314,SALIDAS!$D$2:$D$1000,D314,SALIDAS!$G$2:$G$1000,"OK*")=0,"NO FIGURA EN SALIDA","OK"))))</f>
        <v/>
      </c>
    </row>
    <row r="315">
      <c r="A315" s="9" t="inlineStr"/>
      <c r="B315" s="2" t="inlineStr"/>
      <c r="C315" s="2" t="inlineStr"/>
      <c r="D315" s="2" t="inlineStr"/>
      <c r="E315" s="2">
        <f>IF(D315="","",IFERROR(XLOOKUP(TRIM(D315),INVENTARIO!$A$2:$A$2000,INVENTARIO!$B$2:$B$2000),"NO ENCONTRADO"))</f>
        <v/>
      </c>
      <c r="F315" s="2">
        <f>IF(D315="","",IF(E315="NO ENCONTRADO","CODIGO NO EXISTE",IF(COUNTIF($D$2:D315,D315)&gt;1,"DEVOLUCION DUPLICADA",IF(COUNTIFS(SALIDAS!$B$2:$B$1000,B315,SALIDAS!$D$2:$D$1000,D315,SALIDAS!$G$2:$G$1000,"OK*")=0,"NO FIGURA EN SALIDA","OK"))))</f>
        <v/>
      </c>
    </row>
    <row r="316">
      <c r="A316" s="9" t="inlineStr"/>
      <c r="B316" s="2" t="inlineStr"/>
      <c r="C316" s="2" t="inlineStr"/>
      <c r="D316" s="2" t="inlineStr"/>
      <c r="E316" s="2">
        <f>IF(D316="","",IFERROR(XLOOKUP(TRIM(D316),INVENTARIO!$A$2:$A$2000,INVENTARIO!$B$2:$B$2000),"NO ENCONTRADO"))</f>
        <v/>
      </c>
      <c r="F316" s="2">
        <f>IF(D316="","",IF(E316="NO ENCONTRADO","CODIGO NO EXISTE",IF(COUNTIF($D$2:D316,D316)&gt;1,"DEVOLUCION DUPLICADA",IF(COUNTIFS(SALIDAS!$B$2:$B$1000,B316,SALIDAS!$D$2:$D$1000,D316,SALIDAS!$G$2:$G$1000,"OK*")=0,"NO FIGURA EN SALIDA","OK"))))</f>
        <v/>
      </c>
    </row>
    <row r="317">
      <c r="A317" s="9" t="inlineStr"/>
      <c r="B317" s="2" t="inlineStr"/>
      <c r="C317" s="2" t="inlineStr"/>
      <c r="D317" s="2" t="inlineStr"/>
      <c r="E317" s="2">
        <f>IF(D317="","",IFERROR(XLOOKUP(TRIM(D317),INVENTARIO!$A$2:$A$2000,INVENTARIO!$B$2:$B$2000),"NO ENCONTRADO"))</f>
        <v/>
      </c>
      <c r="F317" s="2">
        <f>IF(D317="","",IF(E317="NO ENCONTRADO","CODIGO NO EXISTE",IF(COUNTIF($D$2:D317,D317)&gt;1,"DEVOLUCION DUPLICADA",IF(COUNTIFS(SALIDAS!$B$2:$B$1000,B317,SALIDAS!$D$2:$D$1000,D317,SALIDAS!$G$2:$G$1000,"OK*")=0,"NO FIGURA EN SALIDA","OK"))))</f>
        <v/>
      </c>
    </row>
    <row r="318">
      <c r="A318" s="9" t="inlineStr"/>
      <c r="B318" s="2" t="inlineStr"/>
      <c r="C318" s="2" t="inlineStr"/>
      <c r="D318" s="2" t="inlineStr"/>
      <c r="E318" s="2">
        <f>IF(D318="","",IFERROR(XLOOKUP(TRIM(D318),INVENTARIO!$A$2:$A$2000,INVENTARIO!$B$2:$B$2000),"NO ENCONTRADO"))</f>
        <v/>
      </c>
      <c r="F318" s="2">
        <f>IF(D318="","",IF(E318="NO ENCONTRADO","CODIGO NO EXISTE",IF(COUNTIF($D$2:D318,D318)&gt;1,"DEVOLUCION DUPLICADA",IF(COUNTIFS(SALIDAS!$B$2:$B$1000,B318,SALIDAS!$D$2:$D$1000,D318,SALIDAS!$G$2:$G$1000,"OK*")=0,"NO FIGURA EN SALIDA","OK"))))</f>
        <v/>
      </c>
    </row>
    <row r="319">
      <c r="A319" s="9" t="inlineStr"/>
      <c r="B319" s="2" t="inlineStr"/>
      <c r="C319" s="2" t="inlineStr"/>
      <c r="D319" s="2" t="inlineStr"/>
      <c r="E319" s="2">
        <f>IF(D319="","",IFERROR(XLOOKUP(TRIM(D319),INVENTARIO!$A$2:$A$2000,INVENTARIO!$B$2:$B$2000),"NO ENCONTRADO"))</f>
        <v/>
      </c>
      <c r="F319" s="2">
        <f>IF(D319="","",IF(E319="NO ENCONTRADO","CODIGO NO EXISTE",IF(COUNTIF($D$2:D319,D319)&gt;1,"DEVOLUCION DUPLICADA",IF(COUNTIFS(SALIDAS!$B$2:$B$1000,B319,SALIDAS!$D$2:$D$1000,D319,SALIDAS!$G$2:$G$1000,"OK*")=0,"NO FIGURA EN SALIDA","OK"))))</f>
        <v/>
      </c>
    </row>
    <row r="320">
      <c r="A320" s="9" t="inlineStr"/>
      <c r="B320" s="2" t="inlineStr"/>
      <c r="C320" s="2" t="inlineStr"/>
      <c r="D320" s="2" t="inlineStr"/>
      <c r="E320" s="2">
        <f>IF(D320="","",IFERROR(XLOOKUP(TRIM(D320),INVENTARIO!$A$2:$A$2000,INVENTARIO!$B$2:$B$2000),"NO ENCONTRADO"))</f>
        <v/>
      </c>
      <c r="F320" s="2">
        <f>IF(D320="","",IF(E320="NO ENCONTRADO","CODIGO NO EXISTE",IF(COUNTIF($D$2:D320,D320)&gt;1,"DEVOLUCION DUPLICADA",IF(COUNTIFS(SALIDAS!$B$2:$B$1000,B320,SALIDAS!$D$2:$D$1000,D320,SALIDAS!$G$2:$G$1000,"OK*")=0,"NO FIGURA EN SALIDA","OK"))))</f>
        <v/>
      </c>
    </row>
    <row r="321">
      <c r="A321" s="9" t="inlineStr"/>
      <c r="B321" s="2" t="inlineStr"/>
      <c r="C321" s="2" t="inlineStr"/>
      <c r="D321" s="2" t="inlineStr"/>
      <c r="E321" s="2">
        <f>IF(D321="","",IFERROR(XLOOKUP(TRIM(D321),INVENTARIO!$A$2:$A$2000,INVENTARIO!$B$2:$B$2000),"NO ENCONTRADO"))</f>
        <v/>
      </c>
      <c r="F321" s="2">
        <f>IF(D321="","",IF(E321="NO ENCONTRADO","CODIGO NO EXISTE",IF(COUNTIF($D$2:D321,D321)&gt;1,"DEVOLUCION DUPLICADA",IF(COUNTIFS(SALIDAS!$B$2:$B$1000,B321,SALIDAS!$D$2:$D$1000,D321,SALIDAS!$G$2:$G$1000,"OK*")=0,"NO FIGURA EN SALIDA","OK"))))</f>
        <v/>
      </c>
    </row>
    <row r="322">
      <c r="A322" s="9" t="inlineStr"/>
      <c r="B322" s="2" t="inlineStr"/>
      <c r="C322" s="2" t="inlineStr"/>
      <c r="D322" s="2" t="inlineStr"/>
      <c r="E322" s="2">
        <f>IF(D322="","",IFERROR(XLOOKUP(TRIM(D322),INVENTARIO!$A$2:$A$2000,INVENTARIO!$B$2:$B$2000),"NO ENCONTRADO"))</f>
        <v/>
      </c>
      <c r="F322" s="2">
        <f>IF(D322="","",IF(E322="NO ENCONTRADO","CODIGO NO EXISTE",IF(COUNTIF($D$2:D322,D322)&gt;1,"DEVOLUCION DUPLICADA",IF(COUNTIFS(SALIDAS!$B$2:$B$1000,B322,SALIDAS!$D$2:$D$1000,D322,SALIDAS!$G$2:$G$1000,"OK*")=0,"NO FIGURA EN SALIDA","OK"))))</f>
        <v/>
      </c>
    </row>
    <row r="323">
      <c r="A323" s="9" t="inlineStr"/>
      <c r="B323" s="2" t="inlineStr"/>
      <c r="C323" s="2" t="inlineStr"/>
      <c r="D323" s="2" t="inlineStr"/>
      <c r="E323" s="2">
        <f>IF(D323="","",IFERROR(XLOOKUP(TRIM(D323),INVENTARIO!$A$2:$A$2000,INVENTARIO!$B$2:$B$2000),"NO ENCONTRADO"))</f>
        <v/>
      </c>
      <c r="F323" s="2">
        <f>IF(D323="","",IF(E323="NO ENCONTRADO","CODIGO NO EXISTE",IF(COUNTIF($D$2:D323,D323)&gt;1,"DEVOLUCION DUPLICADA",IF(COUNTIFS(SALIDAS!$B$2:$B$1000,B323,SALIDAS!$D$2:$D$1000,D323,SALIDAS!$G$2:$G$1000,"OK*")=0,"NO FIGURA EN SALIDA","OK"))))</f>
        <v/>
      </c>
    </row>
    <row r="324">
      <c r="A324" s="9" t="inlineStr"/>
      <c r="B324" s="2" t="inlineStr"/>
      <c r="C324" s="2" t="inlineStr"/>
      <c r="D324" s="2" t="inlineStr"/>
      <c r="E324" s="2">
        <f>IF(D324="","",IFERROR(XLOOKUP(TRIM(D324),INVENTARIO!$A$2:$A$2000,INVENTARIO!$B$2:$B$2000),"NO ENCONTRADO"))</f>
        <v/>
      </c>
      <c r="F324" s="2">
        <f>IF(D324="","",IF(E324="NO ENCONTRADO","CODIGO NO EXISTE",IF(COUNTIF($D$2:D324,D324)&gt;1,"DEVOLUCION DUPLICADA",IF(COUNTIFS(SALIDAS!$B$2:$B$1000,B324,SALIDAS!$D$2:$D$1000,D324,SALIDAS!$G$2:$G$1000,"OK*")=0,"NO FIGURA EN SALIDA","OK"))))</f>
        <v/>
      </c>
    </row>
    <row r="325">
      <c r="A325" s="9" t="inlineStr"/>
      <c r="B325" s="2" t="inlineStr"/>
      <c r="C325" s="2" t="inlineStr"/>
      <c r="D325" s="2" t="inlineStr"/>
      <c r="E325" s="2">
        <f>IF(D325="","",IFERROR(XLOOKUP(TRIM(D325),INVENTARIO!$A$2:$A$2000,INVENTARIO!$B$2:$B$2000),"NO ENCONTRADO"))</f>
        <v/>
      </c>
      <c r="F325" s="2">
        <f>IF(D325="","",IF(E325="NO ENCONTRADO","CODIGO NO EXISTE",IF(COUNTIF($D$2:D325,D325)&gt;1,"DEVOLUCION DUPLICADA",IF(COUNTIFS(SALIDAS!$B$2:$B$1000,B325,SALIDAS!$D$2:$D$1000,D325,SALIDAS!$G$2:$G$1000,"OK*")=0,"NO FIGURA EN SALIDA","OK"))))</f>
        <v/>
      </c>
    </row>
    <row r="326">
      <c r="A326" s="9" t="inlineStr"/>
      <c r="B326" s="2" t="inlineStr"/>
      <c r="C326" s="2" t="inlineStr"/>
      <c r="D326" s="2" t="inlineStr"/>
      <c r="E326" s="2">
        <f>IF(D326="","",IFERROR(XLOOKUP(TRIM(D326),INVENTARIO!$A$2:$A$2000,INVENTARIO!$B$2:$B$2000),"NO ENCONTRADO"))</f>
        <v/>
      </c>
      <c r="F326" s="2">
        <f>IF(D326="","",IF(E326="NO ENCONTRADO","CODIGO NO EXISTE",IF(COUNTIF($D$2:D326,D326)&gt;1,"DEVOLUCION DUPLICADA",IF(COUNTIFS(SALIDAS!$B$2:$B$1000,B326,SALIDAS!$D$2:$D$1000,D326,SALIDAS!$G$2:$G$1000,"OK*")=0,"NO FIGURA EN SALIDA","OK"))))</f>
        <v/>
      </c>
    </row>
    <row r="327">
      <c r="A327" s="9" t="inlineStr"/>
      <c r="B327" s="2" t="inlineStr"/>
      <c r="C327" s="2" t="inlineStr"/>
      <c r="D327" s="2" t="inlineStr"/>
      <c r="E327" s="2">
        <f>IF(D327="","",IFERROR(XLOOKUP(TRIM(D327),INVENTARIO!$A$2:$A$2000,INVENTARIO!$B$2:$B$2000),"NO ENCONTRADO"))</f>
        <v/>
      </c>
      <c r="F327" s="2">
        <f>IF(D327="","",IF(E327="NO ENCONTRADO","CODIGO NO EXISTE",IF(COUNTIF($D$2:D327,D327)&gt;1,"DEVOLUCION DUPLICADA",IF(COUNTIFS(SALIDAS!$B$2:$B$1000,B327,SALIDAS!$D$2:$D$1000,D327,SALIDAS!$G$2:$G$1000,"OK*")=0,"NO FIGURA EN SALIDA","OK"))))</f>
        <v/>
      </c>
    </row>
    <row r="328">
      <c r="A328" s="9" t="inlineStr"/>
      <c r="B328" s="2" t="inlineStr"/>
      <c r="C328" s="2" t="inlineStr"/>
      <c r="D328" s="2" t="inlineStr"/>
      <c r="E328" s="2">
        <f>IF(D328="","",IFERROR(XLOOKUP(TRIM(D328),INVENTARIO!$A$2:$A$2000,INVENTARIO!$B$2:$B$2000),"NO ENCONTRADO"))</f>
        <v/>
      </c>
      <c r="F328" s="2">
        <f>IF(D328="","",IF(E328="NO ENCONTRADO","CODIGO NO EXISTE",IF(COUNTIF($D$2:D328,D328)&gt;1,"DEVOLUCION DUPLICADA",IF(COUNTIFS(SALIDAS!$B$2:$B$1000,B328,SALIDAS!$D$2:$D$1000,D328,SALIDAS!$G$2:$G$1000,"OK*")=0,"NO FIGURA EN SALIDA","OK"))))</f>
        <v/>
      </c>
    </row>
    <row r="329">
      <c r="A329" s="9" t="inlineStr"/>
      <c r="B329" s="2" t="inlineStr"/>
      <c r="C329" s="2" t="inlineStr"/>
      <c r="D329" s="2" t="inlineStr"/>
      <c r="E329" s="2">
        <f>IF(D329="","",IFERROR(XLOOKUP(TRIM(D329),INVENTARIO!$A$2:$A$2000,INVENTARIO!$B$2:$B$2000),"NO ENCONTRADO"))</f>
        <v/>
      </c>
      <c r="F329" s="2">
        <f>IF(D329="","",IF(E329="NO ENCONTRADO","CODIGO NO EXISTE",IF(COUNTIF($D$2:D329,D329)&gt;1,"DEVOLUCION DUPLICADA",IF(COUNTIFS(SALIDAS!$B$2:$B$1000,B329,SALIDAS!$D$2:$D$1000,D329,SALIDAS!$G$2:$G$1000,"OK*")=0,"NO FIGURA EN SALIDA","OK"))))</f>
        <v/>
      </c>
    </row>
    <row r="330">
      <c r="A330" s="9" t="inlineStr"/>
      <c r="B330" s="2" t="inlineStr"/>
      <c r="C330" s="2" t="inlineStr"/>
      <c r="D330" s="2" t="inlineStr"/>
      <c r="E330" s="2">
        <f>IF(D330="","",IFERROR(XLOOKUP(TRIM(D330),INVENTARIO!$A$2:$A$2000,INVENTARIO!$B$2:$B$2000),"NO ENCONTRADO"))</f>
        <v/>
      </c>
      <c r="F330" s="2">
        <f>IF(D330="","",IF(E330="NO ENCONTRADO","CODIGO NO EXISTE",IF(COUNTIF($D$2:D330,D330)&gt;1,"DEVOLUCION DUPLICADA",IF(COUNTIFS(SALIDAS!$B$2:$B$1000,B330,SALIDAS!$D$2:$D$1000,D330,SALIDAS!$G$2:$G$1000,"OK*")=0,"NO FIGURA EN SALIDA","OK"))))</f>
        <v/>
      </c>
    </row>
    <row r="331">
      <c r="A331" s="9" t="inlineStr"/>
      <c r="B331" s="2" t="inlineStr"/>
      <c r="C331" s="2" t="inlineStr"/>
      <c r="D331" s="2" t="inlineStr"/>
      <c r="E331" s="2">
        <f>IF(D331="","",IFERROR(XLOOKUP(TRIM(D331),INVENTARIO!$A$2:$A$2000,INVENTARIO!$B$2:$B$2000),"NO ENCONTRADO"))</f>
        <v/>
      </c>
      <c r="F331" s="2">
        <f>IF(D331="","",IF(E331="NO ENCONTRADO","CODIGO NO EXISTE",IF(COUNTIF($D$2:D331,D331)&gt;1,"DEVOLUCION DUPLICADA",IF(COUNTIFS(SALIDAS!$B$2:$B$1000,B331,SALIDAS!$D$2:$D$1000,D331,SALIDAS!$G$2:$G$1000,"OK*")=0,"NO FIGURA EN SALIDA","OK"))))</f>
        <v/>
      </c>
    </row>
    <row r="332">
      <c r="A332" s="9" t="inlineStr"/>
      <c r="B332" s="2" t="inlineStr"/>
      <c r="C332" s="2" t="inlineStr"/>
      <c r="D332" s="2" t="inlineStr"/>
      <c r="E332" s="2">
        <f>IF(D332="","",IFERROR(XLOOKUP(TRIM(D332),INVENTARIO!$A$2:$A$2000,INVENTARIO!$B$2:$B$2000),"NO ENCONTRADO"))</f>
        <v/>
      </c>
      <c r="F332" s="2">
        <f>IF(D332="","",IF(E332="NO ENCONTRADO","CODIGO NO EXISTE",IF(COUNTIF($D$2:D332,D332)&gt;1,"DEVOLUCION DUPLICADA",IF(COUNTIFS(SALIDAS!$B$2:$B$1000,B332,SALIDAS!$D$2:$D$1000,D332,SALIDAS!$G$2:$G$1000,"OK*")=0,"NO FIGURA EN SALIDA","OK"))))</f>
        <v/>
      </c>
    </row>
    <row r="333">
      <c r="A333" s="9" t="inlineStr"/>
      <c r="B333" s="2" t="inlineStr"/>
      <c r="C333" s="2" t="inlineStr"/>
      <c r="D333" s="2" t="inlineStr"/>
      <c r="E333" s="2">
        <f>IF(D333="","",IFERROR(XLOOKUP(TRIM(D333),INVENTARIO!$A$2:$A$2000,INVENTARIO!$B$2:$B$2000),"NO ENCONTRADO"))</f>
        <v/>
      </c>
      <c r="F333" s="2">
        <f>IF(D333="","",IF(E333="NO ENCONTRADO","CODIGO NO EXISTE",IF(COUNTIF($D$2:D333,D333)&gt;1,"DEVOLUCION DUPLICADA",IF(COUNTIFS(SALIDAS!$B$2:$B$1000,B333,SALIDAS!$D$2:$D$1000,D333,SALIDAS!$G$2:$G$1000,"OK*")=0,"NO FIGURA EN SALIDA","OK"))))</f>
        <v/>
      </c>
    </row>
    <row r="334">
      <c r="A334" s="9" t="inlineStr"/>
      <c r="B334" s="2" t="inlineStr"/>
      <c r="C334" s="2" t="inlineStr"/>
      <c r="D334" s="2" t="inlineStr"/>
      <c r="E334" s="2">
        <f>IF(D334="","",IFERROR(XLOOKUP(TRIM(D334),INVENTARIO!$A$2:$A$2000,INVENTARIO!$B$2:$B$2000),"NO ENCONTRADO"))</f>
        <v/>
      </c>
      <c r="F334" s="2">
        <f>IF(D334="","",IF(E334="NO ENCONTRADO","CODIGO NO EXISTE",IF(COUNTIF($D$2:D334,D334)&gt;1,"DEVOLUCION DUPLICADA",IF(COUNTIFS(SALIDAS!$B$2:$B$1000,B334,SALIDAS!$D$2:$D$1000,D334,SALIDAS!$G$2:$G$1000,"OK*")=0,"NO FIGURA EN SALIDA","OK"))))</f>
        <v/>
      </c>
    </row>
    <row r="335">
      <c r="A335" s="9" t="inlineStr"/>
      <c r="B335" s="2" t="inlineStr"/>
      <c r="C335" s="2" t="inlineStr"/>
      <c r="D335" s="2" t="inlineStr"/>
      <c r="E335" s="2">
        <f>IF(D335="","",IFERROR(XLOOKUP(TRIM(D335),INVENTARIO!$A$2:$A$2000,INVENTARIO!$B$2:$B$2000),"NO ENCONTRADO"))</f>
        <v/>
      </c>
      <c r="F335" s="2">
        <f>IF(D335="","",IF(E335="NO ENCONTRADO","CODIGO NO EXISTE",IF(COUNTIF($D$2:D335,D335)&gt;1,"DEVOLUCION DUPLICADA",IF(COUNTIFS(SALIDAS!$B$2:$B$1000,B335,SALIDAS!$D$2:$D$1000,D335,SALIDAS!$G$2:$G$1000,"OK*")=0,"NO FIGURA EN SALIDA","OK"))))</f>
        <v/>
      </c>
    </row>
    <row r="336">
      <c r="A336" s="9" t="inlineStr"/>
      <c r="B336" s="2" t="inlineStr"/>
      <c r="C336" s="2" t="inlineStr"/>
      <c r="D336" s="2" t="inlineStr"/>
      <c r="E336" s="2">
        <f>IF(D336="","",IFERROR(XLOOKUP(TRIM(D336),INVENTARIO!$A$2:$A$2000,INVENTARIO!$B$2:$B$2000),"NO ENCONTRADO"))</f>
        <v/>
      </c>
      <c r="F336" s="2">
        <f>IF(D336="","",IF(E336="NO ENCONTRADO","CODIGO NO EXISTE",IF(COUNTIF($D$2:D336,D336)&gt;1,"DEVOLUCION DUPLICADA",IF(COUNTIFS(SALIDAS!$B$2:$B$1000,B336,SALIDAS!$D$2:$D$1000,D336,SALIDAS!$G$2:$G$1000,"OK*")=0,"NO FIGURA EN SALIDA","OK"))))</f>
        <v/>
      </c>
    </row>
    <row r="337">
      <c r="A337" s="9" t="inlineStr"/>
      <c r="B337" s="2" t="inlineStr"/>
      <c r="C337" s="2" t="inlineStr"/>
      <c r="D337" s="2" t="inlineStr"/>
      <c r="E337" s="2">
        <f>IF(D337="","",IFERROR(XLOOKUP(TRIM(D337),INVENTARIO!$A$2:$A$2000,INVENTARIO!$B$2:$B$2000),"NO ENCONTRADO"))</f>
        <v/>
      </c>
      <c r="F337" s="2">
        <f>IF(D337="","",IF(E337="NO ENCONTRADO","CODIGO NO EXISTE",IF(COUNTIF($D$2:D337,D337)&gt;1,"DEVOLUCION DUPLICADA",IF(COUNTIFS(SALIDAS!$B$2:$B$1000,B337,SALIDAS!$D$2:$D$1000,D337,SALIDAS!$G$2:$G$1000,"OK*")=0,"NO FIGURA EN SALIDA","OK"))))</f>
        <v/>
      </c>
    </row>
    <row r="338">
      <c r="A338" s="9" t="inlineStr"/>
      <c r="B338" s="2" t="inlineStr"/>
      <c r="C338" s="2" t="inlineStr"/>
      <c r="D338" s="2" t="inlineStr"/>
      <c r="E338" s="2">
        <f>IF(D338="","",IFERROR(XLOOKUP(TRIM(D338),INVENTARIO!$A$2:$A$2000,INVENTARIO!$B$2:$B$2000),"NO ENCONTRADO"))</f>
        <v/>
      </c>
      <c r="F338" s="2">
        <f>IF(D338="","",IF(E338="NO ENCONTRADO","CODIGO NO EXISTE",IF(COUNTIF($D$2:D338,D338)&gt;1,"DEVOLUCION DUPLICADA",IF(COUNTIFS(SALIDAS!$B$2:$B$1000,B338,SALIDAS!$D$2:$D$1000,D338,SALIDAS!$G$2:$G$1000,"OK*")=0,"NO FIGURA EN SALIDA","OK"))))</f>
        <v/>
      </c>
    </row>
    <row r="339">
      <c r="A339" s="9" t="inlineStr"/>
      <c r="B339" s="2" t="inlineStr"/>
      <c r="C339" s="2" t="inlineStr"/>
      <c r="D339" s="2" t="inlineStr"/>
      <c r="E339" s="2">
        <f>IF(D339="","",IFERROR(XLOOKUP(TRIM(D339),INVENTARIO!$A$2:$A$2000,INVENTARIO!$B$2:$B$2000),"NO ENCONTRADO"))</f>
        <v/>
      </c>
      <c r="F339" s="2">
        <f>IF(D339="","",IF(E339="NO ENCONTRADO","CODIGO NO EXISTE",IF(COUNTIF($D$2:D339,D339)&gt;1,"DEVOLUCION DUPLICADA",IF(COUNTIFS(SALIDAS!$B$2:$B$1000,B339,SALIDAS!$D$2:$D$1000,D339,SALIDAS!$G$2:$G$1000,"OK*")=0,"NO FIGURA EN SALIDA","OK"))))</f>
        <v/>
      </c>
    </row>
    <row r="340">
      <c r="A340" s="9" t="inlineStr"/>
      <c r="B340" s="2" t="inlineStr"/>
      <c r="C340" s="2" t="inlineStr"/>
      <c r="D340" s="2" t="inlineStr"/>
      <c r="E340" s="2">
        <f>IF(D340="","",IFERROR(XLOOKUP(TRIM(D340),INVENTARIO!$A$2:$A$2000,INVENTARIO!$B$2:$B$2000),"NO ENCONTRADO"))</f>
        <v/>
      </c>
      <c r="F340" s="2">
        <f>IF(D340="","",IF(E340="NO ENCONTRADO","CODIGO NO EXISTE",IF(COUNTIF($D$2:D340,D340)&gt;1,"DEVOLUCION DUPLICADA",IF(COUNTIFS(SALIDAS!$B$2:$B$1000,B340,SALIDAS!$D$2:$D$1000,D340,SALIDAS!$G$2:$G$1000,"OK*")=0,"NO FIGURA EN SALIDA","OK"))))</f>
        <v/>
      </c>
    </row>
    <row r="341">
      <c r="A341" s="9" t="inlineStr"/>
      <c r="B341" s="2" t="inlineStr"/>
      <c r="C341" s="2" t="inlineStr"/>
      <c r="D341" s="2" t="inlineStr"/>
      <c r="E341" s="2">
        <f>IF(D341="","",IFERROR(XLOOKUP(TRIM(D341),INVENTARIO!$A$2:$A$2000,INVENTARIO!$B$2:$B$2000),"NO ENCONTRADO"))</f>
        <v/>
      </c>
      <c r="F341" s="2">
        <f>IF(D341="","",IF(E341="NO ENCONTRADO","CODIGO NO EXISTE",IF(COUNTIF($D$2:D341,D341)&gt;1,"DEVOLUCION DUPLICADA",IF(COUNTIFS(SALIDAS!$B$2:$B$1000,B341,SALIDAS!$D$2:$D$1000,D341,SALIDAS!$G$2:$G$1000,"OK*")=0,"NO FIGURA EN SALIDA","OK"))))</f>
        <v/>
      </c>
    </row>
    <row r="342">
      <c r="A342" s="9" t="inlineStr"/>
      <c r="B342" s="2" t="inlineStr"/>
      <c r="C342" s="2" t="inlineStr"/>
      <c r="D342" s="2" t="inlineStr"/>
      <c r="E342" s="2">
        <f>IF(D342="","",IFERROR(XLOOKUP(TRIM(D342),INVENTARIO!$A$2:$A$2000,INVENTARIO!$B$2:$B$2000),"NO ENCONTRADO"))</f>
        <v/>
      </c>
      <c r="F342" s="2">
        <f>IF(D342="","",IF(E342="NO ENCONTRADO","CODIGO NO EXISTE",IF(COUNTIF($D$2:D342,D342)&gt;1,"DEVOLUCION DUPLICADA",IF(COUNTIFS(SALIDAS!$B$2:$B$1000,B342,SALIDAS!$D$2:$D$1000,D342,SALIDAS!$G$2:$G$1000,"OK*")=0,"NO FIGURA EN SALIDA","OK"))))</f>
        <v/>
      </c>
    </row>
    <row r="343">
      <c r="A343" s="9" t="inlineStr"/>
      <c r="B343" s="2" t="inlineStr"/>
      <c r="C343" s="2" t="inlineStr"/>
      <c r="D343" s="2" t="inlineStr"/>
      <c r="E343" s="2">
        <f>IF(D343="","",IFERROR(XLOOKUP(TRIM(D343),INVENTARIO!$A$2:$A$2000,INVENTARIO!$B$2:$B$2000),"NO ENCONTRADO"))</f>
        <v/>
      </c>
      <c r="F343" s="2">
        <f>IF(D343="","",IF(E343="NO ENCONTRADO","CODIGO NO EXISTE",IF(COUNTIF($D$2:D343,D343)&gt;1,"DEVOLUCION DUPLICADA",IF(COUNTIFS(SALIDAS!$B$2:$B$1000,B343,SALIDAS!$D$2:$D$1000,D343,SALIDAS!$G$2:$G$1000,"OK*")=0,"NO FIGURA EN SALIDA","OK"))))</f>
        <v/>
      </c>
    </row>
    <row r="344">
      <c r="A344" s="9" t="inlineStr"/>
      <c r="B344" s="2" t="inlineStr"/>
      <c r="C344" s="2" t="inlineStr"/>
      <c r="D344" s="2" t="inlineStr"/>
      <c r="E344" s="2">
        <f>IF(D344="","",IFERROR(XLOOKUP(TRIM(D344),INVENTARIO!$A$2:$A$2000,INVENTARIO!$B$2:$B$2000),"NO ENCONTRADO"))</f>
        <v/>
      </c>
      <c r="F344" s="2">
        <f>IF(D344="","",IF(E344="NO ENCONTRADO","CODIGO NO EXISTE",IF(COUNTIF($D$2:D344,D344)&gt;1,"DEVOLUCION DUPLICADA",IF(COUNTIFS(SALIDAS!$B$2:$B$1000,B344,SALIDAS!$D$2:$D$1000,D344,SALIDAS!$G$2:$G$1000,"OK*")=0,"NO FIGURA EN SALIDA","OK"))))</f>
        <v/>
      </c>
    </row>
    <row r="345">
      <c r="A345" s="9" t="inlineStr"/>
      <c r="B345" s="2" t="inlineStr"/>
      <c r="C345" s="2" t="inlineStr"/>
      <c r="D345" s="2" t="inlineStr"/>
      <c r="E345" s="2">
        <f>IF(D345="","",IFERROR(XLOOKUP(TRIM(D345),INVENTARIO!$A$2:$A$2000,INVENTARIO!$B$2:$B$2000),"NO ENCONTRADO"))</f>
        <v/>
      </c>
      <c r="F345" s="2">
        <f>IF(D345="","",IF(E345="NO ENCONTRADO","CODIGO NO EXISTE",IF(COUNTIF($D$2:D345,D345)&gt;1,"DEVOLUCION DUPLICADA",IF(COUNTIFS(SALIDAS!$B$2:$B$1000,B345,SALIDAS!$D$2:$D$1000,D345,SALIDAS!$G$2:$G$1000,"OK*")=0,"NO FIGURA EN SALIDA","OK"))))</f>
        <v/>
      </c>
    </row>
    <row r="346">
      <c r="A346" s="9" t="inlineStr"/>
      <c r="B346" s="2" t="inlineStr"/>
      <c r="C346" s="2" t="inlineStr"/>
      <c r="D346" s="2" t="inlineStr"/>
      <c r="E346" s="2">
        <f>IF(D346="","",IFERROR(XLOOKUP(TRIM(D346),INVENTARIO!$A$2:$A$2000,INVENTARIO!$B$2:$B$2000),"NO ENCONTRADO"))</f>
        <v/>
      </c>
      <c r="F346" s="2">
        <f>IF(D346="","",IF(E346="NO ENCONTRADO","CODIGO NO EXISTE",IF(COUNTIF($D$2:D346,D346)&gt;1,"DEVOLUCION DUPLICADA",IF(COUNTIFS(SALIDAS!$B$2:$B$1000,B346,SALIDAS!$D$2:$D$1000,D346,SALIDAS!$G$2:$G$1000,"OK*")=0,"NO FIGURA EN SALIDA","OK"))))</f>
        <v/>
      </c>
    </row>
    <row r="347">
      <c r="A347" s="9" t="inlineStr"/>
      <c r="B347" s="2" t="inlineStr"/>
      <c r="C347" s="2" t="inlineStr"/>
      <c r="D347" s="2" t="inlineStr"/>
      <c r="E347" s="2">
        <f>IF(D347="","",IFERROR(XLOOKUP(TRIM(D347),INVENTARIO!$A$2:$A$2000,INVENTARIO!$B$2:$B$2000),"NO ENCONTRADO"))</f>
        <v/>
      </c>
      <c r="F347" s="2">
        <f>IF(D347="","",IF(E347="NO ENCONTRADO","CODIGO NO EXISTE",IF(COUNTIF($D$2:D347,D347)&gt;1,"DEVOLUCION DUPLICADA",IF(COUNTIFS(SALIDAS!$B$2:$B$1000,B347,SALIDAS!$D$2:$D$1000,D347,SALIDAS!$G$2:$G$1000,"OK*")=0,"NO FIGURA EN SALIDA","OK"))))</f>
        <v/>
      </c>
    </row>
    <row r="348">
      <c r="A348" s="9" t="inlineStr"/>
      <c r="B348" s="2" t="inlineStr"/>
      <c r="C348" s="2" t="inlineStr"/>
      <c r="D348" s="2" t="inlineStr"/>
      <c r="E348" s="2">
        <f>IF(D348="","",IFERROR(XLOOKUP(TRIM(D348),INVENTARIO!$A$2:$A$2000,INVENTARIO!$B$2:$B$2000),"NO ENCONTRADO"))</f>
        <v/>
      </c>
      <c r="F348" s="2">
        <f>IF(D348="","",IF(E348="NO ENCONTRADO","CODIGO NO EXISTE",IF(COUNTIF($D$2:D348,D348)&gt;1,"DEVOLUCION DUPLICADA",IF(COUNTIFS(SALIDAS!$B$2:$B$1000,B348,SALIDAS!$D$2:$D$1000,D348,SALIDAS!$G$2:$G$1000,"OK*")=0,"NO FIGURA EN SALIDA","OK"))))</f>
        <v/>
      </c>
    </row>
    <row r="349">
      <c r="A349" s="9" t="inlineStr"/>
      <c r="B349" s="2" t="inlineStr"/>
      <c r="C349" s="2" t="inlineStr"/>
      <c r="D349" s="2" t="inlineStr"/>
      <c r="E349" s="2">
        <f>IF(D349="","",IFERROR(XLOOKUP(TRIM(D349),INVENTARIO!$A$2:$A$2000,INVENTARIO!$B$2:$B$2000),"NO ENCONTRADO"))</f>
        <v/>
      </c>
      <c r="F349" s="2">
        <f>IF(D349="","",IF(E349="NO ENCONTRADO","CODIGO NO EXISTE",IF(COUNTIF($D$2:D349,D349)&gt;1,"DEVOLUCION DUPLICADA",IF(COUNTIFS(SALIDAS!$B$2:$B$1000,B349,SALIDAS!$D$2:$D$1000,D349,SALIDAS!$G$2:$G$1000,"OK*")=0,"NO FIGURA EN SALIDA","OK"))))</f>
        <v/>
      </c>
    </row>
    <row r="350">
      <c r="A350" s="9" t="inlineStr"/>
      <c r="B350" s="2" t="inlineStr"/>
      <c r="C350" s="2" t="inlineStr"/>
      <c r="D350" s="2" t="inlineStr"/>
      <c r="E350" s="2">
        <f>IF(D350="","",IFERROR(XLOOKUP(TRIM(D350),INVENTARIO!$A$2:$A$2000,INVENTARIO!$B$2:$B$2000),"NO ENCONTRADO"))</f>
        <v/>
      </c>
      <c r="F350" s="2">
        <f>IF(D350="","",IF(E350="NO ENCONTRADO","CODIGO NO EXISTE",IF(COUNTIF($D$2:D350,D350)&gt;1,"DEVOLUCION DUPLICADA",IF(COUNTIFS(SALIDAS!$B$2:$B$1000,B350,SALIDAS!$D$2:$D$1000,D350,SALIDAS!$G$2:$G$1000,"OK*")=0,"NO FIGURA EN SALIDA","OK"))))</f>
        <v/>
      </c>
    </row>
    <row r="351">
      <c r="A351" s="9" t="inlineStr"/>
      <c r="B351" s="2" t="inlineStr"/>
      <c r="C351" s="2" t="inlineStr"/>
      <c r="D351" s="2" t="inlineStr"/>
      <c r="E351" s="2">
        <f>IF(D351="","",IFERROR(XLOOKUP(TRIM(D351),INVENTARIO!$A$2:$A$2000,INVENTARIO!$B$2:$B$2000),"NO ENCONTRADO"))</f>
        <v/>
      </c>
      <c r="F351" s="2">
        <f>IF(D351="","",IF(E351="NO ENCONTRADO","CODIGO NO EXISTE",IF(COUNTIF($D$2:D351,D351)&gt;1,"DEVOLUCION DUPLICADA",IF(COUNTIFS(SALIDAS!$B$2:$B$1000,B351,SALIDAS!$D$2:$D$1000,D351,SALIDAS!$G$2:$G$1000,"OK*")=0,"NO FIGURA EN SALIDA","OK"))))</f>
        <v/>
      </c>
    </row>
    <row r="352">
      <c r="A352" s="9" t="inlineStr"/>
      <c r="B352" s="2" t="inlineStr"/>
      <c r="C352" s="2" t="inlineStr"/>
      <c r="D352" s="2" t="inlineStr"/>
      <c r="E352" s="2">
        <f>IF(D352="","",IFERROR(XLOOKUP(TRIM(D352),INVENTARIO!$A$2:$A$2000,INVENTARIO!$B$2:$B$2000),"NO ENCONTRADO"))</f>
        <v/>
      </c>
      <c r="F352" s="2">
        <f>IF(D352="","",IF(E352="NO ENCONTRADO","CODIGO NO EXISTE",IF(COUNTIF($D$2:D352,D352)&gt;1,"DEVOLUCION DUPLICADA",IF(COUNTIFS(SALIDAS!$B$2:$B$1000,B352,SALIDAS!$D$2:$D$1000,D352,SALIDAS!$G$2:$G$1000,"OK*")=0,"NO FIGURA EN SALIDA","OK"))))</f>
        <v/>
      </c>
    </row>
    <row r="353">
      <c r="A353" s="9" t="inlineStr"/>
      <c r="B353" s="2" t="inlineStr"/>
      <c r="C353" s="2" t="inlineStr"/>
      <c r="D353" s="2" t="inlineStr"/>
      <c r="E353" s="2">
        <f>IF(D353="","",IFERROR(XLOOKUP(TRIM(D353),INVENTARIO!$A$2:$A$2000,INVENTARIO!$B$2:$B$2000),"NO ENCONTRADO"))</f>
        <v/>
      </c>
      <c r="F353" s="2">
        <f>IF(D353="","",IF(E353="NO ENCONTRADO","CODIGO NO EXISTE",IF(COUNTIF($D$2:D353,D353)&gt;1,"DEVOLUCION DUPLICADA",IF(COUNTIFS(SALIDAS!$B$2:$B$1000,B353,SALIDAS!$D$2:$D$1000,D353,SALIDAS!$G$2:$G$1000,"OK*")=0,"NO FIGURA EN SALIDA","OK"))))</f>
        <v/>
      </c>
    </row>
    <row r="354">
      <c r="A354" s="9" t="inlineStr"/>
      <c r="B354" s="2" t="inlineStr"/>
      <c r="C354" s="2" t="inlineStr"/>
      <c r="D354" s="2" t="inlineStr"/>
      <c r="E354" s="2">
        <f>IF(D354="","",IFERROR(XLOOKUP(TRIM(D354),INVENTARIO!$A$2:$A$2000,INVENTARIO!$B$2:$B$2000),"NO ENCONTRADO"))</f>
        <v/>
      </c>
      <c r="F354" s="2">
        <f>IF(D354="","",IF(E354="NO ENCONTRADO","CODIGO NO EXISTE",IF(COUNTIF($D$2:D354,D354)&gt;1,"DEVOLUCION DUPLICADA",IF(COUNTIFS(SALIDAS!$B$2:$B$1000,B354,SALIDAS!$D$2:$D$1000,D354,SALIDAS!$G$2:$G$1000,"OK*")=0,"NO FIGURA EN SALIDA","OK"))))</f>
        <v/>
      </c>
    </row>
    <row r="355">
      <c r="A355" s="9" t="inlineStr"/>
      <c r="B355" s="2" t="inlineStr"/>
      <c r="C355" s="2" t="inlineStr"/>
      <c r="D355" s="2" t="inlineStr"/>
      <c r="E355" s="2">
        <f>IF(D355="","",IFERROR(XLOOKUP(TRIM(D355),INVENTARIO!$A$2:$A$2000,INVENTARIO!$B$2:$B$2000),"NO ENCONTRADO"))</f>
        <v/>
      </c>
      <c r="F355" s="2">
        <f>IF(D355="","",IF(E355="NO ENCONTRADO","CODIGO NO EXISTE",IF(COUNTIF($D$2:D355,D355)&gt;1,"DEVOLUCION DUPLICADA",IF(COUNTIFS(SALIDAS!$B$2:$B$1000,B355,SALIDAS!$D$2:$D$1000,D355,SALIDAS!$G$2:$G$1000,"OK*")=0,"NO FIGURA EN SALIDA","OK"))))</f>
        <v/>
      </c>
    </row>
    <row r="356">
      <c r="A356" s="9" t="inlineStr"/>
      <c r="B356" s="2" t="inlineStr"/>
      <c r="C356" s="2" t="inlineStr"/>
      <c r="D356" s="2" t="inlineStr"/>
      <c r="E356" s="2">
        <f>IF(D356="","",IFERROR(XLOOKUP(TRIM(D356),INVENTARIO!$A$2:$A$2000,INVENTARIO!$B$2:$B$2000),"NO ENCONTRADO"))</f>
        <v/>
      </c>
      <c r="F356" s="2">
        <f>IF(D356="","",IF(E356="NO ENCONTRADO","CODIGO NO EXISTE",IF(COUNTIF($D$2:D356,D356)&gt;1,"DEVOLUCION DUPLICADA",IF(COUNTIFS(SALIDAS!$B$2:$B$1000,B356,SALIDAS!$D$2:$D$1000,D356,SALIDAS!$G$2:$G$1000,"OK*")=0,"NO FIGURA EN SALIDA","OK"))))</f>
        <v/>
      </c>
    </row>
    <row r="357">
      <c r="A357" s="9" t="inlineStr"/>
      <c r="B357" s="2" t="inlineStr"/>
      <c r="C357" s="2" t="inlineStr"/>
      <c r="D357" s="2" t="inlineStr"/>
      <c r="E357" s="2">
        <f>IF(D357="","",IFERROR(XLOOKUP(TRIM(D357),INVENTARIO!$A$2:$A$2000,INVENTARIO!$B$2:$B$2000),"NO ENCONTRADO"))</f>
        <v/>
      </c>
      <c r="F357" s="2">
        <f>IF(D357="","",IF(E357="NO ENCONTRADO","CODIGO NO EXISTE",IF(COUNTIF($D$2:D357,D357)&gt;1,"DEVOLUCION DUPLICADA",IF(COUNTIFS(SALIDAS!$B$2:$B$1000,B357,SALIDAS!$D$2:$D$1000,D357,SALIDAS!$G$2:$G$1000,"OK*")=0,"NO FIGURA EN SALIDA","OK"))))</f>
        <v/>
      </c>
    </row>
    <row r="358">
      <c r="A358" s="9" t="inlineStr"/>
      <c r="B358" s="2" t="inlineStr"/>
      <c r="C358" s="2" t="inlineStr"/>
      <c r="D358" s="2" t="inlineStr"/>
      <c r="E358" s="2">
        <f>IF(D358="","",IFERROR(XLOOKUP(TRIM(D358),INVENTARIO!$A$2:$A$2000,INVENTARIO!$B$2:$B$2000),"NO ENCONTRADO"))</f>
        <v/>
      </c>
      <c r="F358" s="2">
        <f>IF(D358="","",IF(E358="NO ENCONTRADO","CODIGO NO EXISTE",IF(COUNTIF($D$2:D358,D358)&gt;1,"DEVOLUCION DUPLICADA",IF(COUNTIFS(SALIDAS!$B$2:$B$1000,B358,SALIDAS!$D$2:$D$1000,D358,SALIDAS!$G$2:$G$1000,"OK*")=0,"NO FIGURA EN SALIDA","OK"))))</f>
        <v/>
      </c>
    </row>
    <row r="359">
      <c r="A359" s="9" t="inlineStr"/>
      <c r="B359" s="2" t="inlineStr"/>
      <c r="C359" s="2" t="inlineStr"/>
      <c r="D359" s="2" t="inlineStr"/>
      <c r="E359" s="2">
        <f>IF(D359="","",IFERROR(XLOOKUP(TRIM(D359),INVENTARIO!$A$2:$A$2000,INVENTARIO!$B$2:$B$2000),"NO ENCONTRADO"))</f>
        <v/>
      </c>
      <c r="F359" s="2">
        <f>IF(D359="","",IF(E359="NO ENCONTRADO","CODIGO NO EXISTE",IF(COUNTIF($D$2:D359,D359)&gt;1,"DEVOLUCION DUPLICADA",IF(COUNTIFS(SALIDAS!$B$2:$B$1000,B359,SALIDAS!$D$2:$D$1000,D359,SALIDAS!$G$2:$G$1000,"OK*")=0,"NO FIGURA EN SALIDA","OK"))))</f>
        <v/>
      </c>
    </row>
    <row r="360">
      <c r="A360" s="9" t="inlineStr"/>
      <c r="B360" s="2" t="inlineStr"/>
      <c r="C360" s="2" t="inlineStr"/>
      <c r="D360" s="2" t="inlineStr"/>
      <c r="E360" s="2">
        <f>IF(D360="","",IFERROR(XLOOKUP(TRIM(D360),INVENTARIO!$A$2:$A$2000,INVENTARIO!$B$2:$B$2000),"NO ENCONTRADO"))</f>
        <v/>
      </c>
      <c r="F360" s="2">
        <f>IF(D360="","",IF(E360="NO ENCONTRADO","CODIGO NO EXISTE",IF(COUNTIF($D$2:D360,D360)&gt;1,"DEVOLUCION DUPLICADA",IF(COUNTIFS(SALIDAS!$B$2:$B$1000,B360,SALIDAS!$D$2:$D$1000,D360,SALIDAS!$G$2:$G$1000,"OK*")=0,"NO FIGURA EN SALIDA","OK"))))</f>
        <v/>
      </c>
    </row>
    <row r="361">
      <c r="A361" s="9" t="inlineStr"/>
      <c r="B361" s="2" t="inlineStr"/>
      <c r="C361" s="2" t="inlineStr"/>
      <c r="D361" s="2" t="inlineStr"/>
      <c r="E361" s="2">
        <f>IF(D361="","",IFERROR(XLOOKUP(TRIM(D361),INVENTARIO!$A$2:$A$2000,INVENTARIO!$B$2:$B$2000),"NO ENCONTRADO"))</f>
        <v/>
      </c>
      <c r="F361" s="2">
        <f>IF(D361="","",IF(E361="NO ENCONTRADO","CODIGO NO EXISTE",IF(COUNTIF($D$2:D361,D361)&gt;1,"DEVOLUCION DUPLICADA",IF(COUNTIFS(SALIDAS!$B$2:$B$1000,B361,SALIDAS!$D$2:$D$1000,D361,SALIDAS!$G$2:$G$1000,"OK*")=0,"NO FIGURA EN SALIDA","OK"))))</f>
        <v/>
      </c>
    </row>
    <row r="362">
      <c r="A362" s="9" t="inlineStr"/>
      <c r="B362" s="2" t="inlineStr"/>
      <c r="C362" s="2" t="inlineStr"/>
      <c r="D362" s="2" t="inlineStr"/>
      <c r="E362" s="2">
        <f>IF(D362="","",IFERROR(XLOOKUP(TRIM(D362),INVENTARIO!$A$2:$A$2000,INVENTARIO!$B$2:$B$2000),"NO ENCONTRADO"))</f>
        <v/>
      </c>
      <c r="F362" s="2">
        <f>IF(D362="","",IF(E362="NO ENCONTRADO","CODIGO NO EXISTE",IF(COUNTIF($D$2:D362,D362)&gt;1,"DEVOLUCION DUPLICADA",IF(COUNTIFS(SALIDAS!$B$2:$B$1000,B362,SALIDAS!$D$2:$D$1000,D362,SALIDAS!$G$2:$G$1000,"OK*")=0,"NO FIGURA EN SALIDA","OK"))))</f>
        <v/>
      </c>
    </row>
    <row r="363">
      <c r="A363" s="9" t="inlineStr"/>
      <c r="B363" s="2" t="inlineStr"/>
      <c r="C363" s="2" t="inlineStr"/>
      <c r="D363" s="2" t="inlineStr"/>
      <c r="E363" s="2">
        <f>IF(D363="","",IFERROR(XLOOKUP(TRIM(D363),INVENTARIO!$A$2:$A$2000,INVENTARIO!$B$2:$B$2000),"NO ENCONTRADO"))</f>
        <v/>
      </c>
      <c r="F363" s="2">
        <f>IF(D363="","",IF(E363="NO ENCONTRADO","CODIGO NO EXISTE",IF(COUNTIF($D$2:D363,D363)&gt;1,"DEVOLUCION DUPLICADA",IF(COUNTIFS(SALIDAS!$B$2:$B$1000,B363,SALIDAS!$D$2:$D$1000,D363,SALIDAS!$G$2:$G$1000,"OK*")=0,"NO FIGURA EN SALIDA","OK"))))</f>
        <v/>
      </c>
    </row>
    <row r="364">
      <c r="A364" s="9" t="inlineStr"/>
      <c r="B364" s="2" t="inlineStr"/>
      <c r="C364" s="2" t="inlineStr"/>
      <c r="D364" s="2" t="inlineStr"/>
      <c r="E364" s="2">
        <f>IF(D364="","",IFERROR(XLOOKUP(TRIM(D364),INVENTARIO!$A$2:$A$2000,INVENTARIO!$B$2:$B$2000),"NO ENCONTRADO"))</f>
        <v/>
      </c>
      <c r="F364" s="2">
        <f>IF(D364="","",IF(E364="NO ENCONTRADO","CODIGO NO EXISTE",IF(COUNTIF($D$2:D364,D364)&gt;1,"DEVOLUCION DUPLICADA",IF(COUNTIFS(SALIDAS!$B$2:$B$1000,B364,SALIDAS!$D$2:$D$1000,D364,SALIDAS!$G$2:$G$1000,"OK*")=0,"NO FIGURA EN SALIDA","OK"))))</f>
        <v/>
      </c>
    </row>
    <row r="365">
      <c r="A365" s="9" t="inlineStr"/>
      <c r="B365" s="2" t="inlineStr"/>
      <c r="C365" s="2" t="inlineStr"/>
      <c r="D365" s="2" t="inlineStr"/>
      <c r="E365" s="2">
        <f>IF(D365="","",IFERROR(XLOOKUP(TRIM(D365),INVENTARIO!$A$2:$A$2000,INVENTARIO!$B$2:$B$2000),"NO ENCONTRADO"))</f>
        <v/>
      </c>
      <c r="F365" s="2">
        <f>IF(D365="","",IF(E365="NO ENCONTRADO","CODIGO NO EXISTE",IF(COUNTIF($D$2:D365,D365)&gt;1,"DEVOLUCION DUPLICADA",IF(COUNTIFS(SALIDAS!$B$2:$B$1000,B365,SALIDAS!$D$2:$D$1000,D365,SALIDAS!$G$2:$G$1000,"OK*")=0,"NO FIGURA EN SALIDA","OK"))))</f>
        <v/>
      </c>
    </row>
    <row r="366">
      <c r="A366" s="9" t="inlineStr"/>
      <c r="B366" s="2" t="inlineStr"/>
      <c r="C366" s="2" t="inlineStr"/>
      <c r="D366" s="2" t="inlineStr"/>
      <c r="E366" s="2">
        <f>IF(D366="","",IFERROR(XLOOKUP(TRIM(D366),INVENTARIO!$A$2:$A$2000,INVENTARIO!$B$2:$B$2000),"NO ENCONTRADO"))</f>
        <v/>
      </c>
      <c r="F366" s="2">
        <f>IF(D366="","",IF(E366="NO ENCONTRADO","CODIGO NO EXISTE",IF(COUNTIF($D$2:D366,D366)&gt;1,"DEVOLUCION DUPLICADA",IF(COUNTIFS(SALIDAS!$B$2:$B$1000,B366,SALIDAS!$D$2:$D$1000,D366,SALIDAS!$G$2:$G$1000,"OK*")=0,"NO FIGURA EN SALIDA","OK"))))</f>
        <v/>
      </c>
    </row>
    <row r="367">
      <c r="A367" s="9" t="inlineStr"/>
      <c r="B367" s="2" t="inlineStr"/>
      <c r="C367" s="2" t="inlineStr"/>
      <c r="D367" s="2" t="inlineStr"/>
      <c r="E367" s="2">
        <f>IF(D367="","",IFERROR(XLOOKUP(TRIM(D367),INVENTARIO!$A$2:$A$2000,INVENTARIO!$B$2:$B$2000),"NO ENCONTRADO"))</f>
        <v/>
      </c>
      <c r="F367" s="2">
        <f>IF(D367="","",IF(E367="NO ENCONTRADO","CODIGO NO EXISTE",IF(COUNTIF($D$2:D367,D367)&gt;1,"DEVOLUCION DUPLICADA",IF(COUNTIFS(SALIDAS!$B$2:$B$1000,B367,SALIDAS!$D$2:$D$1000,D367,SALIDAS!$G$2:$G$1000,"OK*")=0,"NO FIGURA EN SALIDA","OK"))))</f>
        <v/>
      </c>
    </row>
    <row r="368">
      <c r="A368" s="9" t="inlineStr"/>
      <c r="B368" s="2" t="inlineStr"/>
      <c r="C368" s="2" t="inlineStr"/>
      <c r="D368" s="2" t="inlineStr"/>
      <c r="E368" s="2">
        <f>IF(D368="","",IFERROR(XLOOKUP(TRIM(D368),INVENTARIO!$A$2:$A$2000,INVENTARIO!$B$2:$B$2000),"NO ENCONTRADO"))</f>
        <v/>
      </c>
      <c r="F368" s="2">
        <f>IF(D368="","",IF(E368="NO ENCONTRADO","CODIGO NO EXISTE",IF(COUNTIF($D$2:D368,D368)&gt;1,"DEVOLUCION DUPLICADA",IF(COUNTIFS(SALIDAS!$B$2:$B$1000,B368,SALIDAS!$D$2:$D$1000,D368,SALIDAS!$G$2:$G$1000,"OK*")=0,"NO FIGURA EN SALIDA","OK"))))</f>
        <v/>
      </c>
    </row>
    <row r="369">
      <c r="A369" s="9" t="inlineStr"/>
      <c r="B369" s="2" t="inlineStr"/>
      <c r="C369" s="2" t="inlineStr"/>
      <c r="D369" s="2" t="inlineStr"/>
      <c r="E369" s="2">
        <f>IF(D369="","",IFERROR(XLOOKUP(TRIM(D369),INVENTARIO!$A$2:$A$2000,INVENTARIO!$B$2:$B$2000),"NO ENCONTRADO"))</f>
        <v/>
      </c>
      <c r="F369" s="2">
        <f>IF(D369="","",IF(E369="NO ENCONTRADO","CODIGO NO EXISTE",IF(COUNTIF($D$2:D369,D369)&gt;1,"DEVOLUCION DUPLICADA",IF(COUNTIFS(SALIDAS!$B$2:$B$1000,B369,SALIDAS!$D$2:$D$1000,D369,SALIDAS!$G$2:$G$1000,"OK*")=0,"NO FIGURA EN SALIDA","OK"))))</f>
        <v/>
      </c>
    </row>
    <row r="370">
      <c r="A370" s="9" t="inlineStr"/>
      <c r="B370" s="2" t="inlineStr"/>
      <c r="C370" s="2" t="inlineStr"/>
      <c r="D370" s="2" t="inlineStr"/>
      <c r="E370" s="2">
        <f>IF(D370="","",IFERROR(XLOOKUP(TRIM(D370),INVENTARIO!$A$2:$A$2000,INVENTARIO!$B$2:$B$2000),"NO ENCONTRADO"))</f>
        <v/>
      </c>
      <c r="F370" s="2">
        <f>IF(D370="","",IF(E370="NO ENCONTRADO","CODIGO NO EXISTE",IF(COUNTIF($D$2:D370,D370)&gt;1,"DEVOLUCION DUPLICADA",IF(COUNTIFS(SALIDAS!$B$2:$B$1000,B370,SALIDAS!$D$2:$D$1000,D370,SALIDAS!$G$2:$G$1000,"OK*")=0,"NO FIGURA EN SALIDA","OK"))))</f>
        <v/>
      </c>
    </row>
    <row r="371">
      <c r="A371" s="9" t="inlineStr"/>
      <c r="B371" s="2" t="inlineStr"/>
      <c r="C371" s="2" t="inlineStr"/>
      <c r="D371" s="2" t="inlineStr"/>
      <c r="E371" s="2">
        <f>IF(D371="","",IFERROR(XLOOKUP(TRIM(D371),INVENTARIO!$A$2:$A$2000,INVENTARIO!$B$2:$B$2000),"NO ENCONTRADO"))</f>
        <v/>
      </c>
      <c r="F371" s="2">
        <f>IF(D371="","",IF(E371="NO ENCONTRADO","CODIGO NO EXISTE",IF(COUNTIF($D$2:D371,D371)&gt;1,"DEVOLUCION DUPLICADA",IF(COUNTIFS(SALIDAS!$B$2:$B$1000,B371,SALIDAS!$D$2:$D$1000,D371,SALIDAS!$G$2:$G$1000,"OK*")=0,"NO FIGURA EN SALIDA","OK"))))</f>
        <v/>
      </c>
    </row>
    <row r="372">
      <c r="A372" s="9" t="inlineStr"/>
      <c r="B372" s="2" t="inlineStr"/>
      <c r="C372" s="2" t="inlineStr"/>
      <c r="D372" s="2" t="inlineStr"/>
      <c r="E372" s="2">
        <f>IF(D372="","",IFERROR(XLOOKUP(TRIM(D372),INVENTARIO!$A$2:$A$2000,INVENTARIO!$B$2:$B$2000),"NO ENCONTRADO"))</f>
        <v/>
      </c>
      <c r="F372" s="2">
        <f>IF(D372="","",IF(E372="NO ENCONTRADO","CODIGO NO EXISTE",IF(COUNTIF($D$2:D372,D372)&gt;1,"DEVOLUCION DUPLICADA",IF(COUNTIFS(SALIDAS!$B$2:$B$1000,B372,SALIDAS!$D$2:$D$1000,D372,SALIDAS!$G$2:$G$1000,"OK*")=0,"NO FIGURA EN SALIDA","OK"))))</f>
        <v/>
      </c>
    </row>
    <row r="373">
      <c r="A373" s="9" t="inlineStr"/>
      <c r="B373" s="2" t="inlineStr"/>
      <c r="C373" s="2" t="inlineStr"/>
      <c r="D373" s="2" t="inlineStr"/>
      <c r="E373" s="2">
        <f>IF(D373="","",IFERROR(XLOOKUP(TRIM(D373),INVENTARIO!$A$2:$A$2000,INVENTARIO!$B$2:$B$2000),"NO ENCONTRADO"))</f>
        <v/>
      </c>
      <c r="F373" s="2">
        <f>IF(D373="","",IF(E373="NO ENCONTRADO","CODIGO NO EXISTE",IF(COUNTIF($D$2:D373,D373)&gt;1,"DEVOLUCION DUPLICADA",IF(COUNTIFS(SALIDAS!$B$2:$B$1000,B373,SALIDAS!$D$2:$D$1000,D373,SALIDAS!$G$2:$G$1000,"OK*")=0,"NO FIGURA EN SALIDA","OK"))))</f>
        <v/>
      </c>
    </row>
    <row r="374">
      <c r="A374" s="9" t="inlineStr"/>
      <c r="B374" s="2" t="inlineStr"/>
      <c r="C374" s="2" t="inlineStr"/>
      <c r="D374" s="2" t="inlineStr"/>
      <c r="E374" s="2">
        <f>IF(D374="","",IFERROR(XLOOKUP(TRIM(D374),INVENTARIO!$A$2:$A$2000,INVENTARIO!$B$2:$B$2000),"NO ENCONTRADO"))</f>
        <v/>
      </c>
      <c r="F374" s="2">
        <f>IF(D374="","",IF(E374="NO ENCONTRADO","CODIGO NO EXISTE",IF(COUNTIF($D$2:D374,D374)&gt;1,"DEVOLUCION DUPLICADA",IF(COUNTIFS(SALIDAS!$B$2:$B$1000,B374,SALIDAS!$D$2:$D$1000,D374,SALIDAS!$G$2:$G$1000,"OK*")=0,"NO FIGURA EN SALIDA","OK"))))</f>
        <v/>
      </c>
    </row>
    <row r="375">
      <c r="A375" s="9" t="inlineStr"/>
      <c r="B375" s="2" t="inlineStr"/>
      <c r="C375" s="2" t="inlineStr"/>
      <c r="D375" s="2" t="inlineStr"/>
      <c r="E375" s="2">
        <f>IF(D375="","",IFERROR(XLOOKUP(TRIM(D375),INVENTARIO!$A$2:$A$2000,INVENTARIO!$B$2:$B$2000),"NO ENCONTRADO"))</f>
        <v/>
      </c>
      <c r="F375" s="2">
        <f>IF(D375="","",IF(E375="NO ENCONTRADO","CODIGO NO EXISTE",IF(COUNTIF($D$2:D375,D375)&gt;1,"DEVOLUCION DUPLICADA",IF(COUNTIFS(SALIDAS!$B$2:$B$1000,B375,SALIDAS!$D$2:$D$1000,D375,SALIDAS!$G$2:$G$1000,"OK*")=0,"NO FIGURA EN SALIDA","OK"))))</f>
        <v/>
      </c>
    </row>
    <row r="376">
      <c r="A376" s="9" t="inlineStr"/>
      <c r="B376" s="2" t="inlineStr"/>
      <c r="C376" s="2" t="inlineStr"/>
      <c r="D376" s="2" t="inlineStr"/>
      <c r="E376" s="2">
        <f>IF(D376="","",IFERROR(XLOOKUP(TRIM(D376),INVENTARIO!$A$2:$A$2000,INVENTARIO!$B$2:$B$2000),"NO ENCONTRADO"))</f>
        <v/>
      </c>
      <c r="F376" s="2">
        <f>IF(D376="","",IF(E376="NO ENCONTRADO","CODIGO NO EXISTE",IF(COUNTIF($D$2:D376,D376)&gt;1,"DEVOLUCION DUPLICADA",IF(COUNTIFS(SALIDAS!$B$2:$B$1000,B376,SALIDAS!$D$2:$D$1000,D376,SALIDAS!$G$2:$G$1000,"OK*")=0,"NO FIGURA EN SALIDA","OK"))))</f>
        <v/>
      </c>
    </row>
    <row r="377">
      <c r="A377" s="9" t="inlineStr"/>
      <c r="B377" s="2" t="inlineStr"/>
      <c r="C377" s="2" t="inlineStr"/>
      <c r="D377" s="2" t="inlineStr"/>
      <c r="E377" s="2">
        <f>IF(D377="","",IFERROR(XLOOKUP(TRIM(D377),INVENTARIO!$A$2:$A$2000,INVENTARIO!$B$2:$B$2000),"NO ENCONTRADO"))</f>
        <v/>
      </c>
      <c r="F377" s="2">
        <f>IF(D377="","",IF(E377="NO ENCONTRADO","CODIGO NO EXISTE",IF(COUNTIF($D$2:D377,D377)&gt;1,"DEVOLUCION DUPLICADA",IF(COUNTIFS(SALIDAS!$B$2:$B$1000,B377,SALIDAS!$D$2:$D$1000,D377,SALIDAS!$G$2:$G$1000,"OK*")=0,"NO FIGURA EN SALIDA","OK"))))</f>
        <v/>
      </c>
    </row>
    <row r="378">
      <c r="A378" s="9" t="inlineStr"/>
      <c r="B378" s="2" t="inlineStr"/>
      <c r="C378" s="2" t="inlineStr"/>
      <c r="D378" s="2" t="inlineStr"/>
      <c r="E378" s="2">
        <f>IF(D378="","",IFERROR(XLOOKUP(TRIM(D378),INVENTARIO!$A$2:$A$2000,INVENTARIO!$B$2:$B$2000),"NO ENCONTRADO"))</f>
        <v/>
      </c>
      <c r="F378" s="2">
        <f>IF(D378="","",IF(E378="NO ENCONTRADO","CODIGO NO EXISTE",IF(COUNTIF($D$2:D378,D378)&gt;1,"DEVOLUCION DUPLICADA",IF(COUNTIFS(SALIDAS!$B$2:$B$1000,B378,SALIDAS!$D$2:$D$1000,D378,SALIDAS!$G$2:$G$1000,"OK*")=0,"NO FIGURA EN SALIDA","OK"))))</f>
        <v/>
      </c>
    </row>
    <row r="379">
      <c r="A379" s="9" t="inlineStr"/>
      <c r="B379" s="2" t="inlineStr"/>
      <c r="C379" s="2" t="inlineStr"/>
      <c r="D379" s="2" t="inlineStr"/>
      <c r="E379" s="2">
        <f>IF(D379="","",IFERROR(XLOOKUP(TRIM(D379),INVENTARIO!$A$2:$A$2000,INVENTARIO!$B$2:$B$2000),"NO ENCONTRADO"))</f>
        <v/>
      </c>
      <c r="F379" s="2">
        <f>IF(D379="","",IF(E379="NO ENCONTRADO","CODIGO NO EXISTE",IF(COUNTIF($D$2:D379,D379)&gt;1,"DEVOLUCION DUPLICADA",IF(COUNTIFS(SALIDAS!$B$2:$B$1000,B379,SALIDAS!$D$2:$D$1000,D379,SALIDAS!$G$2:$G$1000,"OK*")=0,"NO FIGURA EN SALIDA","OK"))))</f>
        <v/>
      </c>
    </row>
    <row r="380">
      <c r="A380" s="9" t="inlineStr"/>
      <c r="B380" s="2" t="inlineStr"/>
      <c r="C380" s="2" t="inlineStr"/>
      <c r="D380" s="2" t="inlineStr"/>
      <c r="E380" s="2">
        <f>IF(D380="","",IFERROR(XLOOKUP(TRIM(D380),INVENTARIO!$A$2:$A$2000,INVENTARIO!$B$2:$B$2000),"NO ENCONTRADO"))</f>
        <v/>
      </c>
      <c r="F380" s="2">
        <f>IF(D380="","",IF(E380="NO ENCONTRADO","CODIGO NO EXISTE",IF(COUNTIF($D$2:D380,D380)&gt;1,"DEVOLUCION DUPLICADA",IF(COUNTIFS(SALIDAS!$B$2:$B$1000,B380,SALIDAS!$D$2:$D$1000,D380,SALIDAS!$G$2:$G$1000,"OK*")=0,"NO FIGURA EN SALIDA","OK"))))</f>
        <v/>
      </c>
    </row>
    <row r="381">
      <c r="A381" s="9" t="inlineStr"/>
      <c r="B381" s="2" t="inlineStr"/>
      <c r="C381" s="2" t="inlineStr"/>
      <c r="D381" s="2" t="inlineStr"/>
      <c r="E381" s="2">
        <f>IF(D381="","",IFERROR(XLOOKUP(TRIM(D381),INVENTARIO!$A$2:$A$2000,INVENTARIO!$B$2:$B$2000),"NO ENCONTRADO"))</f>
        <v/>
      </c>
      <c r="F381" s="2">
        <f>IF(D381="","",IF(E381="NO ENCONTRADO","CODIGO NO EXISTE",IF(COUNTIF($D$2:D381,D381)&gt;1,"DEVOLUCION DUPLICADA",IF(COUNTIFS(SALIDAS!$B$2:$B$1000,B381,SALIDAS!$D$2:$D$1000,D381,SALIDAS!$G$2:$G$1000,"OK*")=0,"NO FIGURA EN SALIDA","OK"))))</f>
        <v/>
      </c>
    </row>
    <row r="382">
      <c r="A382" s="9" t="inlineStr"/>
      <c r="B382" s="2" t="inlineStr"/>
      <c r="C382" s="2" t="inlineStr"/>
      <c r="D382" s="2" t="inlineStr"/>
      <c r="E382" s="2">
        <f>IF(D382="","",IFERROR(XLOOKUP(TRIM(D382),INVENTARIO!$A$2:$A$2000,INVENTARIO!$B$2:$B$2000),"NO ENCONTRADO"))</f>
        <v/>
      </c>
      <c r="F382" s="2">
        <f>IF(D382="","",IF(E382="NO ENCONTRADO","CODIGO NO EXISTE",IF(COUNTIF($D$2:D382,D382)&gt;1,"DEVOLUCION DUPLICADA",IF(COUNTIFS(SALIDAS!$B$2:$B$1000,B382,SALIDAS!$D$2:$D$1000,D382,SALIDAS!$G$2:$G$1000,"OK*")=0,"NO FIGURA EN SALIDA","OK"))))</f>
        <v/>
      </c>
    </row>
    <row r="383">
      <c r="A383" s="9" t="inlineStr"/>
      <c r="B383" s="2" t="inlineStr"/>
      <c r="C383" s="2" t="inlineStr"/>
      <c r="D383" s="2" t="inlineStr"/>
      <c r="E383" s="2">
        <f>IF(D383="","",IFERROR(XLOOKUP(TRIM(D383),INVENTARIO!$A$2:$A$2000,INVENTARIO!$B$2:$B$2000),"NO ENCONTRADO"))</f>
        <v/>
      </c>
      <c r="F383" s="2">
        <f>IF(D383="","",IF(E383="NO ENCONTRADO","CODIGO NO EXISTE",IF(COUNTIF($D$2:D383,D383)&gt;1,"DEVOLUCION DUPLICADA",IF(COUNTIFS(SALIDAS!$B$2:$B$1000,B383,SALIDAS!$D$2:$D$1000,D383,SALIDAS!$G$2:$G$1000,"OK*")=0,"NO FIGURA EN SALIDA","OK"))))</f>
        <v/>
      </c>
    </row>
    <row r="384">
      <c r="A384" s="9" t="inlineStr"/>
      <c r="B384" s="2" t="inlineStr"/>
      <c r="C384" s="2" t="inlineStr"/>
      <c r="D384" s="2" t="inlineStr"/>
      <c r="E384" s="2">
        <f>IF(D384="","",IFERROR(XLOOKUP(TRIM(D384),INVENTARIO!$A$2:$A$2000,INVENTARIO!$B$2:$B$2000),"NO ENCONTRADO"))</f>
        <v/>
      </c>
      <c r="F384" s="2">
        <f>IF(D384="","",IF(E384="NO ENCONTRADO","CODIGO NO EXISTE",IF(COUNTIF($D$2:D384,D384)&gt;1,"DEVOLUCION DUPLICADA",IF(COUNTIFS(SALIDAS!$B$2:$B$1000,B384,SALIDAS!$D$2:$D$1000,D384,SALIDAS!$G$2:$G$1000,"OK*")=0,"NO FIGURA EN SALIDA","OK"))))</f>
        <v/>
      </c>
    </row>
    <row r="385">
      <c r="A385" s="9" t="inlineStr"/>
      <c r="B385" s="2" t="inlineStr"/>
      <c r="C385" s="2" t="inlineStr"/>
      <c r="D385" s="2" t="inlineStr"/>
      <c r="E385" s="2">
        <f>IF(D385="","",IFERROR(XLOOKUP(TRIM(D385),INVENTARIO!$A$2:$A$2000,INVENTARIO!$B$2:$B$2000),"NO ENCONTRADO"))</f>
        <v/>
      </c>
      <c r="F385" s="2">
        <f>IF(D385="","",IF(E385="NO ENCONTRADO","CODIGO NO EXISTE",IF(COUNTIF($D$2:D385,D385)&gt;1,"DEVOLUCION DUPLICADA",IF(COUNTIFS(SALIDAS!$B$2:$B$1000,B385,SALIDAS!$D$2:$D$1000,D385,SALIDAS!$G$2:$G$1000,"OK*")=0,"NO FIGURA EN SALIDA","OK"))))</f>
        <v/>
      </c>
    </row>
    <row r="386">
      <c r="A386" s="9" t="inlineStr"/>
      <c r="B386" s="2" t="inlineStr"/>
      <c r="C386" s="2" t="inlineStr"/>
      <c r="D386" s="2" t="inlineStr"/>
      <c r="E386" s="2">
        <f>IF(D386="","",IFERROR(XLOOKUP(TRIM(D386),INVENTARIO!$A$2:$A$2000,INVENTARIO!$B$2:$B$2000),"NO ENCONTRADO"))</f>
        <v/>
      </c>
      <c r="F386" s="2">
        <f>IF(D386="","",IF(E386="NO ENCONTRADO","CODIGO NO EXISTE",IF(COUNTIF($D$2:D386,D386)&gt;1,"DEVOLUCION DUPLICADA",IF(COUNTIFS(SALIDAS!$B$2:$B$1000,B386,SALIDAS!$D$2:$D$1000,D386,SALIDAS!$G$2:$G$1000,"OK*")=0,"NO FIGURA EN SALIDA","OK"))))</f>
        <v/>
      </c>
    </row>
    <row r="387">
      <c r="A387" s="9" t="inlineStr"/>
      <c r="B387" s="2" t="inlineStr"/>
      <c r="C387" s="2" t="inlineStr"/>
      <c r="D387" s="2" t="inlineStr"/>
      <c r="E387" s="2">
        <f>IF(D387="","",IFERROR(XLOOKUP(TRIM(D387),INVENTARIO!$A$2:$A$2000,INVENTARIO!$B$2:$B$2000),"NO ENCONTRADO"))</f>
        <v/>
      </c>
      <c r="F387" s="2">
        <f>IF(D387="","",IF(E387="NO ENCONTRADO","CODIGO NO EXISTE",IF(COUNTIF($D$2:D387,D387)&gt;1,"DEVOLUCION DUPLICADA",IF(COUNTIFS(SALIDAS!$B$2:$B$1000,B387,SALIDAS!$D$2:$D$1000,D387,SALIDAS!$G$2:$G$1000,"OK*")=0,"NO FIGURA EN SALIDA","OK"))))</f>
        <v/>
      </c>
    </row>
    <row r="388">
      <c r="A388" s="9" t="inlineStr"/>
      <c r="B388" s="2" t="inlineStr"/>
      <c r="C388" s="2" t="inlineStr"/>
      <c r="D388" s="2" t="inlineStr"/>
      <c r="E388" s="2">
        <f>IF(D388="","",IFERROR(XLOOKUP(TRIM(D388),INVENTARIO!$A$2:$A$2000,INVENTARIO!$B$2:$B$2000),"NO ENCONTRADO"))</f>
        <v/>
      </c>
      <c r="F388" s="2">
        <f>IF(D388="","",IF(E388="NO ENCONTRADO","CODIGO NO EXISTE",IF(COUNTIF($D$2:D388,D388)&gt;1,"DEVOLUCION DUPLICADA",IF(COUNTIFS(SALIDAS!$B$2:$B$1000,B388,SALIDAS!$D$2:$D$1000,D388,SALIDAS!$G$2:$G$1000,"OK*")=0,"NO FIGURA EN SALIDA","OK"))))</f>
        <v/>
      </c>
    </row>
    <row r="389">
      <c r="A389" s="9" t="inlineStr"/>
      <c r="B389" s="2" t="inlineStr"/>
      <c r="C389" s="2" t="inlineStr"/>
      <c r="D389" s="2" t="inlineStr"/>
      <c r="E389" s="2">
        <f>IF(D389="","",IFERROR(XLOOKUP(TRIM(D389),INVENTARIO!$A$2:$A$2000,INVENTARIO!$B$2:$B$2000),"NO ENCONTRADO"))</f>
        <v/>
      </c>
      <c r="F389" s="2">
        <f>IF(D389="","",IF(E389="NO ENCONTRADO","CODIGO NO EXISTE",IF(COUNTIF($D$2:D389,D389)&gt;1,"DEVOLUCION DUPLICADA",IF(COUNTIFS(SALIDAS!$B$2:$B$1000,B389,SALIDAS!$D$2:$D$1000,D389,SALIDAS!$G$2:$G$1000,"OK*")=0,"NO FIGURA EN SALIDA","OK"))))</f>
        <v/>
      </c>
    </row>
    <row r="390">
      <c r="A390" s="9" t="inlineStr"/>
      <c r="B390" s="2" t="inlineStr"/>
      <c r="C390" s="2" t="inlineStr"/>
      <c r="D390" s="2" t="inlineStr"/>
      <c r="E390" s="2">
        <f>IF(D390="","",IFERROR(XLOOKUP(TRIM(D390),INVENTARIO!$A$2:$A$2000,INVENTARIO!$B$2:$B$2000),"NO ENCONTRADO"))</f>
        <v/>
      </c>
      <c r="F390" s="2">
        <f>IF(D390="","",IF(E390="NO ENCONTRADO","CODIGO NO EXISTE",IF(COUNTIF($D$2:D390,D390)&gt;1,"DEVOLUCION DUPLICADA",IF(COUNTIFS(SALIDAS!$B$2:$B$1000,B390,SALIDAS!$D$2:$D$1000,D390,SALIDAS!$G$2:$G$1000,"OK*")=0,"NO FIGURA EN SALIDA","OK"))))</f>
        <v/>
      </c>
    </row>
    <row r="391">
      <c r="A391" s="9" t="inlineStr"/>
      <c r="B391" s="2" t="inlineStr"/>
      <c r="C391" s="2" t="inlineStr"/>
      <c r="D391" s="2" t="inlineStr"/>
      <c r="E391" s="2">
        <f>IF(D391="","",IFERROR(XLOOKUP(TRIM(D391),INVENTARIO!$A$2:$A$2000,INVENTARIO!$B$2:$B$2000),"NO ENCONTRADO"))</f>
        <v/>
      </c>
      <c r="F391" s="2">
        <f>IF(D391="","",IF(E391="NO ENCONTRADO","CODIGO NO EXISTE",IF(COUNTIF($D$2:D391,D391)&gt;1,"DEVOLUCION DUPLICADA",IF(COUNTIFS(SALIDAS!$B$2:$B$1000,B391,SALIDAS!$D$2:$D$1000,D391,SALIDAS!$G$2:$G$1000,"OK*")=0,"NO FIGURA EN SALIDA","OK"))))</f>
        <v/>
      </c>
    </row>
    <row r="392">
      <c r="A392" s="9" t="inlineStr"/>
      <c r="B392" s="2" t="inlineStr"/>
      <c r="C392" s="2" t="inlineStr"/>
      <c r="D392" s="2" t="inlineStr"/>
      <c r="E392" s="2">
        <f>IF(D392="","",IFERROR(XLOOKUP(TRIM(D392),INVENTARIO!$A$2:$A$2000,INVENTARIO!$B$2:$B$2000),"NO ENCONTRADO"))</f>
        <v/>
      </c>
      <c r="F392" s="2">
        <f>IF(D392="","",IF(E392="NO ENCONTRADO","CODIGO NO EXISTE",IF(COUNTIF($D$2:D392,D392)&gt;1,"DEVOLUCION DUPLICADA",IF(COUNTIFS(SALIDAS!$B$2:$B$1000,B392,SALIDAS!$D$2:$D$1000,D392,SALIDAS!$G$2:$G$1000,"OK*")=0,"NO FIGURA EN SALIDA","OK"))))</f>
        <v/>
      </c>
    </row>
    <row r="393">
      <c r="A393" s="9" t="inlineStr"/>
      <c r="B393" s="2" t="inlineStr"/>
      <c r="C393" s="2" t="inlineStr"/>
      <c r="D393" s="2" t="inlineStr"/>
      <c r="E393" s="2">
        <f>IF(D393="","",IFERROR(XLOOKUP(TRIM(D393),INVENTARIO!$A$2:$A$2000,INVENTARIO!$B$2:$B$2000),"NO ENCONTRADO"))</f>
        <v/>
      </c>
      <c r="F393" s="2">
        <f>IF(D393="","",IF(E393="NO ENCONTRADO","CODIGO NO EXISTE",IF(COUNTIF($D$2:D393,D393)&gt;1,"DEVOLUCION DUPLICADA",IF(COUNTIFS(SALIDAS!$B$2:$B$1000,B393,SALIDAS!$D$2:$D$1000,D393,SALIDAS!$G$2:$G$1000,"OK*")=0,"NO FIGURA EN SALIDA","OK"))))</f>
        <v/>
      </c>
    </row>
    <row r="394">
      <c r="A394" s="9" t="inlineStr"/>
      <c r="B394" s="2" t="inlineStr"/>
      <c r="C394" s="2" t="inlineStr"/>
      <c r="D394" s="2" t="inlineStr"/>
      <c r="E394" s="2">
        <f>IF(D394="","",IFERROR(XLOOKUP(TRIM(D394),INVENTARIO!$A$2:$A$2000,INVENTARIO!$B$2:$B$2000),"NO ENCONTRADO"))</f>
        <v/>
      </c>
      <c r="F394" s="2">
        <f>IF(D394="","",IF(E394="NO ENCONTRADO","CODIGO NO EXISTE",IF(COUNTIF($D$2:D394,D394)&gt;1,"DEVOLUCION DUPLICADA",IF(COUNTIFS(SALIDAS!$B$2:$B$1000,B394,SALIDAS!$D$2:$D$1000,D394,SALIDAS!$G$2:$G$1000,"OK*")=0,"NO FIGURA EN SALIDA","OK"))))</f>
        <v/>
      </c>
    </row>
    <row r="395">
      <c r="A395" s="9" t="inlineStr"/>
      <c r="B395" s="2" t="inlineStr"/>
      <c r="C395" s="2" t="inlineStr"/>
      <c r="D395" s="2" t="inlineStr"/>
      <c r="E395" s="2">
        <f>IF(D395="","",IFERROR(XLOOKUP(TRIM(D395),INVENTARIO!$A$2:$A$2000,INVENTARIO!$B$2:$B$2000),"NO ENCONTRADO"))</f>
        <v/>
      </c>
      <c r="F395" s="2">
        <f>IF(D395="","",IF(E395="NO ENCONTRADO","CODIGO NO EXISTE",IF(COUNTIF($D$2:D395,D395)&gt;1,"DEVOLUCION DUPLICADA",IF(COUNTIFS(SALIDAS!$B$2:$B$1000,B395,SALIDAS!$D$2:$D$1000,D395,SALIDAS!$G$2:$G$1000,"OK*")=0,"NO FIGURA EN SALIDA","OK"))))</f>
        <v/>
      </c>
    </row>
    <row r="396">
      <c r="A396" s="9" t="inlineStr"/>
      <c r="B396" s="2" t="inlineStr"/>
      <c r="C396" s="2" t="inlineStr"/>
      <c r="D396" s="2" t="inlineStr"/>
      <c r="E396" s="2">
        <f>IF(D396="","",IFERROR(XLOOKUP(TRIM(D396),INVENTARIO!$A$2:$A$2000,INVENTARIO!$B$2:$B$2000),"NO ENCONTRADO"))</f>
        <v/>
      </c>
      <c r="F396" s="2">
        <f>IF(D396="","",IF(E396="NO ENCONTRADO","CODIGO NO EXISTE",IF(COUNTIF($D$2:D396,D396)&gt;1,"DEVOLUCION DUPLICADA",IF(COUNTIFS(SALIDAS!$B$2:$B$1000,B396,SALIDAS!$D$2:$D$1000,D396,SALIDAS!$G$2:$G$1000,"OK*")=0,"NO FIGURA EN SALIDA","OK"))))</f>
        <v/>
      </c>
    </row>
    <row r="397">
      <c r="A397" s="9" t="inlineStr"/>
      <c r="B397" s="2" t="inlineStr"/>
      <c r="C397" s="2" t="inlineStr"/>
      <c r="D397" s="2" t="inlineStr"/>
      <c r="E397" s="2">
        <f>IF(D397="","",IFERROR(XLOOKUP(TRIM(D397),INVENTARIO!$A$2:$A$2000,INVENTARIO!$B$2:$B$2000),"NO ENCONTRADO"))</f>
        <v/>
      </c>
      <c r="F397" s="2">
        <f>IF(D397="","",IF(E397="NO ENCONTRADO","CODIGO NO EXISTE",IF(COUNTIF($D$2:D397,D397)&gt;1,"DEVOLUCION DUPLICADA",IF(COUNTIFS(SALIDAS!$B$2:$B$1000,B397,SALIDAS!$D$2:$D$1000,D397,SALIDAS!$G$2:$G$1000,"OK*")=0,"NO FIGURA EN SALIDA","OK"))))</f>
        <v/>
      </c>
    </row>
    <row r="398">
      <c r="A398" s="9" t="inlineStr"/>
      <c r="B398" s="2" t="inlineStr"/>
      <c r="C398" s="2" t="inlineStr"/>
      <c r="D398" s="2" t="inlineStr"/>
      <c r="E398" s="2">
        <f>IF(D398="","",IFERROR(XLOOKUP(TRIM(D398),INVENTARIO!$A$2:$A$2000,INVENTARIO!$B$2:$B$2000),"NO ENCONTRADO"))</f>
        <v/>
      </c>
      <c r="F398" s="2">
        <f>IF(D398="","",IF(E398="NO ENCONTRADO","CODIGO NO EXISTE",IF(COUNTIF($D$2:D398,D398)&gt;1,"DEVOLUCION DUPLICADA",IF(COUNTIFS(SALIDAS!$B$2:$B$1000,B398,SALIDAS!$D$2:$D$1000,D398,SALIDAS!$G$2:$G$1000,"OK*")=0,"NO FIGURA EN SALIDA","OK"))))</f>
        <v/>
      </c>
    </row>
    <row r="399">
      <c r="A399" s="9" t="inlineStr"/>
      <c r="B399" s="2" t="inlineStr"/>
      <c r="C399" s="2" t="inlineStr"/>
      <c r="D399" s="2" t="inlineStr"/>
      <c r="E399" s="2">
        <f>IF(D399="","",IFERROR(XLOOKUP(TRIM(D399),INVENTARIO!$A$2:$A$2000,INVENTARIO!$B$2:$B$2000),"NO ENCONTRADO"))</f>
        <v/>
      </c>
      <c r="F399" s="2">
        <f>IF(D399="","",IF(E399="NO ENCONTRADO","CODIGO NO EXISTE",IF(COUNTIF($D$2:D399,D399)&gt;1,"DEVOLUCION DUPLICADA",IF(COUNTIFS(SALIDAS!$B$2:$B$1000,B399,SALIDAS!$D$2:$D$1000,D399,SALIDAS!$G$2:$G$1000,"OK*")=0,"NO FIGURA EN SALIDA","OK"))))</f>
        <v/>
      </c>
    </row>
    <row r="400">
      <c r="A400" s="9" t="inlineStr"/>
      <c r="B400" s="2" t="inlineStr"/>
      <c r="C400" s="2" t="inlineStr"/>
      <c r="D400" s="2" t="inlineStr"/>
      <c r="E400" s="2">
        <f>IF(D400="","",IFERROR(XLOOKUP(TRIM(D400),INVENTARIO!$A$2:$A$2000,INVENTARIO!$B$2:$B$2000),"NO ENCONTRADO"))</f>
        <v/>
      </c>
      <c r="F400" s="2">
        <f>IF(D400="","",IF(E400="NO ENCONTRADO","CODIGO NO EXISTE",IF(COUNTIF($D$2:D400,D400)&gt;1,"DEVOLUCION DUPLICADA",IF(COUNTIFS(SALIDAS!$B$2:$B$1000,B400,SALIDAS!$D$2:$D$1000,D400,SALIDAS!$G$2:$G$1000,"OK*")=0,"NO FIGURA EN SALIDA","OK"))))</f>
        <v/>
      </c>
    </row>
    <row r="401">
      <c r="A401" s="9" t="inlineStr"/>
      <c r="B401" s="2" t="inlineStr"/>
      <c r="C401" s="2" t="inlineStr"/>
      <c r="D401" s="2" t="inlineStr"/>
      <c r="E401" s="2">
        <f>IF(D401="","",IFERROR(XLOOKUP(TRIM(D401),INVENTARIO!$A$2:$A$2000,INVENTARIO!$B$2:$B$2000),"NO ENCONTRADO"))</f>
        <v/>
      </c>
      <c r="F401" s="2">
        <f>IF(D401="","",IF(E401="NO ENCONTRADO","CODIGO NO EXISTE",IF(COUNTIF($D$2:D401,D401)&gt;1,"DEVOLUCION DUPLICADA",IF(COUNTIFS(SALIDAS!$B$2:$B$1000,B401,SALIDAS!$D$2:$D$1000,D401,SALIDAS!$G$2:$G$1000,"OK*")=0,"NO FIGURA EN SALIDA","OK"))))</f>
        <v/>
      </c>
    </row>
    <row r="402">
      <c r="A402" s="9" t="inlineStr"/>
      <c r="B402" s="2" t="inlineStr"/>
      <c r="C402" s="2" t="inlineStr"/>
      <c r="D402" s="2" t="inlineStr"/>
      <c r="E402" s="2">
        <f>IF(D402="","",IFERROR(XLOOKUP(TRIM(D402),INVENTARIO!$A$2:$A$2000,INVENTARIO!$B$2:$B$2000),"NO ENCONTRADO"))</f>
        <v/>
      </c>
      <c r="F402" s="2">
        <f>IF(D402="","",IF(E402="NO ENCONTRADO","CODIGO NO EXISTE",IF(COUNTIF($D$2:D402,D402)&gt;1,"DEVOLUCION DUPLICADA",IF(COUNTIFS(SALIDAS!$B$2:$B$1000,B402,SALIDAS!$D$2:$D$1000,D402,SALIDAS!$G$2:$G$1000,"OK*")=0,"NO FIGURA EN SALIDA","OK"))))</f>
        <v/>
      </c>
    </row>
    <row r="403">
      <c r="A403" s="9" t="inlineStr"/>
      <c r="B403" s="2" t="inlineStr"/>
      <c r="C403" s="2" t="inlineStr"/>
      <c r="D403" s="2" t="inlineStr"/>
      <c r="E403" s="2">
        <f>IF(D403="","",IFERROR(XLOOKUP(TRIM(D403),INVENTARIO!$A$2:$A$2000,INVENTARIO!$B$2:$B$2000),"NO ENCONTRADO"))</f>
        <v/>
      </c>
      <c r="F403" s="2">
        <f>IF(D403="","",IF(E403="NO ENCONTRADO","CODIGO NO EXISTE",IF(COUNTIF($D$2:D403,D403)&gt;1,"DEVOLUCION DUPLICADA",IF(COUNTIFS(SALIDAS!$B$2:$B$1000,B403,SALIDAS!$D$2:$D$1000,D403,SALIDAS!$G$2:$G$1000,"OK*")=0,"NO FIGURA EN SALIDA","OK"))))</f>
        <v/>
      </c>
    </row>
    <row r="404">
      <c r="A404" s="9" t="inlineStr"/>
      <c r="B404" s="2" t="inlineStr"/>
      <c r="C404" s="2" t="inlineStr"/>
      <c r="D404" s="2" t="inlineStr"/>
      <c r="E404" s="2">
        <f>IF(D404="","",IFERROR(XLOOKUP(TRIM(D404),INVENTARIO!$A$2:$A$2000,INVENTARIO!$B$2:$B$2000),"NO ENCONTRADO"))</f>
        <v/>
      </c>
      <c r="F404" s="2">
        <f>IF(D404="","",IF(E404="NO ENCONTRADO","CODIGO NO EXISTE",IF(COUNTIF($D$2:D404,D404)&gt;1,"DEVOLUCION DUPLICADA",IF(COUNTIFS(SALIDAS!$B$2:$B$1000,B404,SALIDAS!$D$2:$D$1000,D404,SALIDAS!$G$2:$G$1000,"OK*")=0,"NO FIGURA EN SALIDA","OK"))))</f>
        <v/>
      </c>
    </row>
    <row r="405">
      <c r="A405" s="9" t="inlineStr"/>
      <c r="B405" s="2" t="inlineStr"/>
      <c r="C405" s="2" t="inlineStr"/>
      <c r="D405" s="2" t="inlineStr"/>
      <c r="E405" s="2">
        <f>IF(D405="","",IFERROR(XLOOKUP(TRIM(D405),INVENTARIO!$A$2:$A$2000,INVENTARIO!$B$2:$B$2000),"NO ENCONTRADO"))</f>
        <v/>
      </c>
      <c r="F405" s="2">
        <f>IF(D405="","",IF(E405="NO ENCONTRADO","CODIGO NO EXISTE",IF(COUNTIF($D$2:D405,D405)&gt;1,"DEVOLUCION DUPLICADA",IF(COUNTIFS(SALIDAS!$B$2:$B$1000,B405,SALIDAS!$D$2:$D$1000,D405,SALIDAS!$G$2:$G$1000,"OK*")=0,"NO FIGURA EN SALIDA","OK"))))</f>
        <v/>
      </c>
    </row>
    <row r="406">
      <c r="A406" s="9" t="inlineStr"/>
      <c r="B406" s="2" t="inlineStr"/>
      <c r="C406" s="2" t="inlineStr"/>
      <c r="D406" s="2" t="inlineStr"/>
      <c r="E406" s="2">
        <f>IF(D406="","",IFERROR(XLOOKUP(TRIM(D406),INVENTARIO!$A$2:$A$2000,INVENTARIO!$B$2:$B$2000),"NO ENCONTRADO"))</f>
        <v/>
      </c>
      <c r="F406" s="2">
        <f>IF(D406="","",IF(E406="NO ENCONTRADO","CODIGO NO EXISTE",IF(COUNTIF($D$2:D406,D406)&gt;1,"DEVOLUCION DUPLICADA",IF(COUNTIFS(SALIDAS!$B$2:$B$1000,B406,SALIDAS!$D$2:$D$1000,D406,SALIDAS!$G$2:$G$1000,"OK*")=0,"NO FIGURA EN SALIDA","OK"))))</f>
        <v/>
      </c>
    </row>
    <row r="407">
      <c r="A407" s="9" t="inlineStr"/>
      <c r="B407" s="2" t="inlineStr"/>
      <c r="C407" s="2" t="inlineStr"/>
      <c r="D407" s="2" t="inlineStr"/>
      <c r="E407" s="2">
        <f>IF(D407="","",IFERROR(XLOOKUP(TRIM(D407),INVENTARIO!$A$2:$A$2000,INVENTARIO!$B$2:$B$2000),"NO ENCONTRADO"))</f>
        <v/>
      </c>
      <c r="F407" s="2">
        <f>IF(D407="","",IF(E407="NO ENCONTRADO","CODIGO NO EXISTE",IF(COUNTIF($D$2:D407,D407)&gt;1,"DEVOLUCION DUPLICADA",IF(COUNTIFS(SALIDAS!$B$2:$B$1000,B407,SALIDAS!$D$2:$D$1000,D407,SALIDAS!$G$2:$G$1000,"OK*")=0,"NO FIGURA EN SALIDA","OK"))))</f>
        <v/>
      </c>
    </row>
    <row r="408">
      <c r="A408" s="9" t="inlineStr"/>
      <c r="B408" s="2" t="inlineStr"/>
      <c r="C408" s="2" t="inlineStr"/>
      <c r="D408" s="2" t="inlineStr"/>
      <c r="E408" s="2">
        <f>IF(D408="","",IFERROR(XLOOKUP(TRIM(D408),INVENTARIO!$A$2:$A$2000,INVENTARIO!$B$2:$B$2000),"NO ENCONTRADO"))</f>
        <v/>
      </c>
      <c r="F408" s="2">
        <f>IF(D408="","",IF(E408="NO ENCONTRADO","CODIGO NO EXISTE",IF(COUNTIF($D$2:D408,D408)&gt;1,"DEVOLUCION DUPLICADA",IF(COUNTIFS(SALIDAS!$B$2:$B$1000,B408,SALIDAS!$D$2:$D$1000,D408,SALIDAS!$G$2:$G$1000,"OK*")=0,"NO FIGURA EN SALIDA","OK"))))</f>
        <v/>
      </c>
    </row>
    <row r="409">
      <c r="A409" s="9" t="inlineStr"/>
      <c r="B409" s="2" t="inlineStr"/>
      <c r="C409" s="2" t="inlineStr"/>
      <c r="D409" s="2" t="inlineStr"/>
      <c r="E409" s="2">
        <f>IF(D409="","",IFERROR(XLOOKUP(TRIM(D409),INVENTARIO!$A$2:$A$2000,INVENTARIO!$B$2:$B$2000),"NO ENCONTRADO"))</f>
        <v/>
      </c>
      <c r="F409" s="2">
        <f>IF(D409="","",IF(E409="NO ENCONTRADO","CODIGO NO EXISTE",IF(COUNTIF($D$2:D409,D409)&gt;1,"DEVOLUCION DUPLICADA",IF(COUNTIFS(SALIDAS!$B$2:$B$1000,B409,SALIDAS!$D$2:$D$1000,D409,SALIDAS!$G$2:$G$1000,"OK*")=0,"NO FIGURA EN SALIDA","OK"))))</f>
        <v/>
      </c>
    </row>
    <row r="410">
      <c r="A410" s="9" t="inlineStr"/>
      <c r="B410" s="2" t="inlineStr"/>
      <c r="C410" s="2" t="inlineStr"/>
      <c r="D410" s="2" t="inlineStr"/>
      <c r="E410" s="2">
        <f>IF(D410="","",IFERROR(XLOOKUP(TRIM(D410),INVENTARIO!$A$2:$A$2000,INVENTARIO!$B$2:$B$2000),"NO ENCONTRADO"))</f>
        <v/>
      </c>
      <c r="F410" s="2">
        <f>IF(D410="","",IF(E410="NO ENCONTRADO","CODIGO NO EXISTE",IF(COUNTIF($D$2:D410,D410)&gt;1,"DEVOLUCION DUPLICADA",IF(COUNTIFS(SALIDAS!$B$2:$B$1000,B410,SALIDAS!$D$2:$D$1000,D410,SALIDAS!$G$2:$G$1000,"OK*")=0,"NO FIGURA EN SALIDA","OK"))))</f>
        <v/>
      </c>
    </row>
    <row r="411">
      <c r="A411" s="9" t="inlineStr"/>
      <c r="B411" s="2" t="inlineStr"/>
      <c r="C411" s="2" t="inlineStr"/>
      <c r="D411" s="2" t="inlineStr"/>
      <c r="E411" s="2">
        <f>IF(D411="","",IFERROR(XLOOKUP(TRIM(D411),INVENTARIO!$A$2:$A$2000,INVENTARIO!$B$2:$B$2000),"NO ENCONTRADO"))</f>
        <v/>
      </c>
      <c r="F411" s="2">
        <f>IF(D411="","",IF(E411="NO ENCONTRADO","CODIGO NO EXISTE",IF(COUNTIF($D$2:D411,D411)&gt;1,"DEVOLUCION DUPLICADA",IF(COUNTIFS(SALIDAS!$B$2:$B$1000,B411,SALIDAS!$D$2:$D$1000,D411,SALIDAS!$G$2:$G$1000,"OK*")=0,"NO FIGURA EN SALIDA","OK"))))</f>
        <v/>
      </c>
    </row>
    <row r="412">
      <c r="A412" s="9" t="inlineStr"/>
      <c r="B412" s="2" t="inlineStr"/>
      <c r="C412" s="2" t="inlineStr"/>
      <c r="D412" s="2" t="inlineStr"/>
      <c r="E412" s="2">
        <f>IF(D412="","",IFERROR(XLOOKUP(TRIM(D412),INVENTARIO!$A$2:$A$2000,INVENTARIO!$B$2:$B$2000),"NO ENCONTRADO"))</f>
        <v/>
      </c>
      <c r="F412" s="2">
        <f>IF(D412="","",IF(E412="NO ENCONTRADO","CODIGO NO EXISTE",IF(COUNTIF($D$2:D412,D412)&gt;1,"DEVOLUCION DUPLICADA",IF(COUNTIFS(SALIDAS!$B$2:$B$1000,B412,SALIDAS!$D$2:$D$1000,D412,SALIDAS!$G$2:$G$1000,"OK*")=0,"NO FIGURA EN SALIDA","OK"))))</f>
        <v/>
      </c>
    </row>
    <row r="413">
      <c r="A413" s="9" t="inlineStr"/>
      <c r="B413" s="2" t="inlineStr"/>
      <c r="C413" s="2" t="inlineStr"/>
      <c r="D413" s="2" t="inlineStr"/>
      <c r="E413" s="2">
        <f>IF(D413="","",IFERROR(XLOOKUP(TRIM(D413),INVENTARIO!$A$2:$A$2000,INVENTARIO!$B$2:$B$2000),"NO ENCONTRADO"))</f>
        <v/>
      </c>
      <c r="F413" s="2">
        <f>IF(D413="","",IF(E413="NO ENCONTRADO","CODIGO NO EXISTE",IF(COUNTIF($D$2:D413,D413)&gt;1,"DEVOLUCION DUPLICADA",IF(COUNTIFS(SALIDAS!$B$2:$B$1000,B413,SALIDAS!$D$2:$D$1000,D413,SALIDAS!$G$2:$G$1000,"OK*")=0,"NO FIGURA EN SALIDA","OK"))))</f>
        <v/>
      </c>
    </row>
    <row r="414">
      <c r="A414" s="9" t="inlineStr"/>
      <c r="B414" s="2" t="inlineStr"/>
      <c r="C414" s="2" t="inlineStr"/>
      <c r="D414" s="2" t="inlineStr"/>
      <c r="E414" s="2">
        <f>IF(D414="","",IFERROR(XLOOKUP(TRIM(D414),INVENTARIO!$A$2:$A$2000,INVENTARIO!$B$2:$B$2000),"NO ENCONTRADO"))</f>
        <v/>
      </c>
      <c r="F414" s="2">
        <f>IF(D414="","",IF(E414="NO ENCONTRADO","CODIGO NO EXISTE",IF(COUNTIF($D$2:D414,D414)&gt;1,"DEVOLUCION DUPLICADA",IF(COUNTIFS(SALIDAS!$B$2:$B$1000,B414,SALIDAS!$D$2:$D$1000,D414,SALIDAS!$G$2:$G$1000,"OK*")=0,"NO FIGURA EN SALIDA","OK"))))</f>
        <v/>
      </c>
    </row>
    <row r="415">
      <c r="A415" s="9" t="inlineStr"/>
      <c r="B415" s="2" t="inlineStr"/>
      <c r="C415" s="2" t="inlineStr"/>
      <c r="D415" s="2" t="inlineStr"/>
      <c r="E415" s="2">
        <f>IF(D415="","",IFERROR(XLOOKUP(TRIM(D415),INVENTARIO!$A$2:$A$2000,INVENTARIO!$B$2:$B$2000),"NO ENCONTRADO"))</f>
        <v/>
      </c>
      <c r="F415" s="2">
        <f>IF(D415="","",IF(E415="NO ENCONTRADO","CODIGO NO EXISTE",IF(COUNTIF($D$2:D415,D415)&gt;1,"DEVOLUCION DUPLICADA",IF(COUNTIFS(SALIDAS!$B$2:$B$1000,B415,SALIDAS!$D$2:$D$1000,D415,SALIDAS!$G$2:$G$1000,"OK*")=0,"NO FIGURA EN SALIDA","OK"))))</f>
        <v/>
      </c>
    </row>
    <row r="416">
      <c r="A416" s="9" t="inlineStr"/>
      <c r="B416" s="2" t="inlineStr"/>
      <c r="C416" s="2" t="inlineStr"/>
      <c r="D416" s="2" t="inlineStr"/>
      <c r="E416" s="2">
        <f>IF(D416="","",IFERROR(XLOOKUP(TRIM(D416),INVENTARIO!$A$2:$A$2000,INVENTARIO!$B$2:$B$2000),"NO ENCONTRADO"))</f>
        <v/>
      </c>
      <c r="F416" s="2">
        <f>IF(D416="","",IF(E416="NO ENCONTRADO","CODIGO NO EXISTE",IF(COUNTIF($D$2:D416,D416)&gt;1,"DEVOLUCION DUPLICADA",IF(COUNTIFS(SALIDAS!$B$2:$B$1000,B416,SALIDAS!$D$2:$D$1000,D416,SALIDAS!$G$2:$G$1000,"OK*")=0,"NO FIGURA EN SALIDA","OK"))))</f>
        <v/>
      </c>
    </row>
    <row r="417">
      <c r="A417" s="9" t="inlineStr"/>
      <c r="B417" s="2" t="inlineStr"/>
      <c r="C417" s="2" t="inlineStr"/>
      <c r="D417" s="2" t="inlineStr"/>
      <c r="E417" s="2">
        <f>IF(D417="","",IFERROR(XLOOKUP(TRIM(D417),INVENTARIO!$A$2:$A$2000,INVENTARIO!$B$2:$B$2000),"NO ENCONTRADO"))</f>
        <v/>
      </c>
      <c r="F417" s="2">
        <f>IF(D417="","",IF(E417="NO ENCONTRADO","CODIGO NO EXISTE",IF(COUNTIF($D$2:D417,D417)&gt;1,"DEVOLUCION DUPLICADA",IF(COUNTIFS(SALIDAS!$B$2:$B$1000,B417,SALIDAS!$D$2:$D$1000,D417,SALIDAS!$G$2:$G$1000,"OK*")=0,"NO FIGURA EN SALIDA","OK"))))</f>
        <v/>
      </c>
    </row>
    <row r="418">
      <c r="A418" s="9" t="inlineStr"/>
      <c r="B418" s="2" t="inlineStr"/>
      <c r="C418" s="2" t="inlineStr"/>
      <c r="D418" s="2" t="inlineStr"/>
      <c r="E418" s="2">
        <f>IF(D418="","",IFERROR(XLOOKUP(TRIM(D418),INVENTARIO!$A$2:$A$2000,INVENTARIO!$B$2:$B$2000),"NO ENCONTRADO"))</f>
        <v/>
      </c>
      <c r="F418" s="2">
        <f>IF(D418="","",IF(E418="NO ENCONTRADO","CODIGO NO EXISTE",IF(COUNTIF($D$2:D418,D418)&gt;1,"DEVOLUCION DUPLICADA",IF(COUNTIFS(SALIDAS!$B$2:$B$1000,B418,SALIDAS!$D$2:$D$1000,D418,SALIDAS!$G$2:$G$1000,"OK*")=0,"NO FIGURA EN SALIDA","OK"))))</f>
        <v/>
      </c>
    </row>
    <row r="419">
      <c r="A419" s="9" t="inlineStr"/>
      <c r="B419" s="2" t="inlineStr"/>
      <c r="C419" s="2" t="inlineStr"/>
      <c r="D419" s="2" t="inlineStr"/>
      <c r="E419" s="2">
        <f>IF(D419="","",IFERROR(XLOOKUP(TRIM(D419),INVENTARIO!$A$2:$A$2000,INVENTARIO!$B$2:$B$2000),"NO ENCONTRADO"))</f>
        <v/>
      </c>
      <c r="F419" s="2">
        <f>IF(D419="","",IF(E419="NO ENCONTRADO","CODIGO NO EXISTE",IF(COUNTIF($D$2:D419,D419)&gt;1,"DEVOLUCION DUPLICADA",IF(COUNTIFS(SALIDAS!$B$2:$B$1000,B419,SALIDAS!$D$2:$D$1000,D419,SALIDAS!$G$2:$G$1000,"OK*")=0,"NO FIGURA EN SALIDA","OK"))))</f>
        <v/>
      </c>
    </row>
    <row r="420">
      <c r="A420" s="9" t="inlineStr"/>
      <c r="B420" s="2" t="inlineStr"/>
      <c r="C420" s="2" t="inlineStr"/>
      <c r="D420" s="2" t="inlineStr"/>
      <c r="E420" s="2">
        <f>IF(D420="","",IFERROR(XLOOKUP(TRIM(D420),INVENTARIO!$A$2:$A$2000,INVENTARIO!$B$2:$B$2000),"NO ENCONTRADO"))</f>
        <v/>
      </c>
      <c r="F420" s="2">
        <f>IF(D420="","",IF(E420="NO ENCONTRADO","CODIGO NO EXISTE",IF(COUNTIF($D$2:D420,D420)&gt;1,"DEVOLUCION DUPLICADA",IF(COUNTIFS(SALIDAS!$B$2:$B$1000,B420,SALIDAS!$D$2:$D$1000,D420,SALIDAS!$G$2:$G$1000,"OK*")=0,"NO FIGURA EN SALIDA","OK"))))</f>
        <v/>
      </c>
    </row>
    <row r="421">
      <c r="A421" s="9" t="inlineStr"/>
      <c r="B421" s="2" t="inlineStr"/>
      <c r="C421" s="2" t="inlineStr"/>
      <c r="D421" s="2" t="inlineStr"/>
      <c r="E421" s="2">
        <f>IF(D421="","",IFERROR(XLOOKUP(TRIM(D421),INVENTARIO!$A$2:$A$2000,INVENTARIO!$B$2:$B$2000),"NO ENCONTRADO"))</f>
        <v/>
      </c>
      <c r="F421" s="2">
        <f>IF(D421="","",IF(E421="NO ENCONTRADO","CODIGO NO EXISTE",IF(COUNTIF($D$2:D421,D421)&gt;1,"DEVOLUCION DUPLICADA",IF(COUNTIFS(SALIDAS!$B$2:$B$1000,B421,SALIDAS!$D$2:$D$1000,D421,SALIDAS!$G$2:$G$1000,"OK*")=0,"NO FIGURA EN SALIDA","OK"))))</f>
        <v/>
      </c>
    </row>
    <row r="422">
      <c r="A422" s="9" t="inlineStr"/>
      <c r="B422" s="2" t="inlineStr"/>
      <c r="C422" s="2" t="inlineStr"/>
      <c r="D422" s="2" t="inlineStr"/>
      <c r="E422" s="2">
        <f>IF(D422="","",IFERROR(XLOOKUP(TRIM(D422),INVENTARIO!$A$2:$A$2000,INVENTARIO!$B$2:$B$2000),"NO ENCONTRADO"))</f>
        <v/>
      </c>
      <c r="F422" s="2">
        <f>IF(D422="","",IF(E422="NO ENCONTRADO","CODIGO NO EXISTE",IF(COUNTIF($D$2:D422,D422)&gt;1,"DEVOLUCION DUPLICADA",IF(COUNTIFS(SALIDAS!$B$2:$B$1000,B422,SALIDAS!$D$2:$D$1000,D422,SALIDAS!$G$2:$G$1000,"OK*")=0,"NO FIGURA EN SALIDA","OK"))))</f>
        <v/>
      </c>
    </row>
    <row r="423">
      <c r="A423" s="9" t="inlineStr"/>
      <c r="B423" s="2" t="inlineStr"/>
      <c r="C423" s="2" t="inlineStr"/>
      <c r="D423" s="2" t="inlineStr"/>
      <c r="E423" s="2">
        <f>IF(D423="","",IFERROR(XLOOKUP(TRIM(D423),INVENTARIO!$A$2:$A$2000,INVENTARIO!$B$2:$B$2000),"NO ENCONTRADO"))</f>
        <v/>
      </c>
      <c r="F423" s="2">
        <f>IF(D423="","",IF(E423="NO ENCONTRADO","CODIGO NO EXISTE",IF(COUNTIF($D$2:D423,D423)&gt;1,"DEVOLUCION DUPLICADA",IF(COUNTIFS(SALIDAS!$B$2:$B$1000,B423,SALIDAS!$D$2:$D$1000,D423,SALIDAS!$G$2:$G$1000,"OK*")=0,"NO FIGURA EN SALIDA","OK"))))</f>
        <v/>
      </c>
    </row>
    <row r="424">
      <c r="A424" s="9" t="inlineStr"/>
      <c r="B424" s="2" t="inlineStr"/>
      <c r="C424" s="2" t="inlineStr"/>
      <c r="D424" s="2" t="inlineStr"/>
      <c r="E424" s="2">
        <f>IF(D424="","",IFERROR(XLOOKUP(TRIM(D424),INVENTARIO!$A$2:$A$2000,INVENTARIO!$B$2:$B$2000),"NO ENCONTRADO"))</f>
        <v/>
      </c>
      <c r="F424" s="2">
        <f>IF(D424="","",IF(E424="NO ENCONTRADO","CODIGO NO EXISTE",IF(COUNTIF($D$2:D424,D424)&gt;1,"DEVOLUCION DUPLICADA",IF(COUNTIFS(SALIDAS!$B$2:$B$1000,B424,SALIDAS!$D$2:$D$1000,D424,SALIDAS!$G$2:$G$1000,"OK*")=0,"NO FIGURA EN SALIDA","OK"))))</f>
        <v/>
      </c>
    </row>
    <row r="425">
      <c r="A425" s="9" t="inlineStr"/>
      <c r="B425" s="2" t="inlineStr"/>
      <c r="C425" s="2" t="inlineStr"/>
      <c r="D425" s="2" t="inlineStr"/>
      <c r="E425" s="2">
        <f>IF(D425="","",IFERROR(XLOOKUP(TRIM(D425),INVENTARIO!$A$2:$A$2000,INVENTARIO!$B$2:$B$2000),"NO ENCONTRADO"))</f>
        <v/>
      </c>
      <c r="F425" s="2">
        <f>IF(D425="","",IF(E425="NO ENCONTRADO","CODIGO NO EXISTE",IF(COUNTIF($D$2:D425,D425)&gt;1,"DEVOLUCION DUPLICADA",IF(COUNTIFS(SALIDAS!$B$2:$B$1000,B425,SALIDAS!$D$2:$D$1000,D425,SALIDAS!$G$2:$G$1000,"OK*")=0,"NO FIGURA EN SALIDA","OK"))))</f>
        <v/>
      </c>
    </row>
    <row r="426">
      <c r="A426" s="9" t="inlineStr"/>
      <c r="B426" s="2" t="inlineStr"/>
      <c r="C426" s="2" t="inlineStr"/>
      <c r="D426" s="2" t="inlineStr"/>
      <c r="E426" s="2">
        <f>IF(D426="","",IFERROR(XLOOKUP(TRIM(D426),INVENTARIO!$A$2:$A$2000,INVENTARIO!$B$2:$B$2000),"NO ENCONTRADO"))</f>
        <v/>
      </c>
      <c r="F426" s="2">
        <f>IF(D426="","",IF(E426="NO ENCONTRADO","CODIGO NO EXISTE",IF(COUNTIF($D$2:D426,D426)&gt;1,"DEVOLUCION DUPLICADA",IF(COUNTIFS(SALIDAS!$B$2:$B$1000,B426,SALIDAS!$D$2:$D$1000,D426,SALIDAS!$G$2:$G$1000,"OK*")=0,"NO FIGURA EN SALIDA","OK"))))</f>
        <v/>
      </c>
    </row>
    <row r="427">
      <c r="A427" s="9" t="inlineStr"/>
      <c r="B427" s="2" t="inlineStr"/>
      <c r="C427" s="2" t="inlineStr"/>
      <c r="D427" s="2" t="inlineStr"/>
      <c r="E427" s="2">
        <f>IF(D427="","",IFERROR(XLOOKUP(TRIM(D427),INVENTARIO!$A$2:$A$2000,INVENTARIO!$B$2:$B$2000),"NO ENCONTRADO"))</f>
        <v/>
      </c>
      <c r="F427" s="2">
        <f>IF(D427="","",IF(E427="NO ENCONTRADO","CODIGO NO EXISTE",IF(COUNTIF($D$2:D427,D427)&gt;1,"DEVOLUCION DUPLICADA",IF(COUNTIFS(SALIDAS!$B$2:$B$1000,B427,SALIDAS!$D$2:$D$1000,D427,SALIDAS!$G$2:$G$1000,"OK*")=0,"NO FIGURA EN SALIDA","OK"))))</f>
        <v/>
      </c>
    </row>
    <row r="428">
      <c r="A428" s="9" t="inlineStr"/>
      <c r="B428" s="2" t="inlineStr"/>
      <c r="C428" s="2" t="inlineStr"/>
      <c r="D428" s="2" t="inlineStr"/>
      <c r="E428" s="2">
        <f>IF(D428="","",IFERROR(XLOOKUP(TRIM(D428),INVENTARIO!$A$2:$A$2000,INVENTARIO!$B$2:$B$2000),"NO ENCONTRADO"))</f>
        <v/>
      </c>
      <c r="F428" s="2">
        <f>IF(D428="","",IF(E428="NO ENCONTRADO","CODIGO NO EXISTE",IF(COUNTIF($D$2:D428,D428)&gt;1,"DEVOLUCION DUPLICADA",IF(COUNTIFS(SALIDAS!$B$2:$B$1000,B428,SALIDAS!$D$2:$D$1000,D428,SALIDAS!$G$2:$G$1000,"OK*")=0,"NO FIGURA EN SALIDA","OK"))))</f>
        <v/>
      </c>
    </row>
    <row r="429">
      <c r="A429" s="9" t="inlineStr"/>
      <c r="B429" s="2" t="inlineStr"/>
      <c r="C429" s="2" t="inlineStr"/>
      <c r="D429" s="2" t="inlineStr"/>
      <c r="E429" s="2">
        <f>IF(D429="","",IFERROR(XLOOKUP(TRIM(D429),INVENTARIO!$A$2:$A$2000,INVENTARIO!$B$2:$B$2000),"NO ENCONTRADO"))</f>
        <v/>
      </c>
      <c r="F429" s="2">
        <f>IF(D429="","",IF(E429="NO ENCONTRADO","CODIGO NO EXISTE",IF(COUNTIF($D$2:D429,D429)&gt;1,"DEVOLUCION DUPLICADA",IF(COUNTIFS(SALIDAS!$B$2:$B$1000,B429,SALIDAS!$D$2:$D$1000,D429,SALIDAS!$G$2:$G$1000,"OK*")=0,"NO FIGURA EN SALIDA","OK"))))</f>
        <v/>
      </c>
    </row>
    <row r="430">
      <c r="A430" s="9" t="inlineStr"/>
      <c r="B430" s="2" t="inlineStr"/>
      <c r="C430" s="2" t="inlineStr"/>
      <c r="D430" s="2" t="inlineStr"/>
      <c r="E430" s="2">
        <f>IF(D430="","",IFERROR(XLOOKUP(TRIM(D430),INVENTARIO!$A$2:$A$2000,INVENTARIO!$B$2:$B$2000),"NO ENCONTRADO"))</f>
        <v/>
      </c>
      <c r="F430" s="2">
        <f>IF(D430="","",IF(E430="NO ENCONTRADO","CODIGO NO EXISTE",IF(COUNTIF($D$2:D430,D430)&gt;1,"DEVOLUCION DUPLICADA",IF(COUNTIFS(SALIDAS!$B$2:$B$1000,B430,SALIDAS!$D$2:$D$1000,D430,SALIDAS!$G$2:$G$1000,"OK*")=0,"NO FIGURA EN SALIDA","OK"))))</f>
        <v/>
      </c>
    </row>
    <row r="431">
      <c r="A431" s="9" t="inlineStr"/>
      <c r="B431" s="2" t="inlineStr"/>
      <c r="C431" s="2" t="inlineStr"/>
      <c r="D431" s="2" t="inlineStr"/>
      <c r="E431" s="2">
        <f>IF(D431="","",IFERROR(XLOOKUP(TRIM(D431),INVENTARIO!$A$2:$A$2000,INVENTARIO!$B$2:$B$2000),"NO ENCONTRADO"))</f>
        <v/>
      </c>
      <c r="F431" s="2">
        <f>IF(D431="","",IF(E431="NO ENCONTRADO","CODIGO NO EXISTE",IF(COUNTIF($D$2:D431,D431)&gt;1,"DEVOLUCION DUPLICADA",IF(COUNTIFS(SALIDAS!$B$2:$B$1000,B431,SALIDAS!$D$2:$D$1000,D431,SALIDAS!$G$2:$G$1000,"OK*")=0,"NO FIGURA EN SALIDA","OK"))))</f>
        <v/>
      </c>
    </row>
    <row r="432">
      <c r="A432" s="9" t="inlineStr"/>
      <c r="B432" s="2" t="inlineStr"/>
      <c r="C432" s="2" t="inlineStr"/>
      <c r="D432" s="2" t="inlineStr"/>
      <c r="E432" s="2">
        <f>IF(D432="","",IFERROR(XLOOKUP(TRIM(D432),INVENTARIO!$A$2:$A$2000,INVENTARIO!$B$2:$B$2000),"NO ENCONTRADO"))</f>
        <v/>
      </c>
      <c r="F432" s="2">
        <f>IF(D432="","",IF(E432="NO ENCONTRADO","CODIGO NO EXISTE",IF(COUNTIF($D$2:D432,D432)&gt;1,"DEVOLUCION DUPLICADA",IF(COUNTIFS(SALIDAS!$B$2:$B$1000,B432,SALIDAS!$D$2:$D$1000,D432,SALIDAS!$G$2:$G$1000,"OK*")=0,"NO FIGURA EN SALIDA","OK"))))</f>
        <v/>
      </c>
    </row>
    <row r="433">
      <c r="A433" s="9" t="inlineStr"/>
      <c r="B433" s="2" t="inlineStr"/>
      <c r="C433" s="2" t="inlineStr"/>
      <c r="D433" s="2" t="inlineStr"/>
      <c r="E433" s="2">
        <f>IF(D433="","",IFERROR(XLOOKUP(TRIM(D433),INVENTARIO!$A$2:$A$2000,INVENTARIO!$B$2:$B$2000),"NO ENCONTRADO"))</f>
        <v/>
      </c>
      <c r="F433" s="2">
        <f>IF(D433="","",IF(E433="NO ENCONTRADO","CODIGO NO EXISTE",IF(COUNTIF($D$2:D433,D433)&gt;1,"DEVOLUCION DUPLICADA",IF(COUNTIFS(SALIDAS!$B$2:$B$1000,B433,SALIDAS!$D$2:$D$1000,D433,SALIDAS!$G$2:$G$1000,"OK*")=0,"NO FIGURA EN SALIDA","OK"))))</f>
        <v/>
      </c>
    </row>
    <row r="434">
      <c r="A434" s="9" t="inlineStr"/>
      <c r="B434" s="2" t="inlineStr"/>
      <c r="C434" s="2" t="inlineStr"/>
      <c r="D434" s="2" t="inlineStr"/>
      <c r="E434" s="2">
        <f>IF(D434="","",IFERROR(XLOOKUP(TRIM(D434),INVENTARIO!$A$2:$A$2000,INVENTARIO!$B$2:$B$2000),"NO ENCONTRADO"))</f>
        <v/>
      </c>
      <c r="F434" s="2">
        <f>IF(D434="","",IF(E434="NO ENCONTRADO","CODIGO NO EXISTE",IF(COUNTIF($D$2:D434,D434)&gt;1,"DEVOLUCION DUPLICADA",IF(COUNTIFS(SALIDAS!$B$2:$B$1000,B434,SALIDAS!$D$2:$D$1000,D434,SALIDAS!$G$2:$G$1000,"OK*")=0,"NO FIGURA EN SALIDA","OK"))))</f>
        <v/>
      </c>
    </row>
    <row r="435">
      <c r="A435" s="9" t="inlineStr"/>
      <c r="B435" s="2" t="inlineStr"/>
      <c r="C435" s="2" t="inlineStr"/>
      <c r="D435" s="2" t="inlineStr"/>
      <c r="E435" s="2">
        <f>IF(D435="","",IFERROR(XLOOKUP(TRIM(D435),INVENTARIO!$A$2:$A$2000,INVENTARIO!$B$2:$B$2000),"NO ENCONTRADO"))</f>
        <v/>
      </c>
      <c r="F435" s="2">
        <f>IF(D435="","",IF(E435="NO ENCONTRADO","CODIGO NO EXISTE",IF(COUNTIF($D$2:D435,D435)&gt;1,"DEVOLUCION DUPLICADA",IF(COUNTIFS(SALIDAS!$B$2:$B$1000,B435,SALIDAS!$D$2:$D$1000,D435,SALIDAS!$G$2:$G$1000,"OK*")=0,"NO FIGURA EN SALIDA","OK"))))</f>
        <v/>
      </c>
    </row>
    <row r="436">
      <c r="A436" s="9" t="inlineStr"/>
      <c r="B436" s="2" t="inlineStr"/>
      <c r="C436" s="2" t="inlineStr"/>
      <c r="D436" s="2" t="inlineStr"/>
      <c r="E436" s="2">
        <f>IF(D436="","",IFERROR(XLOOKUP(TRIM(D436),INVENTARIO!$A$2:$A$2000,INVENTARIO!$B$2:$B$2000),"NO ENCONTRADO"))</f>
        <v/>
      </c>
      <c r="F436" s="2">
        <f>IF(D436="","",IF(E436="NO ENCONTRADO","CODIGO NO EXISTE",IF(COUNTIF($D$2:D436,D436)&gt;1,"DEVOLUCION DUPLICADA",IF(COUNTIFS(SALIDAS!$B$2:$B$1000,B436,SALIDAS!$D$2:$D$1000,D436,SALIDAS!$G$2:$G$1000,"OK*")=0,"NO FIGURA EN SALIDA","OK"))))</f>
        <v/>
      </c>
    </row>
    <row r="437">
      <c r="A437" s="9" t="inlineStr"/>
      <c r="B437" s="2" t="inlineStr"/>
      <c r="C437" s="2" t="inlineStr"/>
      <c r="D437" s="2" t="inlineStr"/>
      <c r="E437" s="2">
        <f>IF(D437="","",IFERROR(XLOOKUP(TRIM(D437),INVENTARIO!$A$2:$A$2000,INVENTARIO!$B$2:$B$2000),"NO ENCONTRADO"))</f>
        <v/>
      </c>
      <c r="F437" s="2">
        <f>IF(D437="","",IF(E437="NO ENCONTRADO","CODIGO NO EXISTE",IF(COUNTIF($D$2:D437,D437)&gt;1,"DEVOLUCION DUPLICADA",IF(COUNTIFS(SALIDAS!$B$2:$B$1000,B437,SALIDAS!$D$2:$D$1000,D437,SALIDAS!$G$2:$G$1000,"OK*")=0,"NO FIGURA EN SALIDA","OK"))))</f>
        <v/>
      </c>
    </row>
    <row r="438">
      <c r="A438" s="9" t="inlineStr"/>
      <c r="B438" s="2" t="inlineStr"/>
      <c r="C438" s="2" t="inlineStr"/>
      <c r="D438" s="2" t="inlineStr"/>
      <c r="E438" s="2">
        <f>IF(D438="","",IFERROR(XLOOKUP(TRIM(D438),INVENTARIO!$A$2:$A$2000,INVENTARIO!$B$2:$B$2000),"NO ENCONTRADO"))</f>
        <v/>
      </c>
      <c r="F438" s="2">
        <f>IF(D438="","",IF(E438="NO ENCONTRADO","CODIGO NO EXISTE",IF(COUNTIF($D$2:D438,D438)&gt;1,"DEVOLUCION DUPLICADA",IF(COUNTIFS(SALIDAS!$B$2:$B$1000,B438,SALIDAS!$D$2:$D$1000,D438,SALIDAS!$G$2:$G$1000,"OK*")=0,"NO FIGURA EN SALIDA","OK"))))</f>
        <v/>
      </c>
    </row>
    <row r="439">
      <c r="A439" s="9" t="inlineStr"/>
      <c r="B439" s="2" t="inlineStr"/>
      <c r="C439" s="2" t="inlineStr"/>
      <c r="D439" s="2" t="inlineStr"/>
      <c r="E439" s="2">
        <f>IF(D439="","",IFERROR(XLOOKUP(TRIM(D439),INVENTARIO!$A$2:$A$2000,INVENTARIO!$B$2:$B$2000),"NO ENCONTRADO"))</f>
        <v/>
      </c>
      <c r="F439" s="2">
        <f>IF(D439="","",IF(E439="NO ENCONTRADO","CODIGO NO EXISTE",IF(COUNTIF($D$2:D439,D439)&gt;1,"DEVOLUCION DUPLICADA",IF(COUNTIFS(SALIDAS!$B$2:$B$1000,B439,SALIDAS!$D$2:$D$1000,D439,SALIDAS!$G$2:$G$1000,"OK*")=0,"NO FIGURA EN SALIDA","OK"))))</f>
        <v/>
      </c>
    </row>
    <row r="440">
      <c r="A440" s="9" t="inlineStr"/>
      <c r="B440" s="2" t="inlineStr"/>
      <c r="C440" s="2" t="inlineStr"/>
      <c r="D440" s="2" t="inlineStr"/>
      <c r="E440" s="2">
        <f>IF(D440="","",IFERROR(XLOOKUP(TRIM(D440),INVENTARIO!$A$2:$A$2000,INVENTARIO!$B$2:$B$2000),"NO ENCONTRADO"))</f>
        <v/>
      </c>
      <c r="F440" s="2">
        <f>IF(D440="","",IF(E440="NO ENCONTRADO","CODIGO NO EXISTE",IF(COUNTIF($D$2:D440,D440)&gt;1,"DEVOLUCION DUPLICADA",IF(COUNTIFS(SALIDAS!$B$2:$B$1000,B440,SALIDAS!$D$2:$D$1000,D440,SALIDAS!$G$2:$G$1000,"OK*")=0,"NO FIGURA EN SALIDA","OK"))))</f>
        <v/>
      </c>
    </row>
    <row r="441">
      <c r="A441" s="9" t="inlineStr"/>
      <c r="B441" s="2" t="inlineStr"/>
      <c r="C441" s="2" t="inlineStr"/>
      <c r="D441" s="2" t="inlineStr"/>
      <c r="E441" s="2">
        <f>IF(D441="","",IFERROR(XLOOKUP(TRIM(D441),INVENTARIO!$A$2:$A$2000,INVENTARIO!$B$2:$B$2000),"NO ENCONTRADO"))</f>
        <v/>
      </c>
      <c r="F441" s="2">
        <f>IF(D441="","",IF(E441="NO ENCONTRADO","CODIGO NO EXISTE",IF(COUNTIF($D$2:D441,D441)&gt;1,"DEVOLUCION DUPLICADA",IF(COUNTIFS(SALIDAS!$B$2:$B$1000,B441,SALIDAS!$D$2:$D$1000,D441,SALIDAS!$G$2:$G$1000,"OK*")=0,"NO FIGURA EN SALIDA","OK"))))</f>
        <v/>
      </c>
    </row>
    <row r="442">
      <c r="A442" s="9" t="inlineStr"/>
      <c r="B442" s="2" t="inlineStr"/>
      <c r="C442" s="2" t="inlineStr"/>
      <c r="D442" s="2" t="inlineStr"/>
      <c r="E442" s="2">
        <f>IF(D442="","",IFERROR(XLOOKUP(TRIM(D442),INVENTARIO!$A$2:$A$2000,INVENTARIO!$B$2:$B$2000),"NO ENCONTRADO"))</f>
        <v/>
      </c>
      <c r="F442" s="2">
        <f>IF(D442="","",IF(E442="NO ENCONTRADO","CODIGO NO EXISTE",IF(COUNTIF($D$2:D442,D442)&gt;1,"DEVOLUCION DUPLICADA",IF(COUNTIFS(SALIDAS!$B$2:$B$1000,B442,SALIDAS!$D$2:$D$1000,D442,SALIDAS!$G$2:$G$1000,"OK*")=0,"NO FIGURA EN SALIDA","OK"))))</f>
        <v/>
      </c>
    </row>
    <row r="443">
      <c r="A443" s="9" t="inlineStr"/>
      <c r="B443" s="2" t="inlineStr"/>
      <c r="C443" s="2" t="inlineStr"/>
      <c r="D443" s="2" t="inlineStr"/>
      <c r="E443" s="2">
        <f>IF(D443="","",IFERROR(XLOOKUP(TRIM(D443),INVENTARIO!$A$2:$A$2000,INVENTARIO!$B$2:$B$2000),"NO ENCONTRADO"))</f>
        <v/>
      </c>
      <c r="F443" s="2">
        <f>IF(D443="","",IF(E443="NO ENCONTRADO","CODIGO NO EXISTE",IF(COUNTIF($D$2:D443,D443)&gt;1,"DEVOLUCION DUPLICADA",IF(COUNTIFS(SALIDAS!$B$2:$B$1000,B443,SALIDAS!$D$2:$D$1000,D443,SALIDAS!$G$2:$G$1000,"OK*")=0,"NO FIGURA EN SALIDA","OK"))))</f>
        <v/>
      </c>
    </row>
    <row r="444">
      <c r="A444" s="9" t="inlineStr"/>
      <c r="B444" s="2" t="inlineStr"/>
      <c r="C444" s="2" t="inlineStr"/>
      <c r="D444" s="2" t="inlineStr"/>
      <c r="E444" s="2">
        <f>IF(D444="","",IFERROR(XLOOKUP(TRIM(D444),INVENTARIO!$A$2:$A$2000,INVENTARIO!$B$2:$B$2000),"NO ENCONTRADO"))</f>
        <v/>
      </c>
      <c r="F444" s="2">
        <f>IF(D444="","",IF(E444="NO ENCONTRADO","CODIGO NO EXISTE",IF(COUNTIF($D$2:D444,D444)&gt;1,"DEVOLUCION DUPLICADA",IF(COUNTIFS(SALIDAS!$B$2:$B$1000,B444,SALIDAS!$D$2:$D$1000,D444,SALIDAS!$G$2:$G$1000,"OK*")=0,"NO FIGURA EN SALIDA","OK"))))</f>
        <v/>
      </c>
    </row>
    <row r="445">
      <c r="A445" s="9" t="inlineStr"/>
      <c r="B445" s="2" t="inlineStr"/>
      <c r="C445" s="2" t="inlineStr"/>
      <c r="D445" s="2" t="inlineStr"/>
      <c r="E445" s="2">
        <f>IF(D445="","",IFERROR(XLOOKUP(TRIM(D445),INVENTARIO!$A$2:$A$2000,INVENTARIO!$B$2:$B$2000),"NO ENCONTRADO"))</f>
        <v/>
      </c>
      <c r="F445" s="2">
        <f>IF(D445="","",IF(E445="NO ENCONTRADO","CODIGO NO EXISTE",IF(COUNTIF($D$2:D445,D445)&gt;1,"DEVOLUCION DUPLICADA",IF(COUNTIFS(SALIDAS!$B$2:$B$1000,B445,SALIDAS!$D$2:$D$1000,D445,SALIDAS!$G$2:$G$1000,"OK*")=0,"NO FIGURA EN SALIDA","OK"))))</f>
        <v/>
      </c>
    </row>
    <row r="446">
      <c r="A446" s="9" t="inlineStr"/>
      <c r="B446" s="2" t="inlineStr"/>
      <c r="C446" s="2" t="inlineStr"/>
      <c r="D446" s="2" t="inlineStr"/>
      <c r="E446" s="2">
        <f>IF(D446="","",IFERROR(XLOOKUP(TRIM(D446),INVENTARIO!$A$2:$A$2000,INVENTARIO!$B$2:$B$2000),"NO ENCONTRADO"))</f>
        <v/>
      </c>
      <c r="F446" s="2">
        <f>IF(D446="","",IF(E446="NO ENCONTRADO","CODIGO NO EXISTE",IF(COUNTIF($D$2:D446,D446)&gt;1,"DEVOLUCION DUPLICADA",IF(COUNTIFS(SALIDAS!$B$2:$B$1000,B446,SALIDAS!$D$2:$D$1000,D446,SALIDAS!$G$2:$G$1000,"OK*")=0,"NO FIGURA EN SALIDA","OK"))))</f>
        <v/>
      </c>
    </row>
    <row r="447">
      <c r="A447" s="9" t="inlineStr"/>
      <c r="B447" s="2" t="inlineStr"/>
      <c r="C447" s="2" t="inlineStr"/>
      <c r="D447" s="2" t="inlineStr"/>
      <c r="E447" s="2">
        <f>IF(D447="","",IFERROR(XLOOKUP(TRIM(D447),INVENTARIO!$A$2:$A$2000,INVENTARIO!$B$2:$B$2000),"NO ENCONTRADO"))</f>
        <v/>
      </c>
      <c r="F447" s="2">
        <f>IF(D447="","",IF(E447="NO ENCONTRADO","CODIGO NO EXISTE",IF(COUNTIF($D$2:D447,D447)&gt;1,"DEVOLUCION DUPLICADA",IF(COUNTIFS(SALIDAS!$B$2:$B$1000,B447,SALIDAS!$D$2:$D$1000,D447,SALIDAS!$G$2:$G$1000,"OK*")=0,"NO FIGURA EN SALIDA","OK"))))</f>
        <v/>
      </c>
    </row>
    <row r="448">
      <c r="A448" s="9" t="inlineStr"/>
      <c r="B448" s="2" t="inlineStr"/>
      <c r="C448" s="2" t="inlineStr"/>
      <c r="D448" s="2" t="inlineStr"/>
      <c r="E448" s="2">
        <f>IF(D448="","",IFERROR(XLOOKUP(TRIM(D448),INVENTARIO!$A$2:$A$2000,INVENTARIO!$B$2:$B$2000),"NO ENCONTRADO"))</f>
        <v/>
      </c>
      <c r="F448" s="2">
        <f>IF(D448="","",IF(E448="NO ENCONTRADO","CODIGO NO EXISTE",IF(COUNTIF($D$2:D448,D448)&gt;1,"DEVOLUCION DUPLICADA",IF(COUNTIFS(SALIDAS!$B$2:$B$1000,B448,SALIDAS!$D$2:$D$1000,D448,SALIDAS!$G$2:$G$1000,"OK*")=0,"NO FIGURA EN SALIDA","OK"))))</f>
        <v/>
      </c>
    </row>
    <row r="449">
      <c r="A449" s="9" t="inlineStr"/>
      <c r="B449" s="2" t="inlineStr"/>
      <c r="C449" s="2" t="inlineStr"/>
      <c r="D449" s="2" t="inlineStr"/>
      <c r="E449" s="2">
        <f>IF(D449="","",IFERROR(XLOOKUP(TRIM(D449),INVENTARIO!$A$2:$A$2000,INVENTARIO!$B$2:$B$2000),"NO ENCONTRADO"))</f>
        <v/>
      </c>
      <c r="F449" s="2">
        <f>IF(D449="","",IF(E449="NO ENCONTRADO","CODIGO NO EXISTE",IF(COUNTIF($D$2:D449,D449)&gt;1,"DEVOLUCION DUPLICADA",IF(COUNTIFS(SALIDAS!$B$2:$B$1000,B449,SALIDAS!$D$2:$D$1000,D449,SALIDAS!$G$2:$G$1000,"OK*")=0,"NO FIGURA EN SALIDA","OK"))))</f>
        <v/>
      </c>
    </row>
    <row r="450">
      <c r="A450" s="9" t="inlineStr"/>
      <c r="B450" s="2" t="inlineStr"/>
      <c r="C450" s="2" t="inlineStr"/>
      <c r="D450" s="2" t="inlineStr"/>
      <c r="E450" s="2">
        <f>IF(D450="","",IFERROR(XLOOKUP(TRIM(D450),INVENTARIO!$A$2:$A$2000,INVENTARIO!$B$2:$B$2000),"NO ENCONTRADO"))</f>
        <v/>
      </c>
      <c r="F450" s="2">
        <f>IF(D450="","",IF(E450="NO ENCONTRADO","CODIGO NO EXISTE",IF(COUNTIF($D$2:D450,D450)&gt;1,"DEVOLUCION DUPLICADA",IF(COUNTIFS(SALIDAS!$B$2:$B$1000,B450,SALIDAS!$D$2:$D$1000,D450,SALIDAS!$G$2:$G$1000,"OK*")=0,"NO FIGURA EN SALIDA","OK"))))</f>
        <v/>
      </c>
    </row>
    <row r="451">
      <c r="A451" s="9" t="inlineStr"/>
      <c r="B451" s="2" t="inlineStr"/>
      <c r="C451" s="2" t="inlineStr"/>
      <c r="D451" s="2" t="inlineStr"/>
      <c r="E451" s="2">
        <f>IF(D451="","",IFERROR(XLOOKUP(TRIM(D451),INVENTARIO!$A$2:$A$2000,INVENTARIO!$B$2:$B$2000),"NO ENCONTRADO"))</f>
        <v/>
      </c>
      <c r="F451" s="2">
        <f>IF(D451="","",IF(E451="NO ENCONTRADO","CODIGO NO EXISTE",IF(COUNTIF($D$2:D451,D451)&gt;1,"DEVOLUCION DUPLICADA",IF(COUNTIFS(SALIDAS!$B$2:$B$1000,B451,SALIDAS!$D$2:$D$1000,D451,SALIDAS!$G$2:$G$1000,"OK*")=0,"NO FIGURA EN SALIDA","OK"))))</f>
        <v/>
      </c>
    </row>
    <row r="452">
      <c r="A452" s="9" t="inlineStr"/>
      <c r="B452" s="2" t="inlineStr"/>
      <c r="C452" s="2" t="inlineStr"/>
      <c r="D452" s="2" t="inlineStr"/>
      <c r="E452" s="2">
        <f>IF(D452="","",IFERROR(XLOOKUP(TRIM(D452),INVENTARIO!$A$2:$A$2000,INVENTARIO!$B$2:$B$2000),"NO ENCONTRADO"))</f>
        <v/>
      </c>
      <c r="F452" s="2">
        <f>IF(D452="","",IF(E452="NO ENCONTRADO","CODIGO NO EXISTE",IF(COUNTIF($D$2:D452,D452)&gt;1,"DEVOLUCION DUPLICADA",IF(COUNTIFS(SALIDAS!$B$2:$B$1000,B452,SALIDAS!$D$2:$D$1000,D452,SALIDAS!$G$2:$G$1000,"OK*")=0,"NO FIGURA EN SALIDA","OK"))))</f>
        <v/>
      </c>
    </row>
    <row r="453">
      <c r="A453" s="9" t="inlineStr"/>
      <c r="B453" s="2" t="inlineStr"/>
      <c r="C453" s="2" t="inlineStr"/>
      <c r="D453" s="2" t="inlineStr"/>
      <c r="E453" s="2">
        <f>IF(D453="","",IFERROR(XLOOKUP(TRIM(D453),INVENTARIO!$A$2:$A$2000,INVENTARIO!$B$2:$B$2000),"NO ENCONTRADO"))</f>
        <v/>
      </c>
      <c r="F453" s="2">
        <f>IF(D453="","",IF(E453="NO ENCONTRADO","CODIGO NO EXISTE",IF(COUNTIF($D$2:D453,D453)&gt;1,"DEVOLUCION DUPLICADA",IF(COUNTIFS(SALIDAS!$B$2:$B$1000,B453,SALIDAS!$D$2:$D$1000,D453,SALIDAS!$G$2:$G$1000,"OK*")=0,"NO FIGURA EN SALIDA","OK"))))</f>
        <v/>
      </c>
    </row>
    <row r="454">
      <c r="A454" s="9" t="inlineStr"/>
      <c r="B454" s="2" t="inlineStr"/>
      <c r="C454" s="2" t="inlineStr"/>
      <c r="D454" s="2" t="inlineStr"/>
      <c r="E454" s="2">
        <f>IF(D454="","",IFERROR(XLOOKUP(TRIM(D454),INVENTARIO!$A$2:$A$2000,INVENTARIO!$B$2:$B$2000),"NO ENCONTRADO"))</f>
        <v/>
      </c>
      <c r="F454" s="2">
        <f>IF(D454="","",IF(E454="NO ENCONTRADO","CODIGO NO EXISTE",IF(COUNTIF($D$2:D454,D454)&gt;1,"DEVOLUCION DUPLICADA",IF(COUNTIFS(SALIDAS!$B$2:$B$1000,B454,SALIDAS!$D$2:$D$1000,D454,SALIDAS!$G$2:$G$1000,"OK*")=0,"NO FIGURA EN SALIDA","OK"))))</f>
        <v/>
      </c>
    </row>
    <row r="455">
      <c r="A455" s="9" t="inlineStr"/>
      <c r="B455" s="2" t="inlineStr"/>
      <c r="C455" s="2" t="inlineStr"/>
      <c r="D455" s="2" t="inlineStr"/>
      <c r="E455" s="2">
        <f>IF(D455="","",IFERROR(XLOOKUP(TRIM(D455),INVENTARIO!$A$2:$A$2000,INVENTARIO!$B$2:$B$2000),"NO ENCONTRADO"))</f>
        <v/>
      </c>
      <c r="F455" s="2">
        <f>IF(D455="","",IF(E455="NO ENCONTRADO","CODIGO NO EXISTE",IF(COUNTIF($D$2:D455,D455)&gt;1,"DEVOLUCION DUPLICADA",IF(COUNTIFS(SALIDAS!$B$2:$B$1000,B455,SALIDAS!$D$2:$D$1000,D455,SALIDAS!$G$2:$G$1000,"OK*")=0,"NO FIGURA EN SALIDA","OK"))))</f>
        <v/>
      </c>
    </row>
    <row r="456">
      <c r="A456" s="9" t="inlineStr"/>
      <c r="B456" s="2" t="inlineStr"/>
      <c r="C456" s="2" t="inlineStr"/>
      <c r="D456" s="2" t="inlineStr"/>
      <c r="E456" s="2">
        <f>IF(D456="","",IFERROR(XLOOKUP(TRIM(D456),INVENTARIO!$A$2:$A$2000,INVENTARIO!$B$2:$B$2000),"NO ENCONTRADO"))</f>
        <v/>
      </c>
      <c r="F456" s="2">
        <f>IF(D456="","",IF(E456="NO ENCONTRADO","CODIGO NO EXISTE",IF(COUNTIF($D$2:D456,D456)&gt;1,"DEVOLUCION DUPLICADA",IF(COUNTIFS(SALIDAS!$B$2:$B$1000,B456,SALIDAS!$D$2:$D$1000,D456,SALIDAS!$G$2:$G$1000,"OK*")=0,"NO FIGURA EN SALIDA","OK"))))</f>
        <v/>
      </c>
    </row>
    <row r="457">
      <c r="A457" s="9" t="inlineStr"/>
      <c r="B457" s="2" t="inlineStr"/>
      <c r="C457" s="2" t="inlineStr"/>
      <c r="D457" s="2" t="inlineStr"/>
      <c r="E457" s="2">
        <f>IF(D457="","",IFERROR(XLOOKUP(TRIM(D457),INVENTARIO!$A$2:$A$2000,INVENTARIO!$B$2:$B$2000),"NO ENCONTRADO"))</f>
        <v/>
      </c>
      <c r="F457" s="2">
        <f>IF(D457="","",IF(E457="NO ENCONTRADO","CODIGO NO EXISTE",IF(COUNTIF($D$2:D457,D457)&gt;1,"DEVOLUCION DUPLICADA",IF(COUNTIFS(SALIDAS!$B$2:$B$1000,B457,SALIDAS!$D$2:$D$1000,D457,SALIDAS!$G$2:$G$1000,"OK*")=0,"NO FIGURA EN SALIDA","OK"))))</f>
        <v/>
      </c>
    </row>
    <row r="458">
      <c r="A458" s="9" t="inlineStr"/>
      <c r="B458" s="2" t="inlineStr"/>
      <c r="C458" s="2" t="inlineStr"/>
      <c r="D458" s="2" t="inlineStr"/>
      <c r="E458" s="2">
        <f>IF(D458="","",IFERROR(XLOOKUP(TRIM(D458),INVENTARIO!$A$2:$A$2000,INVENTARIO!$B$2:$B$2000),"NO ENCONTRADO"))</f>
        <v/>
      </c>
      <c r="F458" s="2">
        <f>IF(D458="","",IF(E458="NO ENCONTRADO","CODIGO NO EXISTE",IF(COUNTIF($D$2:D458,D458)&gt;1,"DEVOLUCION DUPLICADA",IF(COUNTIFS(SALIDAS!$B$2:$B$1000,B458,SALIDAS!$D$2:$D$1000,D458,SALIDAS!$G$2:$G$1000,"OK*")=0,"NO FIGURA EN SALIDA","OK"))))</f>
        <v/>
      </c>
    </row>
    <row r="459">
      <c r="A459" s="9" t="inlineStr"/>
      <c r="B459" s="2" t="inlineStr"/>
      <c r="C459" s="2" t="inlineStr"/>
      <c r="D459" s="2" t="inlineStr"/>
      <c r="E459" s="2">
        <f>IF(D459="","",IFERROR(XLOOKUP(TRIM(D459),INVENTARIO!$A$2:$A$2000,INVENTARIO!$B$2:$B$2000),"NO ENCONTRADO"))</f>
        <v/>
      </c>
      <c r="F459" s="2">
        <f>IF(D459="","",IF(E459="NO ENCONTRADO","CODIGO NO EXISTE",IF(COUNTIF($D$2:D459,D459)&gt;1,"DEVOLUCION DUPLICADA",IF(COUNTIFS(SALIDAS!$B$2:$B$1000,B459,SALIDAS!$D$2:$D$1000,D459,SALIDAS!$G$2:$G$1000,"OK*")=0,"NO FIGURA EN SALIDA","OK"))))</f>
        <v/>
      </c>
    </row>
    <row r="460">
      <c r="A460" s="9" t="inlineStr"/>
      <c r="B460" s="2" t="inlineStr"/>
      <c r="C460" s="2" t="inlineStr"/>
      <c r="D460" s="2" t="inlineStr"/>
      <c r="E460" s="2">
        <f>IF(D460="","",IFERROR(XLOOKUP(TRIM(D460),INVENTARIO!$A$2:$A$2000,INVENTARIO!$B$2:$B$2000),"NO ENCONTRADO"))</f>
        <v/>
      </c>
      <c r="F460" s="2">
        <f>IF(D460="","",IF(E460="NO ENCONTRADO","CODIGO NO EXISTE",IF(COUNTIF($D$2:D460,D460)&gt;1,"DEVOLUCION DUPLICADA",IF(COUNTIFS(SALIDAS!$B$2:$B$1000,B460,SALIDAS!$D$2:$D$1000,D460,SALIDAS!$G$2:$G$1000,"OK*")=0,"NO FIGURA EN SALIDA","OK"))))</f>
        <v/>
      </c>
    </row>
    <row r="461">
      <c r="A461" s="9" t="inlineStr"/>
      <c r="B461" s="2" t="inlineStr"/>
      <c r="C461" s="2" t="inlineStr"/>
      <c r="D461" s="2" t="inlineStr"/>
      <c r="E461" s="2">
        <f>IF(D461="","",IFERROR(XLOOKUP(TRIM(D461),INVENTARIO!$A$2:$A$2000,INVENTARIO!$B$2:$B$2000),"NO ENCONTRADO"))</f>
        <v/>
      </c>
      <c r="F461" s="2">
        <f>IF(D461="","",IF(E461="NO ENCONTRADO","CODIGO NO EXISTE",IF(COUNTIF($D$2:D461,D461)&gt;1,"DEVOLUCION DUPLICADA",IF(COUNTIFS(SALIDAS!$B$2:$B$1000,B461,SALIDAS!$D$2:$D$1000,D461,SALIDAS!$G$2:$G$1000,"OK*")=0,"NO FIGURA EN SALIDA","OK"))))</f>
        <v/>
      </c>
    </row>
    <row r="462">
      <c r="A462" s="9" t="inlineStr"/>
      <c r="B462" s="2" t="inlineStr"/>
      <c r="C462" s="2" t="inlineStr"/>
      <c r="D462" s="2" t="inlineStr"/>
      <c r="E462" s="2">
        <f>IF(D462="","",IFERROR(XLOOKUP(TRIM(D462),INVENTARIO!$A$2:$A$2000,INVENTARIO!$B$2:$B$2000),"NO ENCONTRADO"))</f>
        <v/>
      </c>
      <c r="F462" s="2">
        <f>IF(D462="","",IF(E462="NO ENCONTRADO","CODIGO NO EXISTE",IF(COUNTIF($D$2:D462,D462)&gt;1,"DEVOLUCION DUPLICADA",IF(COUNTIFS(SALIDAS!$B$2:$B$1000,B462,SALIDAS!$D$2:$D$1000,D462,SALIDAS!$G$2:$G$1000,"OK*")=0,"NO FIGURA EN SALIDA","OK"))))</f>
        <v/>
      </c>
    </row>
    <row r="463">
      <c r="A463" s="9" t="inlineStr"/>
      <c r="B463" s="2" t="inlineStr"/>
      <c r="C463" s="2" t="inlineStr"/>
      <c r="D463" s="2" t="inlineStr"/>
      <c r="E463" s="2">
        <f>IF(D463="","",IFERROR(XLOOKUP(TRIM(D463),INVENTARIO!$A$2:$A$2000,INVENTARIO!$B$2:$B$2000),"NO ENCONTRADO"))</f>
        <v/>
      </c>
      <c r="F463" s="2">
        <f>IF(D463="","",IF(E463="NO ENCONTRADO","CODIGO NO EXISTE",IF(COUNTIF($D$2:D463,D463)&gt;1,"DEVOLUCION DUPLICADA",IF(COUNTIFS(SALIDAS!$B$2:$B$1000,B463,SALIDAS!$D$2:$D$1000,D463,SALIDAS!$G$2:$G$1000,"OK*")=0,"NO FIGURA EN SALIDA","OK"))))</f>
        <v/>
      </c>
    </row>
    <row r="464">
      <c r="A464" s="9" t="inlineStr"/>
      <c r="B464" s="2" t="inlineStr"/>
      <c r="C464" s="2" t="inlineStr"/>
      <c r="D464" s="2" t="inlineStr"/>
      <c r="E464" s="2">
        <f>IF(D464="","",IFERROR(XLOOKUP(TRIM(D464),INVENTARIO!$A$2:$A$2000,INVENTARIO!$B$2:$B$2000),"NO ENCONTRADO"))</f>
        <v/>
      </c>
      <c r="F464" s="2">
        <f>IF(D464="","",IF(E464="NO ENCONTRADO","CODIGO NO EXISTE",IF(COUNTIF($D$2:D464,D464)&gt;1,"DEVOLUCION DUPLICADA",IF(COUNTIFS(SALIDAS!$B$2:$B$1000,B464,SALIDAS!$D$2:$D$1000,D464,SALIDAS!$G$2:$G$1000,"OK*")=0,"NO FIGURA EN SALIDA","OK"))))</f>
        <v/>
      </c>
    </row>
    <row r="465">
      <c r="A465" s="9" t="inlineStr"/>
      <c r="B465" s="2" t="inlineStr"/>
      <c r="C465" s="2" t="inlineStr"/>
      <c r="D465" s="2" t="inlineStr"/>
      <c r="E465" s="2">
        <f>IF(D465="","",IFERROR(XLOOKUP(TRIM(D465),INVENTARIO!$A$2:$A$2000,INVENTARIO!$B$2:$B$2000),"NO ENCONTRADO"))</f>
        <v/>
      </c>
      <c r="F465" s="2">
        <f>IF(D465="","",IF(E465="NO ENCONTRADO","CODIGO NO EXISTE",IF(COUNTIF($D$2:D465,D465)&gt;1,"DEVOLUCION DUPLICADA",IF(COUNTIFS(SALIDAS!$B$2:$B$1000,B465,SALIDAS!$D$2:$D$1000,D465,SALIDAS!$G$2:$G$1000,"OK*")=0,"NO FIGURA EN SALIDA","OK"))))</f>
        <v/>
      </c>
    </row>
    <row r="466">
      <c r="A466" s="9" t="inlineStr"/>
      <c r="B466" s="2" t="inlineStr"/>
      <c r="C466" s="2" t="inlineStr"/>
      <c r="D466" s="2" t="inlineStr"/>
      <c r="E466" s="2">
        <f>IF(D466="","",IFERROR(XLOOKUP(TRIM(D466),INVENTARIO!$A$2:$A$2000,INVENTARIO!$B$2:$B$2000),"NO ENCONTRADO"))</f>
        <v/>
      </c>
      <c r="F466" s="2">
        <f>IF(D466="","",IF(E466="NO ENCONTRADO","CODIGO NO EXISTE",IF(COUNTIF($D$2:D466,D466)&gt;1,"DEVOLUCION DUPLICADA",IF(COUNTIFS(SALIDAS!$B$2:$B$1000,B466,SALIDAS!$D$2:$D$1000,D466,SALIDAS!$G$2:$G$1000,"OK*")=0,"NO FIGURA EN SALIDA","OK"))))</f>
        <v/>
      </c>
    </row>
    <row r="467">
      <c r="A467" s="9" t="inlineStr"/>
      <c r="B467" s="2" t="inlineStr"/>
      <c r="C467" s="2" t="inlineStr"/>
      <c r="D467" s="2" t="inlineStr"/>
      <c r="E467" s="2">
        <f>IF(D467="","",IFERROR(XLOOKUP(TRIM(D467),INVENTARIO!$A$2:$A$2000,INVENTARIO!$B$2:$B$2000),"NO ENCONTRADO"))</f>
        <v/>
      </c>
      <c r="F467" s="2">
        <f>IF(D467="","",IF(E467="NO ENCONTRADO","CODIGO NO EXISTE",IF(COUNTIF($D$2:D467,D467)&gt;1,"DEVOLUCION DUPLICADA",IF(COUNTIFS(SALIDAS!$B$2:$B$1000,B467,SALIDAS!$D$2:$D$1000,D467,SALIDAS!$G$2:$G$1000,"OK*")=0,"NO FIGURA EN SALIDA","OK"))))</f>
        <v/>
      </c>
    </row>
    <row r="468">
      <c r="A468" s="9" t="inlineStr"/>
      <c r="B468" s="2" t="inlineStr"/>
      <c r="C468" s="2" t="inlineStr"/>
      <c r="D468" s="2" t="inlineStr"/>
      <c r="E468" s="2">
        <f>IF(D468="","",IFERROR(XLOOKUP(TRIM(D468),INVENTARIO!$A$2:$A$2000,INVENTARIO!$B$2:$B$2000),"NO ENCONTRADO"))</f>
        <v/>
      </c>
      <c r="F468" s="2">
        <f>IF(D468="","",IF(E468="NO ENCONTRADO","CODIGO NO EXISTE",IF(COUNTIF($D$2:D468,D468)&gt;1,"DEVOLUCION DUPLICADA",IF(COUNTIFS(SALIDAS!$B$2:$B$1000,B468,SALIDAS!$D$2:$D$1000,D468,SALIDAS!$G$2:$G$1000,"OK*")=0,"NO FIGURA EN SALIDA","OK"))))</f>
        <v/>
      </c>
    </row>
    <row r="469">
      <c r="A469" s="9" t="inlineStr"/>
      <c r="B469" s="2" t="inlineStr"/>
      <c r="C469" s="2" t="inlineStr"/>
      <c r="D469" s="2" t="inlineStr"/>
      <c r="E469" s="2">
        <f>IF(D469="","",IFERROR(XLOOKUP(TRIM(D469),INVENTARIO!$A$2:$A$2000,INVENTARIO!$B$2:$B$2000),"NO ENCONTRADO"))</f>
        <v/>
      </c>
      <c r="F469" s="2">
        <f>IF(D469="","",IF(E469="NO ENCONTRADO","CODIGO NO EXISTE",IF(COUNTIF($D$2:D469,D469)&gt;1,"DEVOLUCION DUPLICADA",IF(COUNTIFS(SALIDAS!$B$2:$B$1000,B469,SALIDAS!$D$2:$D$1000,D469,SALIDAS!$G$2:$G$1000,"OK*")=0,"NO FIGURA EN SALIDA","OK"))))</f>
        <v/>
      </c>
    </row>
    <row r="470">
      <c r="A470" s="9" t="inlineStr"/>
      <c r="B470" s="2" t="inlineStr"/>
      <c r="C470" s="2" t="inlineStr"/>
      <c r="D470" s="2" t="inlineStr"/>
      <c r="E470" s="2">
        <f>IF(D470="","",IFERROR(XLOOKUP(TRIM(D470),INVENTARIO!$A$2:$A$2000,INVENTARIO!$B$2:$B$2000),"NO ENCONTRADO"))</f>
        <v/>
      </c>
      <c r="F470" s="2">
        <f>IF(D470="","",IF(E470="NO ENCONTRADO","CODIGO NO EXISTE",IF(COUNTIF($D$2:D470,D470)&gt;1,"DEVOLUCION DUPLICADA",IF(COUNTIFS(SALIDAS!$B$2:$B$1000,B470,SALIDAS!$D$2:$D$1000,D470,SALIDAS!$G$2:$G$1000,"OK*")=0,"NO FIGURA EN SALIDA","OK"))))</f>
        <v/>
      </c>
    </row>
    <row r="471">
      <c r="A471" s="9" t="inlineStr"/>
      <c r="B471" s="2" t="inlineStr"/>
      <c r="C471" s="2" t="inlineStr"/>
      <c r="D471" s="2" t="inlineStr"/>
      <c r="E471" s="2">
        <f>IF(D471="","",IFERROR(XLOOKUP(TRIM(D471),INVENTARIO!$A$2:$A$2000,INVENTARIO!$B$2:$B$2000),"NO ENCONTRADO"))</f>
        <v/>
      </c>
      <c r="F471" s="2">
        <f>IF(D471="","",IF(E471="NO ENCONTRADO","CODIGO NO EXISTE",IF(COUNTIF($D$2:D471,D471)&gt;1,"DEVOLUCION DUPLICADA",IF(COUNTIFS(SALIDAS!$B$2:$B$1000,B471,SALIDAS!$D$2:$D$1000,D471,SALIDAS!$G$2:$G$1000,"OK*")=0,"NO FIGURA EN SALIDA","OK"))))</f>
        <v/>
      </c>
    </row>
    <row r="472">
      <c r="A472" s="9" t="inlineStr"/>
      <c r="B472" s="2" t="inlineStr"/>
      <c r="C472" s="2" t="inlineStr"/>
      <c r="D472" s="2" t="inlineStr"/>
      <c r="E472" s="2">
        <f>IF(D472="","",IFERROR(XLOOKUP(TRIM(D472),INVENTARIO!$A$2:$A$2000,INVENTARIO!$B$2:$B$2000),"NO ENCONTRADO"))</f>
        <v/>
      </c>
      <c r="F472" s="2">
        <f>IF(D472="","",IF(E472="NO ENCONTRADO","CODIGO NO EXISTE",IF(COUNTIF($D$2:D472,D472)&gt;1,"DEVOLUCION DUPLICADA",IF(COUNTIFS(SALIDAS!$B$2:$B$1000,B472,SALIDAS!$D$2:$D$1000,D472,SALIDAS!$G$2:$G$1000,"OK*")=0,"NO FIGURA EN SALIDA","OK"))))</f>
        <v/>
      </c>
    </row>
    <row r="473">
      <c r="A473" s="9" t="inlineStr"/>
      <c r="B473" s="2" t="inlineStr"/>
      <c r="C473" s="2" t="inlineStr"/>
      <c r="D473" s="2" t="inlineStr"/>
      <c r="E473" s="2">
        <f>IF(D473="","",IFERROR(XLOOKUP(TRIM(D473),INVENTARIO!$A$2:$A$2000,INVENTARIO!$B$2:$B$2000),"NO ENCONTRADO"))</f>
        <v/>
      </c>
      <c r="F473" s="2">
        <f>IF(D473="","",IF(E473="NO ENCONTRADO","CODIGO NO EXISTE",IF(COUNTIF($D$2:D473,D473)&gt;1,"DEVOLUCION DUPLICADA",IF(COUNTIFS(SALIDAS!$B$2:$B$1000,B473,SALIDAS!$D$2:$D$1000,D473,SALIDAS!$G$2:$G$1000,"OK*")=0,"NO FIGURA EN SALIDA","OK"))))</f>
        <v/>
      </c>
    </row>
    <row r="474">
      <c r="A474" s="9" t="inlineStr"/>
      <c r="B474" s="2" t="inlineStr"/>
      <c r="C474" s="2" t="inlineStr"/>
      <c r="D474" s="2" t="inlineStr"/>
      <c r="E474" s="2">
        <f>IF(D474="","",IFERROR(XLOOKUP(TRIM(D474),INVENTARIO!$A$2:$A$2000,INVENTARIO!$B$2:$B$2000),"NO ENCONTRADO"))</f>
        <v/>
      </c>
      <c r="F474" s="2">
        <f>IF(D474="","",IF(E474="NO ENCONTRADO","CODIGO NO EXISTE",IF(COUNTIF($D$2:D474,D474)&gt;1,"DEVOLUCION DUPLICADA",IF(COUNTIFS(SALIDAS!$B$2:$B$1000,B474,SALIDAS!$D$2:$D$1000,D474,SALIDAS!$G$2:$G$1000,"OK*")=0,"NO FIGURA EN SALIDA","OK"))))</f>
        <v/>
      </c>
    </row>
    <row r="475">
      <c r="A475" s="9" t="inlineStr"/>
      <c r="B475" s="2" t="inlineStr"/>
      <c r="C475" s="2" t="inlineStr"/>
      <c r="D475" s="2" t="inlineStr"/>
      <c r="E475" s="2">
        <f>IF(D475="","",IFERROR(XLOOKUP(TRIM(D475),INVENTARIO!$A$2:$A$2000,INVENTARIO!$B$2:$B$2000),"NO ENCONTRADO"))</f>
        <v/>
      </c>
      <c r="F475" s="2">
        <f>IF(D475="","",IF(E475="NO ENCONTRADO","CODIGO NO EXISTE",IF(COUNTIF($D$2:D475,D475)&gt;1,"DEVOLUCION DUPLICADA",IF(COUNTIFS(SALIDAS!$B$2:$B$1000,B475,SALIDAS!$D$2:$D$1000,D475,SALIDAS!$G$2:$G$1000,"OK*")=0,"NO FIGURA EN SALIDA","OK"))))</f>
        <v/>
      </c>
    </row>
    <row r="476">
      <c r="A476" s="9" t="inlineStr"/>
      <c r="B476" s="2" t="inlineStr"/>
      <c r="C476" s="2" t="inlineStr"/>
      <c r="D476" s="2" t="inlineStr"/>
      <c r="E476" s="2">
        <f>IF(D476="","",IFERROR(XLOOKUP(TRIM(D476),INVENTARIO!$A$2:$A$2000,INVENTARIO!$B$2:$B$2000),"NO ENCONTRADO"))</f>
        <v/>
      </c>
      <c r="F476" s="2">
        <f>IF(D476="","",IF(E476="NO ENCONTRADO","CODIGO NO EXISTE",IF(COUNTIF($D$2:D476,D476)&gt;1,"DEVOLUCION DUPLICADA",IF(COUNTIFS(SALIDAS!$B$2:$B$1000,B476,SALIDAS!$D$2:$D$1000,D476,SALIDAS!$G$2:$G$1000,"OK*")=0,"NO FIGURA EN SALIDA","OK"))))</f>
        <v/>
      </c>
    </row>
    <row r="477">
      <c r="A477" s="9" t="inlineStr"/>
      <c r="B477" s="2" t="inlineStr"/>
      <c r="C477" s="2" t="inlineStr"/>
      <c r="D477" s="2" t="inlineStr"/>
      <c r="E477" s="2">
        <f>IF(D477="","",IFERROR(XLOOKUP(TRIM(D477),INVENTARIO!$A$2:$A$2000,INVENTARIO!$B$2:$B$2000),"NO ENCONTRADO"))</f>
        <v/>
      </c>
      <c r="F477" s="2">
        <f>IF(D477="","",IF(E477="NO ENCONTRADO","CODIGO NO EXISTE",IF(COUNTIF($D$2:D477,D477)&gt;1,"DEVOLUCION DUPLICADA",IF(COUNTIFS(SALIDAS!$B$2:$B$1000,B477,SALIDAS!$D$2:$D$1000,D477,SALIDAS!$G$2:$G$1000,"OK*")=0,"NO FIGURA EN SALIDA","OK"))))</f>
        <v/>
      </c>
    </row>
    <row r="478">
      <c r="A478" s="9" t="inlineStr"/>
      <c r="B478" s="2" t="inlineStr"/>
      <c r="C478" s="2" t="inlineStr"/>
      <c r="D478" s="2" t="inlineStr"/>
      <c r="E478" s="2">
        <f>IF(D478="","",IFERROR(XLOOKUP(TRIM(D478),INVENTARIO!$A$2:$A$2000,INVENTARIO!$B$2:$B$2000),"NO ENCONTRADO"))</f>
        <v/>
      </c>
      <c r="F478" s="2">
        <f>IF(D478="","",IF(E478="NO ENCONTRADO","CODIGO NO EXISTE",IF(COUNTIF($D$2:D478,D478)&gt;1,"DEVOLUCION DUPLICADA",IF(COUNTIFS(SALIDAS!$B$2:$B$1000,B478,SALIDAS!$D$2:$D$1000,D478,SALIDAS!$G$2:$G$1000,"OK*")=0,"NO FIGURA EN SALIDA","OK"))))</f>
        <v/>
      </c>
    </row>
    <row r="479">
      <c r="A479" s="9" t="inlineStr"/>
      <c r="B479" s="2" t="inlineStr"/>
      <c r="C479" s="2" t="inlineStr"/>
      <c r="D479" s="2" t="inlineStr"/>
      <c r="E479" s="2">
        <f>IF(D479="","",IFERROR(XLOOKUP(TRIM(D479),INVENTARIO!$A$2:$A$2000,INVENTARIO!$B$2:$B$2000),"NO ENCONTRADO"))</f>
        <v/>
      </c>
      <c r="F479" s="2">
        <f>IF(D479="","",IF(E479="NO ENCONTRADO","CODIGO NO EXISTE",IF(COUNTIF($D$2:D479,D479)&gt;1,"DEVOLUCION DUPLICADA",IF(COUNTIFS(SALIDAS!$B$2:$B$1000,B479,SALIDAS!$D$2:$D$1000,D479,SALIDAS!$G$2:$G$1000,"OK*")=0,"NO FIGURA EN SALIDA","OK"))))</f>
        <v/>
      </c>
    </row>
    <row r="480">
      <c r="A480" s="9" t="inlineStr"/>
      <c r="B480" s="2" t="inlineStr"/>
      <c r="C480" s="2" t="inlineStr"/>
      <c r="D480" s="2" t="inlineStr"/>
      <c r="E480" s="2">
        <f>IF(D480="","",IFERROR(XLOOKUP(TRIM(D480),INVENTARIO!$A$2:$A$2000,INVENTARIO!$B$2:$B$2000),"NO ENCONTRADO"))</f>
        <v/>
      </c>
      <c r="F480" s="2">
        <f>IF(D480="","",IF(E480="NO ENCONTRADO","CODIGO NO EXISTE",IF(COUNTIF($D$2:D480,D480)&gt;1,"DEVOLUCION DUPLICADA",IF(COUNTIFS(SALIDAS!$B$2:$B$1000,B480,SALIDAS!$D$2:$D$1000,D480,SALIDAS!$G$2:$G$1000,"OK*")=0,"NO FIGURA EN SALIDA","OK"))))</f>
        <v/>
      </c>
    </row>
    <row r="481">
      <c r="A481" s="9" t="inlineStr"/>
      <c r="B481" s="2" t="inlineStr"/>
      <c r="C481" s="2" t="inlineStr"/>
      <c r="D481" s="2" t="inlineStr"/>
      <c r="E481" s="2">
        <f>IF(D481="","",IFERROR(XLOOKUP(TRIM(D481),INVENTARIO!$A$2:$A$2000,INVENTARIO!$B$2:$B$2000),"NO ENCONTRADO"))</f>
        <v/>
      </c>
      <c r="F481" s="2">
        <f>IF(D481="","",IF(E481="NO ENCONTRADO","CODIGO NO EXISTE",IF(COUNTIF($D$2:D481,D481)&gt;1,"DEVOLUCION DUPLICADA",IF(COUNTIFS(SALIDAS!$B$2:$B$1000,B481,SALIDAS!$D$2:$D$1000,D481,SALIDAS!$G$2:$G$1000,"OK*")=0,"NO FIGURA EN SALIDA","OK"))))</f>
        <v/>
      </c>
    </row>
    <row r="482">
      <c r="A482" s="9" t="inlineStr"/>
      <c r="B482" s="2" t="inlineStr"/>
      <c r="C482" s="2" t="inlineStr"/>
      <c r="D482" s="2" t="inlineStr"/>
      <c r="E482" s="2">
        <f>IF(D482="","",IFERROR(XLOOKUP(TRIM(D482),INVENTARIO!$A$2:$A$2000,INVENTARIO!$B$2:$B$2000),"NO ENCONTRADO"))</f>
        <v/>
      </c>
      <c r="F482" s="2">
        <f>IF(D482="","",IF(E482="NO ENCONTRADO","CODIGO NO EXISTE",IF(COUNTIF($D$2:D482,D482)&gt;1,"DEVOLUCION DUPLICADA",IF(COUNTIFS(SALIDAS!$B$2:$B$1000,B482,SALIDAS!$D$2:$D$1000,D482,SALIDAS!$G$2:$G$1000,"OK*")=0,"NO FIGURA EN SALIDA","OK"))))</f>
        <v/>
      </c>
    </row>
    <row r="483">
      <c r="A483" s="9" t="inlineStr"/>
      <c r="B483" s="2" t="inlineStr"/>
      <c r="C483" s="2" t="inlineStr"/>
      <c r="D483" s="2" t="inlineStr"/>
      <c r="E483" s="2">
        <f>IF(D483="","",IFERROR(XLOOKUP(TRIM(D483),INVENTARIO!$A$2:$A$2000,INVENTARIO!$B$2:$B$2000),"NO ENCONTRADO"))</f>
        <v/>
      </c>
      <c r="F483" s="2">
        <f>IF(D483="","",IF(E483="NO ENCONTRADO","CODIGO NO EXISTE",IF(COUNTIF($D$2:D483,D483)&gt;1,"DEVOLUCION DUPLICADA",IF(COUNTIFS(SALIDAS!$B$2:$B$1000,B483,SALIDAS!$D$2:$D$1000,D483,SALIDAS!$G$2:$G$1000,"OK*")=0,"NO FIGURA EN SALIDA","OK"))))</f>
        <v/>
      </c>
    </row>
    <row r="484">
      <c r="A484" s="9" t="inlineStr"/>
      <c r="B484" s="2" t="inlineStr"/>
      <c r="C484" s="2" t="inlineStr"/>
      <c r="D484" s="2" t="inlineStr"/>
      <c r="E484" s="2">
        <f>IF(D484="","",IFERROR(XLOOKUP(TRIM(D484),INVENTARIO!$A$2:$A$2000,INVENTARIO!$B$2:$B$2000),"NO ENCONTRADO"))</f>
        <v/>
      </c>
      <c r="F484" s="2">
        <f>IF(D484="","",IF(E484="NO ENCONTRADO","CODIGO NO EXISTE",IF(COUNTIF($D$2:D484,D484)&gt;1,"DEVOLUCION DUPLICADA",IF(COUNTIFS(SALIDAS!$B$2:$B$1000,B484,SALIDAS!$D$2:$D$1000,D484,SALIDAS!$G$2:$G$1000,"OK*")=0,"NO FIGURA EN SALIDA","OK"))))</f>
        <v/>
      </c>
    </row>
    <row r="485">
      <c r="A485" s="9" t="inlineStr"/>
      <c r="B485" s="2" t="inlineStr"/>
      <c r="C485" s="2" t="inlineStr"/>
      <c r="D485" s="2" t="inlineStr"/>
      <c r="E485" s="2">
        <f>IF(D485="","",IFERROR(XLOOKUP(TRIM(D485),INVENTARIO!$A$2:$A$2000,INVENTARIO!$B$2:$B$2000),"NO ENCONTRADO"))</f>
        <v/>
      </c>
      <c r="F485" s="2">
        <f>IF(D485="","",IF(E485="NO ENCONTRADO","CODIGO NO EXISTE",IF(COUNTIF($D$2:D485,D485)&gt;1,"DEVOLUCION DUPLICADA",IF(COUNTIFS(SALIDAS!$B$2:$B$1000,B485,SALIDAS!$D$2:$D$1000,D485,SALIDAS!$G$2:$G$1000,"OK*")=0,"NO FIGURA EN SALIDA","OK"))))</f>
        <v/>
      </c>
    </row>
    <row r="486">
      <c r="A486" s="9" t="inlineStr"/>
      <c r="B486" s="2" t="inlineStr"/>
      <c r="C486" s="2" t="inlineStr"/>
      <c r="D486" s="2" t="inlineStr"/>
      <c r="E486" s="2">
        <f>IF(D486="","",IFERROR(XLOOKUP(TRIM(D486),INVENTARIO!$A$2:$A$2000,INVENTARIO!$B$2:$B$2000),"NO ENCONTRADO"))</f>
        <v/>
      </c>
      <c r="F486" s="2">
        <f>IF(D486="","",IF(E486="NO ENCONTRADO","CODIGO NO EXISTE",IF(COUNTIF($D$2:D486,D486)&gt;1,"DEVOLUCION DUPLICADA",IF(COUNTIFS(SALIDAS!$B$2:$B$1000,B486,SALIDAS!$D$2:$D$1000,D486,SALIDAS!$G$2:$G$1000,"OK*")=0,"NO FIGURA EN SALIDA","OK"))))</f>
        <v/>
      </c>
    </row>
    <row r="487">
      <c r="A487" s="9" t="inlineStr"/>
      <c r="B487" s="2" t="inlineStr"/>
      <c r="C487" s="2" t="inlineStr"/>
      <c r="D487" s="2" t="inlineStr"/>
      <c r="E487" s="2">
        <f>IF(D487="","",IFERROR(XLOOKUP(TRIM(D487),INVENTARIO!$A$2:$A$2000,INVENTARIO!$B$2:$B$2000),"NO ENCONTRADO"))</f>
        <v/>
      </c>
      <c r="F487" s="2">
        <f>IF(D487="","",IF(E487="NO ENCONTRADO","CODIGO NO EXISTE",IF(COUNTIF($D$2:D487,D487)&gt;1,"DEVOLUCION DUPLICADA",IF(COUNTIFS(SALIDAS!$B$2:$B$1000,B487,SALIDAS!$D$2:$D$1000,D487,SALIDAS!$G$2:$G$1000,"OK*")=0,"NO FIGURA EN SALIDA","OK"))))</f>
        <v/>
      </c>
    </row>
    <row r="488">
      <c r="A488" s="9" t="inlineStr"/>
      <c r="B488" s="2" t="inlineStr"/>
      <c r="C488" s="2" t="inlineStr"/>
      <c r="D488" s="2" t="inlineStr"/>
      <c r="E488" s="2">
        <f>IF(D488="","",IFERROR(XLOOKUP(TRIM(D488),INVENTARIO!$A$2:$A$2000,INVENTARIO!$B$2:$B$2000),"NO ENCONTRADO"))</f>
        <v/>
      </c>
      <c r="F488" s="2">
        <f>IF(D488="","",IF(E488="NO ENCONTRADO","CODIGO NO EXISTE",IF(COUNTIF($D$2:D488,D488)&gt;1,"DEVOLUCION DUPLICADA",IF(COUNTIFS(SALIDAS!$B$2:$B$1000,B488,SALIDAS!$D$2:$D$1000,D488,SALIDAS!$G$2:$G$1000,"OK*")=0,"NO FIGURA EN SALIDA","OK"))))</f>
        <v/>
      </c>
    </row>
    <row r="489">
      <c r="A489" s="9" t="inlineStr"/>
      <c r="B489" s="2" t="inlineStr"/>
      <c r="C489" s="2" t="inlineStr"/>
      <c r="D489" s="2" t="inlineStr"/>
      <c r="E489" s="2">
        <f>IF(D489="","",IFERROR(XLOOKUP(TRIM(D489),INVENTARIO!$A$2:$A$2000,INVENTARIO!$B$2:$B$2000),"NO ENCONTRADO"))</f>
        <v/>
      </c>
      <c r="F489" s="2">
        <f>IF(D489="","",IF(E489="NO ENCONTRADO","CODIGO NO EXISTE",IF(COUNTIF($D$2:D489,D489)&gt;1,"DEVOLUCION DUPLICADA",IF(COUNTIFS(SALIDAS!$B$2:$B$1000,B489,SALIDAS!$D$2:$D$1000,D489,SALIDAS!$G$2:$G$1000,"OK*")=0,"NO FIGURA EN SALIDA","OK"))))</f>
        <v/>
      </c>
    </row>
    <row r="490">
      <c r="A490" s="9" t="inlineStr"/>
      <c r="B490" s="2" t="inlineStr"/>
      <c r="C490" s="2" t="inlineStr"/>
      <c r="D490" s="2" t="inlineStr"/>
      <c r="E490" s="2">
        <f>IF(D490="","",IFERROR(XLOOKUP(TRIM(D490),INVENTARIO!$A$2:$A$2000,INVENTARIO!$B$2:$B$2000),"NO ENCONTRADO"))</f>
        <v/>
      </c>
      <c r="F490" s="2">
        <f>IF(D490="","",IF(E490="NO ENCONTRADO","CODIGO NO EXISTE",IF(COUNTIF($D$2:D490,D490)&gt;1,"DEVOLUCION DUPLICADA",IF(COUNTIFS(SALIDAS!$B$2:$B$1000,B490,SALIDAS!$D$2:$D$1000,D490,SALIDAS!$G$2:$G$1000,"OK*")=0,"NO FIGURA EN SALIDA","OK"))))</f>
        <v/>
      </c>
    </row>
    <row r="491">
      <c r="A491" s="9" t="inlineStr"/>
      <c r="B491" s="2" t="inlineStr"/>
      <c r="C491" s="2" t="inlineStr"/>
      <c r="D491" s="2" t="inlineStr"/>
      <c r="E491" s="2">
        <f>IF(D491="","",IFERROR(XLOOKUP(TRIM(D491),INVENTARIO!$A$2:$A$2000,INVENTARIO!$B$2:$B$2000),"NO ENCONTRADO"))</f>
        <v/>
      </c>
      <c r="F491" s="2">
        <f>IF(D491="","",IF(E491="NO ENCONTRADO","CODIGO NO EXISTE",IF(COUNTIF($D$2:D491,D491)&gt;1,"DEVOLUCION DUPLICADA",IF(COUNTIFS(SALIDAS!$B$2:$B$1000,B491,SALIDAS!$D$2:$D$1000,D491,SALIDAS!$G$2:$G$1000,"OK*")=0,"NO FIGURA EN SALIDA","OK"))))</f>
        <v/>
      </c>
    </row>
    <row r="492">
      <c r="A492" s="9" t="inlineStr"/>
      <c r="B492" s="2" t="inlineStr"/>
      <c r="C492" s="2" t="inlineStr"/>
      <c r="D492" s="2" t="inlineStr"/>
      <c r="E492" s="2">
        <f>IF(D492="","",IFERROR(XLOOKUP(TRIM(D492),INVENTARIO!$A$2:$A$2000,INVENTARIO!$B$2:$B$2000),"NO ENCONTRADO"))</f>
        <v/>
      </c>
      <c r="F492" s="2">
        <f>IF(D492="","",IF(E492="NO ENCONTRADO","CODIGO NO EXISTE",IF(COUNTIF($D$2:D492,D492)&gt;1,"DEVOLUCION DUPLICADA",IF(COUNTIFS(SALIDAS!$B$2:$B$1000,B492,SALIDAS!$D$2:$D$1000,D492,SALIDAS!$G$2:$G$1000,"OK*")=0,"NO FIGURA EN SALIDA","OK"))))</f>
        <v/>
      </c>
    </row>
    <row r="493">
      <c r="A493" s="9" t="inlineStr"/>
      <c r="B493" s="2" t="inlineStr"/>
      <c r="C493" s="2" t="inlineStr"/>
      <c r="D493" s="2" t="inlineStr"/>
      <c r="E493" s="2">
        <f>IF(D493="","",IFERROR(XLOOKUP(TRIM(D493),INVENTARIO!$A$2:$A$2000,INVENTARIO!$B$2:$B$2000),"NO ENCONTRADO"))</f>
        <v/>
      </c>
      <c r="F493" s="2">
        <f>IF(D493="","",IF(E493="NO ENCONTRADO","CODIGO NO EXISTE",IF(COUNTIF($D$2:D493,D493)&gt;1,"DEVOLUCION DUPLICADA",IF(COUNTIFS(SALIDAS!$B$2:$B$1000,B493,SALIDAS!$D$2:$D$1000,D493,SALIDAS!$G$2:$G$1000,"OK*")=0,"NO FIGURA EN SALIDA","OK"))))</f>
        <v/>
      </c>
    </row>
    <row r="494">
      <c r="A494" s="9" t="inlineStr"/>
      <c r="B494" s="2" t="inlineStr"/>
      <c r="C494" s="2" t="inlineStr"/>
      <c r="D494" s="2" t="inlineStr"/>
      <c r="E494" s="2">
        <f>IF(D494="","",IFERROR(XLOOKUP(TRIM(D494),INVENTARIO!$A$2:$A$2000,INVENTARIO!$B$2:$B$2000),"NO ENCONTRADO"))</f>
        <v/>
      </c>
      <c r="F494" s="2">
        <f>IF(D494="","",IF(E494="NO ENCONTRADO","CODIGO NO EXISTE",IF(COUNTIF($D$2:D494,D494)&gt;1,"DEVOLUCION DUPLICADA",IF(COUNTIFS(SALIDAS!$B$2:$B$1000,B494,SALIDAS!$D$2:$D$1000,D494,SALIDAS!$G$2:$G$1000,"OK*")=0,"NO FIGURA EN SALIDA","OK"))))</f>
        <v/>
      </c>
    </row>
    <row r="495">
      <c r="A495" s="9" t="inlineStr"/>
      <c r="B495" s="2" t="inlineStr"/>
      <c r="C495" s="2" t="inlineStr"/>
      <c r="D495" s="2" t="inlineStr"/>
      <c r="E495" s="2">
        <f>IF(D495="","",IFERROR(XLOOKUP(TRIM(D495),INVENTARIO!$A$2:$A$2000,INVENTARIO!$B$2:$B$2000),"NO ENCONTRADO"))</f>
        <v/>
      </c>
      <c r="F495" s="2">
        <f>IF(D495="","",IF(E495="NO ENCONTRADO","CODIGO NO EXISTE",IF(COUNTIF($D$2:D495,D495)&gt;1,"DEVOLUCION DUPLICADA",IF(COUNTIFS(SALIDAS!$B$2:$B$1000,B495,SALIDAS!$D$2:$D$1000,D495,SALIDAS!$G$2:$G$1000,"OK*")=0,"NO FIGURA EN SALIDA","OK"))))</f>
        <v/>
      </c>
    </row>
    <row r="496">
      <c r="A496" s="9" t="inlineStr"/>
      <c r="B496" s="2" t="inlineStr"/>
      <c r="C496" s="2" t="inlineStr"/>
      <c r="D496" s="2" t="inlineStr"/>
      <c r="E496" s="2">
        <f>IF(D496="","",IFERROR(XLOOKUP(TRIM(D496),INVENTARIO!$A$2:$A$2000,INVENTARIO!$B$2:$B$2000),"NO ENCONTRADO"))</f>
        <v/>
      </c>
      <c r="F496" s="2">
        <f>IF(D496="","",IF(E496="NO ENCONTRADO","CODIGO NO EXISTE",IF(COUNTIF($D$2:D496,D496)&gt;1,"DEVOLUCION DUPLICADA",IF(COUNTIFS(SALIDAS!$B$2:$B$1000,B496,SALIDAS!$D$2:$D$1000,D496,SALIDAS!$G$2:$G$1000,"OK*")=0,"NO FIGURA EN SALIDA","OK"))))</f>
        <v/>
      </c>
    </row>
    <row r="497">
      <c r="A497" s="9" t="inlineStr"/>
      <c r="B497" s="2" t="inlineStr"/>
      <c r="C497" s="2" t="inlineStr"/>
      <c r="D497" s="2" t="inlineStr"/>
      <c r="E497" s="2">
        <f>IF(D497="","",IFERROR(XLOOKUP(TRIM(D497),INVENTARIO!$A$2:$A$2000,INVENTARIO!$B$2:$B$2000),"NO ENCONTRADO"))</f>
        <v/>
      </c>
      <c r="F497" s="2">
        <f>IF(D497="","",IF(E497="NO ENCONTRADO","CODIGO NO EXISTE",IF(COUNTIF($D$2:D497,D497)&gt;1,"DEVOLUCION DUPLICADA",IF(COUNTIFS(SALIDAS!$B$2:$B$1000,B497,SALIDAS!$D$2:$D$1000,D497,SALIDAS!$G$2:$G$1000,"OK*")=0,"NO FIGURA EN SALIDA","OK"))))</f>
        <v/>
      </c>
    </row>
    <row r="498">
      <c r="A498" s="9" t="inlineStr"/>
      <c r="B498" s="2" t="inlineStr"/>
      <c r="C498" s="2" t="inlineStr"/>
      <c r="D498" s="2" t="inlineStr"/>
      <c r="E498" s="2">
        <f>IF(D498="","",IFERROR(XLOOKUP(TRIM(D498),INVENTARIO!$A$2:$A$2000,INVENTARIO!$B$2:$B$2000),"NO ENCONTRADO"))</f>
        <v/>
      </c>
      <c r="F498" s="2">
        <f>IF(D498="","",IF(E498="NO ENCONTRADO","CODIGO NO EXISTE",IF(COUNTIF($D$2:D498,D498)&gt;1,"DEVOLUCION DUPLICADA",IF(COUNTIFS(SALIDAS!$B$2:$B$1000,B498,SALIDAS!$D$2:$D$1000,D498,SALIDAS!$G$2:$G$1000,"OK*")=0,"NO FIGURA EN SALIDA","OK"))))</f>
        <v/>
      </c>
    </row>
    <row r="499">
      <c r="A499" s="9" t="inlineStr"/>
      <c r="B499" s="2" t="inlineStr"/>
      <c r="C499" s="2" t="inlineStr"/>
      <c r="D499" s="2" t="inlineStr"/>
      <c r="E499" s="2">
        <f>IF(D499="","",IFERROR(XLOOKUP(TRIM(D499),INVENTARIO!$A$2:$A$2000,INVENTARIO!$B$2:$B$2000),"NO ENCONTRADO"))</f>
        <v/>
      </c>
      <c r="F499" s="2">
        <f>IF(D499="","",IF(E499="NO ENCONTRADO","CODIGO NO EXISTE",IF(COUNTIF($D$2:D499,D499)&gt;1,"DEVOLUCION DUPLICADA",IF(COUNTIFS(SALIDAS!$B$2:$B$1000,B499,SALIDAS!$D$2:$D$1000,D499,SALIDAS!$G$2:$G$1000,"OK*")=0,"NO FIGURA EN SALIDA","OK"))))</f>
        <v/>
      </c>
    </row>
    <row r="500">
      <c r="A500" s="9" t="inlineStr"/>
      <c r="B500" s="2" t="inlineStr"/>
      <c r="C500" s="2" t="inlineStr"/>
      <c r="D500" s="2" t="inlineStr"/>
      <c r="E500" s="2">
        <f>IF(D500="","",IFERROR(XLOOKUP(TRIM(D500),INVENTARIO!$A$2:$A$2000,INVENTARIO!$B$2:$B$2000),"NO ENCONTRADO"))</f>
        <v/>
      </c>
      <c r="F500" s="2">
        <f>IF(D500="","",IF(E500="NO ENCONTRADO","CODIGO NO EXISTE",IF(COUNTIF($D$2:D500,D500)&gt;1,"DEVOLUCION DUPLICADA",IF(COUNTIFS(SALIDAS!$B$2:$B$1000,B500,SALIDAS!$D$2:$D$1000,D500,SALIDAS!$G$2:$G$1000,"OK*")=0,"NO FIGURA EN SALIDA","OK"))))</f>
        <v/>
      </c>
    </row>
    <row r="501">
      <c r="A501" s="9" t="inlineStr"/>
      <c r="B501" s="2" t="inlineStr"/>
      <c r="C501" s="2" t="inlineStr"/>
      <c r="D501" s="2" t="inlineStr"/>
      <c r="E501" s="2">
        <f>IF(D501="","",IFERROR(XLOOKUP(TRIM(D501),INVENTARIO!$A$2:$A$2000,INVENTARIO!$B$2:$B$2000),"NO ENCONTRADO"))</f>
        <v/>
      </c>
      <c r="F501" s="2">
        <f>IF(D501="","",IF(E501="NO ENCONTRADO","CODIGO NO EXISTE",IF(COUNTIF($D$2:D501,D501)&gt;1,"DEVOLUCION DUPLICADA",IF(COUNTIFS(SALIDAS!$B$2:$B$1000,B501,SALIDAS!$D$2:$D$1000,D501,SALIDAS!$G$2:$G$1000,"OK*")=0,"NO FIGURA EN SALIDA","OK"))))</f>
        <v/>
      </c>
    </row>
    <row r="502">
      <c r="A502" s="9" t="inlineStr"/>
      <c r="B502" s="2" t="inlineStr"/>
      <c r="C502" s="2" t="inlineStr"/>
      <c r="D502" s="2" t="inlineStr"/>
      <c r="E502" s="2">
        <f>IF(D502="","",IFERROR(XLOOKUP(TRIM(D502),INVENTARIO!$A$2:$A$2000,INVENTARIO!$B$2:$B$2000),"NO ENCONTRADO"))</f>
        <v/>
      </c>
      <c r="F502" s="2">
        <f>IF(D502="","",IF(E502="NO ENCONTRADO","CODIGO NO EXISTE",IF(COUNTIF($D$2:D502,D502)&gt;1,"DEVOLUCION DUPLICADA",IF(COUNTIFS(SALIDAS!$B$2:$B$1000,B502,SALIDAS!$D$2:$D$1000,D502,SALIDAS!$G$2:$G$1000,"OK*")=0,"NO FIGURA EN SALIDA","OK"))))</f>
        <v/>
      </c>
    </row>
    <row r="503">
      <c r="A503" s="9" t="inlineStr"/>
      <c r="B503" s="2" t="inlineStr"/>
      <c r="C503" s="2" t="inlineStr"/>
      <c r="D503" s="2" t="inlineStr"/>
      <c r="E503" s="2">
        <f>IF(D503="","",IFERROR(XLOOKUP(TRIM(D503),INVENTARIO!$A$2:$A$2000,INVENTARIO!$B$2:$B$2000),"NO ENCONTRADO"))</f>
        <v/>
      </c>
      <c r="F503" s="2">
        <f>IF(D503="","",IF(E503="NO ENCONTRADO","CODIGO NO EXISTE",IF(COUNTIF($D$2:D503,D503)&gt;1,"DEVOLUCION DUPLICADA",IF(COUNTIFS(SALIDAS!$B$2:$B$1000,B503,SALIDAS!$D$2:$D$1000,D503,SALIDAS!$G$2:$G$1000,"OK*")=0,"NO FIGURA EN SALIDA","OK"))))</f>
        <v/>
      </c>
    </row>
    <row r="504">
      <c r="A504" s="9" t="inlineStr"/>
      <c r="B504" s="2" t="inlineStr"/>
      <c r="C504" s="2" t="inlineStr"/>
      <c r="D504" s="2" t="inlineStr"/>
      <c r="E504" s="2">
        <f>IF(D504="","",IFERROR(XLOOKUP(TRIM(D504),INVENTARIO!$A$2:$A$2000,INVENTARIO!$B$2:$B$2000),"NO ENCONTRADO"))</f>
        <v/>
      </c>
      <c r="F504" s="2">
        <f>IF(D504="","",IF(E504="NO ENCONTRADO","CODIGO NO EXISTE",IF(COUNTIF($D$2:D504,D504)&gt;1,"DEVOLUCION DUPLICADA",IF(COUNTIFS(SALIDAS!$B$2:$B$1000,B504,SALIDAS!$D$2:$D$1000,D504,SALIDAS!$G$2:$G$1000,"OK*")=0,"NO FIGURA EN SALIDA","OK"))))</f>
        <v/>
      </c>
    </row>
    <row r="505">
      <c r="A505" s="9" t="inlineStr"/>
      <c r="B505" s="2" t="inlineStr"/>
      <c r="C505" s="2" t="inlineStr"/>
      <c r="D505" s="2" t="inlineStr"/>
      <c r="E505" s="2">
        <f>IF(D505="","",IFERROR(XLOOKUP(TRIM(D505),INVENTARIO!$A$2:$A$2000,INVENTARIO!$B$2:$B$2000),"NO ENCONTRADO"))</f>
        <v/>
      </c>
      <c r="F505" s="2">
        <f>IF(D505="","",IF(E505="NO ENCONTRADO","CODIGO NO EXISTE",IF(COUNTIF($D$2:D505,D505)&gt;1,"DEVOLUCION DUPLICADA",IF(COUNTIFS(SALIDAS!$B$2:$B$1000,B505,SALIDAS!$D$2:$D$1000,D505,SALIDAS!$G$2:$G$1000,"OK*")=0,"NO FIGURA EN SALIDA","OK"))))</f>
        <v/>
      </c>
    </row>
    <row r="506">
      <c r="A506" s="9" t="inlineStr"/>
      <c r="B506" s="2" t="inlineStr"/>
      <c r="C506" s="2" t="inlineStr"/>
      <c r="D506" s="2" t="inlineStr"/>
      <c r="E506" s="2">
        <f>IF(D506="","",IFERROR(XLOOKUP(TRIM(D506),INVENTARIO!$A$2:$A$2000,INVENTARIO!$B$2:$B$2000),"NO ENCONTRADO"))</f>
        <v/>
      </c>
      <c r="F506" s="2">
        <f>IF(D506="","",IF(E506="NO ENCONTRADO","CODIGO NO EXISTE",IF(COUNTIF($D$2:D506,D506)&gt;1,"DEVOLUCION DUPLICADA",IF(COUNTIFS(SALIDAS!$B$2:$B$1000,B506,SALIDAS!$D$2:$D$1000,D506,SALIDAS!$G$2:$G$1000,"OK*")=0,"NO FIGURA EN SALIDA","OK"))))</f>
        <v/>
      </c>
    </row>
    <row r="507">
      <c r="A507" s="9" t="inlineStr"/>
      <c r="B507" s="2" t="inlineStr"/>
      <c r="C507" s="2" t="inlineStr"/>
      <c r="D507" s="2" t="inlineStr"/>
      <c r="E507" s="2">
        <f>IF(D507="","",IFERROR(XLOOKUP(TRIM(D507),INVENTARIO!$A$2:$A$2000,INVENTARIO!$B$2:$B$2000),"NO ENCONTRADO"))</f>
        <v/>
      </c>
      <c r="F507" s="2">
        <f>IF(D507="","",IF(E507="NO ENCONTRADO","CODIGO NO EXISTE",IF(COUNTIF($D$2:D507,D507)&gt;1,"DEVOLUCION DUPLICADA",IF(COUNTIFS(SALIDAS!$B$2:$B$1000,B507,SALIDAS!$D$2:$D$1000,D507,SALIDAS!$G$2:$G$1000,"OK*")=0,"NO FIGURA EN SALIDA","OK"))))</f>
        <v/>
      </c>
    </row>
    <row r="508">
      <c r="A508" s="9" t="inlineStr"/>
      <c r="B508" s="2" t="inlineStr"/>
      <c r="C508" s="2" t="inlineStr"/>
      <c r="D508" s="2" t="inlineStr"/>
      <c r="E508" s="2">
        <f>IF(D508="","",IFERROR(XLOOKUP(TRIM(D508),INVENTARIO!$A$2:$A$2000,INVENTARIO!$B$2:$B$2000),"NO ENCONTRADO"))</f>
        <v/>
      </c>
      <c r="F508" s="2">
        <f>IF(D508="","",IF(E508="NO ENCONTRADO","CODIGO NO EXISTE",IF(COUNTIF($D$2:D508,D508)&gt;1,"DEVOLUCION DUPLICADA",IF(COUNTIFS(SALIDAS!$B$2:$B$1000,B508,SALIDAS!$D$2:$D$1000,D508,SALIDAS!$G$2:$G$1000,"OK*")=0,"NO FIGURA EN SALIDA","OK"))))</f>
        <v/>
      </c>
    </row>
    <row r="509">
      <c r="A509" s="9" t="inlineStr"/>
      <c r="B509" s="2" t="inlineStr"/>
      <c r="C509" s="2" t="inlineStr"/>
      <c r="D509" s="2" t="inlineStr"/>
      <c r="E509" s="2">
        <f>IF(D509="","",IFERROR(XLOOKUP(TRIM(D509),INVENTARIO!$A$2:$A$2000,INVENTARIO!$B$2:$B$2000),"NO ENCONTRADO"))</f>
        <v/>
      </c>
      <c r="F509" s="2">
        <f>IF(D509="","",IF(E509="NO ENCONTRADO","CODIGO NO EXISTE",IF(COUNTIF($D$2:D509,D509)&gt;1,"DEVOLUCION DUPLICADA",IF(COUNTIFS(SALIDAS!$B$2:$B$1000,B509,SALIDAS!$D$2:$D$1000,D509,SALIDAS!$G$2:$G$1000,"OK*")=0,"NO FIGURA EN SALIDA","OK"))))</f>
        <v/>
      </c>
    </row>
    <row r="510">
      <c r="A510" s="9" t="inlineStr"/>
      <c r="B510" s="2" t="inlineStr"/>
      <c r="C510" s="2" t="inlineStr"/>
      <c r="D510" s="2" t="inlineStr"/>
      <c r="E510" s="2">
        <f>IF(D510="","",IFERROR(XLOOKUP(TRIM(D510),INVENTARIO!$A$2:$A$2000,INVENTARIO!$B$2:$B$2000),"NO ENCONTRADO"))</f>
        <v/>
      </c>
      <c r="F510" s="2">
        <f>IF(D510="","",IF(E510="NO ENCONTRADO","CODIGO NO EXISTE",IF(COUNTIF($D$2:D510,D510)&gt;1,"DEVOLUCION DUPLICADA",IF(COUNTIFS(SALIDAS!$B$2:$B$1000,B510,SALIDAS!$D$2:$D$1000,D510,SALIDAS!$G$2:$G$1000,"OK*")=0,"NO FIGURA EN SALIDA","OK"))))</f>
        <v/>
      </c>
    </row>
    <row r="511">
      <c r="A511" s="9" t="inlineStr"/>
      <c r="B511" s="2" t="inlineStr"/>
      <c r="C511" s="2" t="inlineStr"/>
      <c r="D511" s="2" t="inlineStr"/>
      <c r="E511" s="2">
        <f>IF(D511="","",IFERROR(XLOOKUP(TRIM(D511),INVENTARIO!$A$2:$A$2000,INVENTARIO!$B$2:$B$2000),"NO ENCONTRADO"))</f>
        <v/>
      </c>
      <c r="F511" s="2">
        <f>IF(D511="","",IF(E511="NO ENCONTRADO","CODIGO NO EXISTE",IF(COUNTIF($D$2:D511,D511)&gt;1,"DEVOLUCION DUPLICADA",IF(COUNTIFS(SALIDAS!$B$2:$B$1000,B511,SALIDAS!$D$2:$D$1000,D511,SALIDAS!$G$2:$G$1000,"OK*")=0,"NO FIGURA EN SALIDA","OK"))))</f>
        <v/>
      </c>
    </row>
    <row r="512">
      <c r="A512" s="9" t="inlineStr"/>
      <c r="B512" s="2" t="inlineStr"/>
      <c r="C512" s="2" t="inlineStr"/>
      <c r="D512" s="2" t="inlineStr"/>
      <c r="E512" s="2">
        <f>IF(D512="","",IFERROR(XLOOKUP(TRIM(D512),INVENTARIO!$A$2:$A$2000,INVENTARIO!$B$2:$B$2000),"NO ENCONTRADO"))</f>
        <v/>
      </c>
      <c r="F512" s="2">
        <f>IF(D512="","",IF(E512="NO ENCONTRADO","CODIGO NO EXISTE",IF(COUNTIF($D$2:D512,D512)&gt;1,"DEVOLUCION DUPLICADA",IF(COUNTIFS(SALIDAS!$B$2:$B$1000,B512,SALIDAS!$D$2:$D$1000,D512,SALIDAS!$G$2:$G$1000,"OK*")=0,"NO FIGURA EN SALIDA","OK"))))</f>
        <v/>
      </c>
    </row>
    <row r="513">
      <c r="A513" s="9" t="inlineStr"/>
      <c r="B513" s="2" t="inlineStr"/>
      <c r="C513" s="2" t="inlineStr"/>
      <c r="D513" s="2" t="inlineStr"/>
      <c r="E513" s="2">
        <f>IF(D513="","",IFERROR(XLOOKUP(TRIM(D513),INVENTARIO!$A$2:$A$2000,INVENTARIO!$B$2:$B$2000),"NO ENCONTRADO"))</f>
        <v/>
      </c>
      <c r="F513" s="2">
        <f>IF(D513="","",IF(E513="NO ENCONTRADO","CODIGO NO EXISTE",IF(COUNTIF($D$2:D513,D513)&gt;1,"DEVOLUCION DUPLICADA",IF(COUNTIFS(SALIDAS!$B$2:$B$1000,B513,SALIDAS!$D$2:$D$1000,D513,SALIDAS!$G$2:$G$1000,"OK*")=0,"NO FIGURA EN SALIDA","OK"))))</f>
        <v/>
      </c>
    </row>
    <row r="514">
      <c r="A514" s="9" t="inlineStr"/>
      <c r="B514" s="2" t="inlineStr"/>
      <c r="C514" s="2" t="inlineStr"/>
      <c r="D514" s="2" t="inlineStr"/>
      <c r="E514" s="2">
        <f>IF(D514="","",IFERROR(XLOOKUP(TRIM(D514),INVENTARIO!$A$2:$A$2000,INVENTARIO!$B$2:$B$2000),"NO ENCONTRADO"))</f>
        <v/>
      </c>
      <c r="F514" s="2">
        <f>IF(D514="","",IF(E514="NO ENCONTRADO","CODIGO NO EXISTE",IF(COUNTIF($D$2:D514,D514)&gt;1,"DEVOLUCION DUPLICADA",IF(COUNTIFS(SALIDAS!$B$2:$B$1000,B514,SALIDAS!$D$2:$D$1000,D514,SALIDAS!$G$2:$G$1000,"OK*")=0,"NO FIGURA EN SALIDA","OK"))))</f>
        <v/>
      </c>
    </row>
    <row r="515">
      <c r="A515" s="9" t="inlineStr"/>
      <c r="B515" s="2" t="inlineStr"/>
      <c r="C515" s="2" t="inlineStr"/>
      <c r="D515" s="2" t="inlineStr"/>
      <c r="E515" s="2">
        <f>IF(D515="","",IFERROR(XLOOKUP(TRIM(D515),INVENTARIO!$A$2:$A$2000,INVENTARIO!$B$2:$B$2000),"NO ENCONTRADO"))</f>
        <v/>
      </c>
      <c r="F515" s="2">
        <f>IF(D515="","",IF(E515="NO ENCONTRADO","CODIGO NO EXISTE",IF(COUNTIF($D$2:D515,D515)&gt;1,"DEVOLUCION DUPLICADA",IF(COUNTIFS(SALIDAS!$B$2:$B$1000,B515,SALIDAS!$D$2:$D$1000,D515,SALIDAS!$G$2:$G$1000,"OK*")=0,"NO FIGURA EN SALIDA","OK"))))</f>
        <v/>
      </c>
    </row>
    <row r="516">
      <c r="A516" s="9" t="inlineStr"/>
      <c r="B516" s="2" t="inlineStr"/>
      <c r="C516" s="2" t="inlineStr"/>
      <c r="D516" s="2" t="inlineStr"/>
      <c r="E516" s="2">
        <f>IF(D516="","",IFERROR(XLOOKUP(TRIM(D516),INVENTARIO!$A$2:$A$2000,INVENTARIO!$B$2:$B$2000),"NO ENCONTRADO"))</f>
        <v/>
      </c>
      <c r="F516" s="2">
        <f>IF(D516="","",IF(E516="NO ENCONTRADO","CODIGO NO EXISTE",IF(COUNTIF($D$2:D516,D516)&gt;1,"DEVOLUCION DUPLICADA",IF(COUNTIFS(SALIDAS!$B$2:$B$1000,B516,SALIDAS!$D$2:$D$1000,D516,SALIDAS!$G$2:$G$1000,"OK*")=0,"NO FIGURA EN SALIDA","OK"))))</f>
        <v/>
      </c>
    </row>
    <row r="517">
      <c r="A517" s="9" t="inlineStr"/>
      <c r="B517" s="2" t="inlineStr"/>
      <c r="C517" s="2" t="inlineStr"/>
      <c r="D517" s="2" t="inlineStr"/>
      <c r="E517" s="2">
        <f>IF(D517="","",IFERROR(XLOOKUP(TRIM(D517),INVENTARIO!$A$2:$A$2000,INVENTARIO!$B$2:$B$2000),"NO ENCONTRADO"))</f>
        <v/>
      </c>
      <c r="F517" s="2">
        <f>IF(D517="","",IF(E517="NO ENCONTRADO","CODIGO NO EXISTE",IF(COUNTIF($D$2:D517,D517)&gt;1,"DEVOLUCION DUPLICADA",IF(COUNTIFS(SALIDAS!$B$2:$B$1000,B517,SALIDAS!$D$2:$D$1000,D517,SALIDAS!$G$2:$G$1000,"OK*")=0,"NO FIGURA EN SALIDA","OK"))))</f>
        <v/>
      </c>
    </row>
    <row r="518">
      <c r="A518" s="9" t="inlineStr"/>
      <c r="B518" s="2" t="inlineStr"/>
      <c r="C518" s="2" t="inlineStr"/>
      <c r="D518" s="2" t="inlineStr"/>
      <c r="E518" s="2">
        <f>IF(D518="","",IFERROR(XLOOKUP(TRIM(D518),INVENTARIO!$A$2:$A$2000,INVENTARIO!$B$2:$B$2000),"NO ENCONTRADO"))</f>
        <v/>
      </c>
      <c r="F518" s="2">
        <f>IF(D518="","",IF(E518="NO ENCONTRADO","CODIGO NO EXISTE",IF(COUNTIF($D$2:D518,D518)&gt;1,"DEVOLUCION DUPLICADA",IF(COUNTIFS(SALIDAS!$B$2:$B$1000,B518,SALIDAS!$D$2:$D$1000,D518,SALIDAS!$G$2:$G$1000,"OK*")=0,"NO FIGURA EN SALIDA","OK"))))</f>
        <v/>
      </c>
    </row>
    <row r="519">
      <c r="A519" s="9" t="inlineStr"/>
      <c r="B519" s="2" t="inlineStr"/>
      <c r="C519" s="2" t="inlineStr"/>
      <c r="D519" s="2" t="inlineStr"/>
      <c r="E519" s="2">
        <f>IF(D519="","",IFERROR(XLOOKUP(TRIM(D519),INVENTARIO!$A$2:$A$2000,INVENTARIO!$B$2:$B$2000),"NO ENCONTRADO"))</f>
        <v/>
      </c>
      <c r="F519" s="2">
        <f>IF(D519="","",IF(E519="NO ENCONTRADO","CODIGO NO EXISTE",IF(COUNTIF($D$2:D519,D519)&gt;1,"DEVOLUCION DUPLICADA",IF(COUNTIFS(SALIDAS!$B$2:$B$1000,B519,SALIDAS!$D$2:$D$1000,D519,SALIDAS!$G$2:$G$1000,"OK*")=0,"NO FIGURA EN SALIDA","OK"))))</f>
        <v/>
      </c>
    </row>
    <row r="520">
      <c r="A520" s="9" t="inlineStr"/>
      <c r="B520" s="2" t="inlineStr"/>
      <c r="C520" s="2" t="inlineStr"/>
      <c r="D520" s="2" t="inlineStr"/>
      <c r="E520" s="2">
        <f>IF(D520="","",IFERROR(XLOOKUP(TRIM(D520),INVENTARIO!$A$2:$A$2000,INVENTARIO!$B$2:$B$2000),"NO ENCONTRADO"))</f>
        <v/>
      </c>
      <c r="F520" s="2">
        <f>IF(D520="","",IF(E520="NO ENCONTRADO","CODIGO NO EXISTE",IF(COUNTIF($D$2:D520,D520)&gt;1,"DEVOLUCION DUPLICADA",IF(COUNTIFS(SALIDAS!$B$2:$B$1000,B520,SALIDAS!$D$2:$D$1000,D520,SALIDAS!$G$2:$G$1000,"OK*")=0,"NO FIGURA EN SALIDA","OK"))))</f>
        <v/>
      </c>
    </row>
    <row r="521">
      <c r="A521" s="9" t="inlineStr"/>
      <c r="B521" s="2" t="inlineStr"/>
      <c r="C521" s="2" t="inlineStr"/>
      <c r="D521" s="2" t="inlineStr"/>
      <c r="E521" s="2">
        <f>IF(D521="","",IFERROR(XLOOKUP(TRIM(D521),INVENTARIO!$A$2:$A$2000,INVENTARIO!$B$2:$B$2000),"NO ENCONTRADO"))</f>
        <v/>
      </c>
      <c r="F521" s="2">
        <f>IF(D521="","",IF(E521="NO ENCONTRADO","CODIGO NO EXISTE",IF(COUNTIF($D$2:D521,D521)&gt;1,"DEVOLUCION DUPLICADA",IF(COUNTIFS(SALIDAS!$B$2:$B$1000,B521,SALIDAS!$D$2:$D$1000,D521,SALIDAS!$G$2:$G$1000,"OK*")=0,"NO FIGURA EN SALIDA","OK"))))</f>
        <v/>
      </c>
    </row>
    <row r="522">
      <c r="A522" s="9" t="inlineStr"/>
      <c r="B522" s="2" t="inlineStr"/>
      <c r="C522" s="2" t="inlineStr"/>
      <c r="D522" s="2" t="inlineStr"/>
      <c r="E522" s="2">
        <f>IF(D522="","",IFERROR(XLOOKUP(TRIM(D522),INVENTARIO!$A$2:$A$2000,INVENTARIO!$B$2:$B$2000),"NO ENCONTRADO"))</f>
        <v/>
      </c>
      <c r="F522" s="2">
        <f>IF(D522="","",IF(E522="NO ENCONTRADO","CODIGO NO EXISTE",IF(COUNTIF($D$2:D522,D522)&gt;1,"DEVOLUCION DUPLICADA",IF(COUNTIFS(SALIDAS!$B$2:$B$1000,B522,SALIDAS!$D$2:$D$1000,D522,SALIDAS!$G$2:$G$1000,"OK*")=0,"NO FIGURA EN SALIDA","OK"))))</f>
        <v/>
      </c>
    </row>
    <row r="523">
      <c r="A523" s="9" t="inlineStr"/>
      <c r="B523" s="2" t="inlineStr"/>
      <c r="C523" s="2" t="inlineStr"/>
      <c r="D523" s="2" t="inlineStr"/>
      <c r="E523" s="2">
        <f>IF(D523="","",IFERROR(XLOOKUP(TRIM(D523),INVENTARIO!$A$2:$A$2000,INVENTARIO!$B$2:$B$2000),"NO ENCONTRADO"))</f>
        <v/>
      </c>
      <c r="F523" s="2">
        <f>IF(D523="","",IF(E523="NO ENCONTRADO","CODIGO NO EXISTE",IF(COUNTIF($D$2:D523,D523)&gt;1,"DEVOLUCION DUPLICADA",IF(COUNTIFS(SALIDAS!$B$2:$B$1000,B523,SALIDAS!$D$2:$D$1000,D523,SALIDAS!$G$2:$G$1000,"OK*")=0,"NO FIGURA EN SALIDA","OK"))))</f>
        <v/>
      </c>
    </row>
    <row r="524">
      <c r="A524" s="9" t="inlineStr"/>
      <c r="B524" s="2" t="inlineStr"/>
      <c r="C524" s="2" t="inlineStr"/>
      <c r="D524" s="2" t="inlineStr"/>
      <c r="E524" s="2">
        <f>IF(D524="","",IFERROR(XLOOKUP(TRIM(D524),INVENTARIO!$A$2:$A$2000,INVENTARIO!$B$2:$B$2000),"NO ENCONTRADO"))</f>
        <v/>
      </c>
      <c r="F524" s="2">
        <f>IF(D524="","",IF(E524="NO ENCONTRADO","CODIGO NO EXISTE",IF(COUNTIF($D$2:D524,D524)&gt;1,"DEVOLUCION DUPLICADA",IF(COUNTIFS(SALIDAS!$B$2:$B$1000,B524,SALIDAS!$D$2:$D$1000,D524,SALIDAS!$G$2:$G$1000,"OK*")=0,"NO FIGURA EN SALIDA","OK"))))</f>
        <v/>
      </c>
    </row>
    <row r="525">
      <c r="A525" s="9" t="inlineStr"/>
      <c r="B525" s="2" t="inlineStr"/>
      <c r="C525" s="2" t="inlineStr"/>
      <c r="D525" s="2" t="inlineStr"/>
      <c r="E525" s="2">
        <f>IF(D525="","",IFERROR(XLOOKUP(TRIM(D525),INVENTARIO!$A$2:$A$2000,INVENTARIO!$B$2:$B$2000),"NO ENCONTRADO"))</f>
        <v/>
      </c>
      <c r="F525" s="2">
        <f>IF(D525="","",IF(E525="NO ENCONTRADO","CODIGO NO EXISTE",IF(COUNTIF($D$2:D525,D525)&gt;1,"DEVOLUCION DUPLICADA",IF(COUNTIFS(SALIDAS!$B$2:$B$1000,B525,SALIDAS!$D$2:$D$1000,D525,SALIDAS!$G$2:$G$1000,"OK*")=0,"NO FIGURA EN SALIDA","OK"))))</f>
        <v/>
      </c>
    </row>
    <row r="526">
      <c r="A526" s="9" t="inlineStr"/>
      <c r="B526" s="2" t="inlineStr"/>
      <c r="C526" s="2" t="inlineStr"/>
      <c r="D526" s="2" t="inlineStr"/>
      <c r="E526" s="2">
        <f>IF(D526="","",IFERROR(XLOOKUP(TRIM(D526),INVENTARIO!$A$2:$A$2000,INVENTARIO!$B$2:$B$2000),"NO ENCONTRADO"))</f>
        <v/>
      </c>
      <c r="F526" s="2">
        <f>IF(D526="","",IF(E526="NO ENCONTRADO","CODIGO NO EXISTE",IF(COUNTIF($D$2:D526,D526)&gt;1,"DEVOLUCION DUPLICADA",IF(COUNTIFS(SALIDAS!$B$2:$B$1000,B526,SALIDAS!$D$2:$D$1000,D526,SALIDAS!$G$2:$G$1000,"OK*")=0,"NO FIGURA EN SALIDA","OK"))))</f>
        <v/>
      </c>
    </row>
    <row r="527">
      <c r="A527" s="9" t="inlineStr"/>
      <c r="B527" s="2" t="inlineStr"/>
      <c r="C527" s="2" t="inlineStr"/>
      <c r="D527" s="2" t="inlineStr"/>
      <c r="E527" s="2">
        <f>IF(D527="","",IFERROR(XLOOKUP(TRIM(D527),INVENTARIO!$A$2:$A$2000,INVENTARIO!$B$2:$B$2000),"NO ENCONTRADO"))</f>
        <v/>
      </c>
      <c r="F527" s="2">
        <f>IF(D527="","",IF(E527="NO ENCONTRADO","CODIGO NO EXISTE",IF(COUNTIF($D$2:D527,D527)&gt;1,"DEVOLUCION DUPLICADA",IF(COUNTIFS(SALIDAS!$B$2:$B$1000,B527,SALIDAS!$D$2:$D$1000,D527,SALIDAS!$G$2:$G$1000,"OK*")=0,"NO FIGURA EN SALIDA","OK"))))</f>
        <v/>
      </c>
    </row>
    <row r="528">
      <c r="A528" s="9" t="inlineStr"/>
      <c r="B528" s="2" t="inlineStr"/>
      <c r="C528" s="2" t="inlineStr"/>
      <c r="D528" s="2" t="inlineStr"/>
      <c r="E528" s="2">
        <f>IF(D528="","",IFERROR(XLOOKUP(TRIM(D528),INVENTARIO!$A$2:$A$2000,INVENTARIO!$B$2:$B$2000),"NO ENCONTRADO"))</f>
        <v/>
      </c>
      <c r="F528" s="2">
        <f>IF(D528="","",IF(E528="NO ENCONTRADO","CODIGO NO EXISTE",IF(COUNTIF($D$2:D528,D528)&gt;1,"DEVOLUCION DUPLICADA",IF(COUNTIFS(SALIDAS!$B$2:$B$1000,B528,SALIDAS!$D$2:$D$1000,D528,SALIDAS!$G$2:$G$1000,"OK*")=0,"NO FIGURA EN SALIDA","OK"))))</f>
        <v/>
      </c>
    </row>
    <row r="529">
      <c r="A529" s="9" t="inlineStr"/>
      <c r="B529" s="2" t="inlineStr"/>
      <c r="C529" s="2" t="inlineStr"/>
      <c r="D529" s="2" t="inlineStr"/>
      <c r="E529" s="2">
        <f>IF(D529="","",IFERROR(XLOOKUP(TRIM(D529),INVENTARIO!$A$2:$A$2000,INVENTARIO!$B$2:$B$2000),"NO ENCONTRADO"))</f>
        <v/>
      </c>
      <c r="F529" s="2">
        <f>IF(D529="","",IF(E529="NO ENCONTRADO","CODIGO NO EXISTE",IF(COUNTIF($D$2:D529,D529)&gt;1,"DEVOLUCION DUPLICADA",IF(COUNTIFS(SALIDAS!$B$2:$B$1000,B529,SALIDAS!$D$2:$D$1000,D529,SALIDAS!$G$2:$G$1000,"OK*")=0,"NO FIGURA EN SALIDA","OK"))))</f>
        <v/>
      </c>
    </row>
    <row r="530">
      <c r="A530" s="9" t="inlineStr"/>
      <c r="B530" s="2" t="inlineStr"/>
      <c r="C530" s="2" t="inlineStr"/>
      <c r="D530" s="2" t="inlineStr"/>
      <c r="E530" s="2">
        <f>IF(D530="","",IFERROR(XLOOKUP(TRIM(D530),INVENTARIO!$A$2:$A$2000,INVENTARIO!$B$2:$B$2000),"NO ENCONTRADO"))</f>
        <v/>
      </c>
      <c r="F530" s="2">
        <f>IF(D530="","",IF(E530="NO ENCONTRADO","CODIGO NO EXISTE",IF(COUNTIF($D$2:D530,D530)&gt;1,"DEVOLUCION DUPLICADA",IF(COUNTIFS(SALIDAS!$B$2:$B$1000,B530,SALIDAS!$D$2:$D$1000,D530,SALIDAS!$G$2:$G$1000,"OK*")=0,"NO FIGURA EN SALIDA","OK"))))</f>
        <v/>
      </c>
    </row>
    <row r="531">
      <c r="A531" s="9" t="inlineStr"/>
      <c r="B531" s="2" t="inlineStr"/>
      <c r="C531" s="2" t="inlineStr"/>
      <c r="D531" s="2" t="inlineStr"/>
      <c r="E531" s="2">
        <f>IF(D531="","",IFERROR(XLOOKUP(TRIM(D531),INVENTARIO!$A$2:$A$2000,INVENTARIO!$B$2:$B$2000),"NO ENCONTRADO"))</f>
        <v/>
      </c>
      <c r="F531" s="2">
        <f>IF(D531="","",IF(E531="NO ENCONTRADO","CODIGO NO EXISTE",IF(COUNTIF($D$2:D531,D531)&gt;1,"DEVOLUCION DUPLICADA",IF(COUNTIFS(SALIDAS!$B$2:$B$1000,B531,SALIDAS!$D$2:$D$1000,D531,SALIDAS!$G$2:$G$1000,"OK*")=0,"NO FIGURA EN SALIDA","OK"))))</f>
        <v/>
      </c>
    </row>
    <row r="532">
      <c r="A532" s="9" t="inlineStr"/>
      <c r="B532" s="2" t="inlineStr"/>
      <c r="C532" s="2" t="inlineStr"/>
      <c r="D532" s="2" t="inlineStr"/>
      <c r="E532" s="2">
        <f>IF(D532="","",IFERROR(XLOOKUP(TRIM(D532),INVENTARIO!$A$2:$A$2000,INVENTARIO!$B$2:$B$2000),"NO ENCONTRADO"))</f>
        <v/>
      </c>
      <c r="F532" s="2">
        <f>IF(D532="","",IF(E532="NO ENCONTRADO","CODIGO NO EXISTE",IF(COUNTIF($D$2:D532,D532)&gt;1,"DEVOLUCION DUPLICADA",IF(COUNTIFS(SALIDAS!$B$2:$B$1000,B532,SALIDAS!$D$2:$D$1000,D532,SALIDAS!$G$2:$G$1000,"OK*")=0,"NO FIGURA EN SALIDA","OK"))))</f>
        <v/>
      </c>
    </row>
    <row r="533">
      <c r="A533" s="9" t="inlineStr"/>
      <c r="B533" s="2" t="inlineStr"/>
      <c r="C533" s="2" t="inlineStr"/>
      <c r="D533" s="2" t="inlineStr"/>
      <c r="E533" s="2">
        <f>IF(D533="","",IFERROR(XLOOKUP(TRIM(D533),INVENTARIO!$A$2:$A$2000,INVENTARIO!$B$2:$B$2000),"NO ENCONTRADO"))</f>
        <v/>
      </c>
      <c r="F533" s="2">
        <f>IF(D533="","",IF(E533="NO ENCONTRADO","CODIGO NO EXISTE",IF(COUNTIF($D$2:D533,D533)&gt;1,"DEVOLUCION DUPLICADA",IF(COUNTIFS(SALIDAS!$B$2:$B$1000,B533,SALIDAS!$D$2:$D$1000,D533,SALIDAS!$G$2:$G$1000,"OK*")=0,"NO FIGURA EN SALIDA","OK"))))</f>
        <v/>
      </c>
    </row>
    <row r="534">
      <c r="A534" s="9" t="inlineStr"/>
      <c r="B534" s="2" t="inlineStr"/>
      <c r="C534" s="2" t="inlineStr"/>
      <c r="D534" s="2" t="inlineStr"/>
      <c r="E534" s="2">
        <f>IF(D534="","",IFERROR(XLOOKUP(TRIM(D534),INVENTARIO!$A$2:$A$2000,INVENTARIO!$B$2:$B$2000),"NO ENCONTRADO"))</f>
        <v/>
      </c>
      <c r="F534" s="2">
        <f>IF(D534="","",IF(E534="NO ENCONTRADO","CODIGO NO EXISTE",IF(COUNTIF($D$2:D534,D534)&gt;1,"DEVOLUCION DUPLICADA",IF(COUNTIFS(SALIDAS!$B$2:$B$1000,B534,SALIDAS!$D$2:$D$1000,D534,SALIDAS!$G$2:$G$1000,"OK*")=0,"NO FIGURA EN SALIDA","OK"))))</f>
        <v/>
      </c>
    </row>
    <row r="535">
      <c r="A535" s="9" t="inlineStr"/>
      <c r="B535" s="2" t="inlineStr"/>
      <c r="C535" s="2" t="inlineStr"/>
      <c r="D535" s="2" t="inlineStr"/>
      <c r="E535" s="2">
        <f>IF(D535="","",IFERROR(XLOOKUP(TRIM(D535),INVENTARIO!$A$2:$A$2000,INVENTARIO!$B$2:$B$2000),"NO ENCONTRADO"))</f>
        <v/>
      </c>
      <c r="F535" s="2">
        <f>IF(D535="","",IF(E535="NO ENCONTRADO","CODIGO NO EXISTE",IF(COUNTIF($D$2:D535,D535)&gt;1,"DEVOLUCION DUPLICADA",IF(COUNTIFS(SALIDAS!$B$2:$B$1000,B535,SALIDAS!$D$2:$D$1000,D535,SALIDAS!$G$2:$G$1000,"OK*")=0,"NO FIGURA EN SALIDA","OK"))))</f>
        <v/>
      </c>
    </row>
    <row r="536">
      <c r="A536" s="9" t="inlineStr"/>
      <c r="B536" s="2" t="inlineStr"/>
      <c r="C536" s="2" t="inlineStr"/>
      <c r="D536" s="2" t="inlineStr"/>
      <c r="E536" s="2">
        <f>IF(D536="","",IFERROR(XLOOKUP(TRIM(D536),INVENTARIO!$A$2:$A$2000,INVENTARIO!$B$2:$B$2000),"NO ENCONTRADO"))</f>
        <v/>
      </c>
      <c r="F536" s="2">
        <f>IF(D536="","",IF(E536="NO ENCONTRADO","CODIGO NO EXISTE",IF(COUNTIF($D$2:D536,D536)&gt;1,"DEVOLUCION DUPLICADA",IF(COUNTIFS(SALIDAS!$B$2:$B$1000,B536,SALIDAS!$D$2:$D$1000,D536,SALIDAS!$G$2:$G$1000,"OK*")=0,"NO FIGURA EN SALIDA","OK"))))</f>
        <v/>
      </c>
    </row>
    <row r="537">
      <c r="A537" s="9" t="inlineStr"/>
      <c r="B537" s="2" t="inlineStr"/>
      <c r="C537" s="2" t="inlineStr"/>
      <c r="D537" s="2" t="inlineStr"/>
      <c r="E537" s="2">
        <f>IF(D537="","",IFERROR(XLOOKUP(TRIM(D537),INVENTARIO!$A$2:$A$2000,INVENTARIO!$B$2:$B$2000),"NO ENCONTRADO"))</f>
        <v/>
      </c>
      <c r="F537" s="2">
        <f>IF(D537="","",IF(E537="NO ENCONTRADO","CODIGO NO EXISTE",IF(COUNTIF($D$2:D537,D537)&gt;1,"DEVOLUCION DUPLICADA",IF(COUNTIFS(SALIDAS!$B$2:$B$1000,B537,SALIDAS!$D$2:$D$1000,D537,SALIDAS!$G$2:$G$1000,"OK*")=0,"NO FIGURA EN SALIDA","OK"))))</f>
        <v/>
      </c>
    </row>
    <row r="538">
      <c r="A538" s="9" t="inlineStr"/>
      <c r="B538" s="2" t="inlineStr"/>
      <c r="C538" s="2" t="inlineStr"/>
      <c r="D538" s="2" t="inlineStr"/>
      <c r="E538" s="2">
        <f>IF(D538="","",IFERROR(XLOOKUP(TRIM(D538),INVENTARIO!$A$2:$A$2000,INVENTARIO!$B$2:$B$2000),"NO ENCONTRADO"))</f>
        <v/>
      </c>
      <c r="F538" s="2">
        <f>IF(D538="","",IF(E538="NO ENCONTRADO","CODIGO NO EXISTE",IF(COUNTIF($D$2:D538,D538)&gt;1,"DEVOLUCION DUPLICADA",IF(COUNTIFS(SALIDAS!$B$2:$B$1000,B538,SALIDAS!$D$2:$D$1000,D538,SALIDAS!$G$2:$G$1000,"OK*")=0,"NO FIGURA EN SALIDA","OK"))))</f>
        <v/>
      </c>
    </row>
    <row r="539">
      <c r="A539" s="9" t="inlineStr"/>
      <c r="B539" s="2" t="inlineStr"/>
      <c r="C539" s="2" t="inlineStr"/>
      <c r="D539" s="2" t="inlineStr"/>
      <c r="E539" s="2">
        <f>IF(D539="","",IFERROR(XLOOKUP(TRIM(D539),INVENTARIO!$A$2:$A$2000,INVENTARIO!$B$2:$B$2000),"NO ENCONTRADO"))</f>
        <v/>
      </c>
      <c r="F539" s="2">
        <f>IF(D539="","",IF(E539="NO ENCONTRADO","CODIGO NO EXISTE",IF(COUNTIF($D$2:D539,D539)&gt;1,"DEVOLUCION DUPLICADA",IF(COUNTIFS(SALIDAS!$B$2:$B$1000,B539,SALIDAS!$D$2:$D$1000,D539,SALIDAS!$G$2:$G$1000,"OK*")=0,"NO FIGURA EN SALIDA","OK"))))</f>
        <v/>
      </c>
    </row>
    <row r="540">
      <c r="A540" s="9" t="inlineStr"/>
      <c r="B540" s="2" t="inlineStr"/>
      <c r="C540" s="2" t="inlineStr"/>
      <c r="D540" s="2" t="inlineStr"/>
      <c r="E540" s="2">
        <f>IF(D540="","",IFERROR(XLOOKUP(TRIM(D540),INVENTARIO!$A$2:$A$2000,INVENTARIO!$B$2:$B$2000),"NO ENCONTRADO"))</f>
        <v/>
      </c>
      <c r="F540" s="2">
        <f>IF(D540="","",IF(E540="NO ENCONTRADO","CODIGO NO EXISTE",IF(COUNTIF($D$2:D540,D540)&gt;1,"DEVOLUCION DUPLICADA",IF(COUNTIFS(SALIDAS!$B$2:$B$1000,B540,SALIDAS!$D$2:$D$1000,D540,SALIDAS!$G$2:$G$1000,"OK*")=0,"NO FIGURA EN SALIDA","OK"))))</f>
        <v/>
      </c>
    </row>
    <row r="541">
      <c r="A541" s="9" t="inlineStr"/>
      <c r="B541" s="2" t="inlineStr"/>
      <c r="C541" s="2" t="inlineStr"/>
      <c r="D541" s="2" t="inlineStr"/>
      <c r="E541" s="2">
        <f>IF(D541="","",IFERROR(XLOOKUP(TRIM(D541),INVENTARIO!$A$2:$A$2000,INVENTARIO!$B$2:$B$2000),"NO ENCONTRADO"))</f>
        <v/>
      </c>
      <c r="F541" s="2">
        <f>IF(D541="","",IF(E541="NO ENCONTRADO","CODIGO NO EXISTE",IF(COUNTIF($D$2:D541,D541)&gt;1,"DEVOLUCION DUPLICADA",IF(COUNTIFS(SALIDAS!$B$2:$B$1000,B541,SALIDAS!$D$2:$D$1000,D541,SALIDAS!$G$2:$G$1000,"OK*")=0,"NO FIGURA EN SALIDA","OK"))))</f>
        <v/>
      </c>
    </row>
    <row r="542">
      <c r="A542" s="9" t="inlineStr"/>
      <c r="B542" s="2" t="inlineStr"/>
      <c r="C542" s="2" t="inlineStr"/>
      <c r="D542" s="2" t="inlineStr"/>
      <c r="E542" s="2">
        <f>IF(D542="","",IFERROR(XLOOKUP(TRIM(D542),INVENTARIO!$A$2:$A$2000,INVENTARIO!$B$2:$B$2000),"NO ENCONTRADO"))</f>
        <v/>
      </c>
      <c r="F542" s="2">
        <f>IF(D542="","",IF(E542="NO ENCONTRADO","CODIGO NO EXISTE",IF(COUNTIF($D$2:D542,D542)&gt;1,"DEVOLUCION DUPLICADA",IF(COUNTIFS(SALIDAS!$B$2:$B$1000,B542,SALIDAS!$D$2:$D$1000,D542,SALIDAS!$G$2:$G$1000,"OK*")=0,"NO FIGURA EN SALIDA","OK"))))</f>
        <v/>
      </c>
    </row>
    <row r="543">
      <c r="A543" s="9" t="inlineStr"/>
      <c r="B543" s="2" t="inlineStr"/>
      <c r="C543" s="2" t="inlineStr"/>
      <c r="D543" s="2" t="inlineStr"/>
      <c r="E543" s="2">
        <f>IF(D543="","",IFERROR(XLOOKUP(TRIM(D543),INVENTARIO!$A$2:$A$2000,INVENTARIO!$B$2:$B$2000),"NO ENCONTRADO"))</f>
        <v/>
      </c>
      <c r="F543" s="2">
        <f>IF(D543="","",IF(E543="NO ENCONTRADO","CODIGO NO EXISTE",IF(COUNTIF($D$2:D543,D543)&gt;1,"DEVOLUCION DUPLICADA",IF(COUNTIFS(SALIDAS!$B$2:$B$1000,B543,SALIDAS!$D$2:$D$1000,D543,SALIDAS!$G$2:$G$1000,"OK*")=0,"NO FIGURA EN SALIDA","OK"))))</f>
        <v/>
      </c>
    </row>
    <row r="544">
      <c r="A544" s="9" t="inlineStr"/>
      <c r="B544" s="2" t="inlineStr"/>
      <c r="C544" s="2" t="inlineStr"/>
      <c r="D544" s="2" t="inlineStr"/>
      <c r="E544" s="2">
        <f>IF(D544="","",IFERROR(XLOOKUP(TRIM(D544),INVENTARIO!$A$2:$A$2000,INVENTARIO!$B$2:$B$2000),"NO ENCONTRADO"))</f>
        <v/>
      </c>
      <c r="F544" s="2">
        <f>IF(D544="","",IF(E544="NO ENCONTRADO","CODIGO NO EXISTE",IF(COUNTIF($D$2:D544,D544)&gt;1,"DEVOLUCION DUPLICADA",IF(COUNTIFS(SALIDAS!$B$2:$B$1000,B544,SALIDAS!$D$2:$D$1000,D544,SALIDAS!$G$2:$G$1000,"OK*")=0,"NO FIGURA EN SALIDA","OK"))))</f>
        <v/>
      </c>
    </row>
    <row r="545">
      <c r="A545" s="9" t="inlineStr"/>
      <c r="B545" s="2" t="inlineStr"/>
      <c r="C545" s="2" t="inlineStr"/>
      <c r="D545" s="2" t="inlineStr"/>
      <c r="E545" s="2">
        <f>IF(D545="","",IFERROR(XLOOKUP(TRIM(D545),INVENTARIO!$A$2:$A$2000,INVENTARIO!$B$2:$B$2000),"NO ENCONTRADO"))</f>
        <v/>
      </c>
      <c r="F545" s="2">
        <f>IF(D545="","",IF(E545="NO ENCONTRADO","CODIGO NO EXISTE",IF(COUNTIF($D$2:D545,D545)&gt;1,"DEVOLUCION DUPLICADA",IF(COUNTIFS(SALIDAS!$B$2:$B$1000,B545,SALIDAS!$D$2:$D$1000,D545,SALIDAS!$G$2:$G$1000,"OK*")=0,"NO FIGURA EN SALIDA","OK"))))</f>
        <v/>
      </c>
    </row>
    <row r="546">
      <c r="A546" s="9" t="inlineStr"/>
      <c r="B546" s="2" t="inlineStr"/>
      <c r="C546" s="2" t="inlineStr"/>
      <c r="D546" s="2" t="inlineStr"/>
      <c r="E546" s="2">
        <f>IF(D546="","",IFERROR(XLOOKUP(TRIM(D546),INVENTARIO!$A$2:$A$2000,INVENTARIO!$B$2:$B$2000),"NO ENCONTRADO"))</f>
        <v/>
      </c>
      <c r="F546" s="2">
        <f>IF(D546="","",IF(E546="NO ENCONTRADO","CODIGO NO EXISTE",IF(COUNTIF($D$2:D546,D546)&gt;1,"DEVOLUCION DUPLICADA",IF(COUNTIFS(SALIDAS!$B$2:$B$1000,B546,SALIDAS!$D$2:$D$1000,D546,SALIDAS!$G$2:$G$1000,"OK*")=0,"NO FIGURA EN SALIDA","OK"))))</f>
        <v/>
      </c>
    </row>
    <row r="547">
      <c r="A547" s="9" t="inlineStr"/>
      <c r="B547" s="2" t="inlineStr"/>
      <c r="C547" s="2" t="inlineStr"/>
      <c r="D547" s="2" t="inlineStr"/>
      <c r="E547" s="2">
        <f>IF(D547="","",IFERROR(XLOOKUP(TRIM(D547),INVENTARIO!$A$2:$A$2000,INVENTARIO!$B$2:$B$2000),"NO ENCONTRADO"))</f>
        <v/>
      </c>
      <c r="F547" s="2">
        <f>IF(D547="","",IF(E547="NO ENCONTRADO","CODIGO NO EXISTE",IF(COUNTIF($D$2:D547,D547)&gt;1,"DEVOLUCION DUPLICADA",IF(COUNTIFS(SALIDAS!$B$2:$B$1000,B547,SALIDAS!$D$2:$D$1000,D547,SALIDAS!$G$2:$G$1000,"OK*")=0,"NO FIGURA EN SALIDA","OK"))))</f>
        <v/>
      </c>
    </row>
    <row r="548">
      <c r="A548" s="9" t="inlineStr"/>
      <c r="B548" s="2" t="inlineStr"/>
      <c r="C548" s="2" t="inlineStr"/>
      <c r="D548" s="2" t="inlineStr"/>
      <c r="E548" s="2">
        <f>IF(D548="","",IFERROR(XLOOKUP(TRIM(D548),INVENTARIO!$A$2:$A$2000,INVENTARIO!$B$2:$B$2000),"NO ENCONTRADO"))</f>
        <v/>
      </c>
      <c r="F548" s="2">
        <f>IF(D548="","",IF(E548="NO ENCONTRADO","CODIGO NO EXISTE",IF(COUNTIF($D$2:D548,D548)&gt;1,"DEVOLUCION DUPLICADA",IF(COUNTIFS(SALIDAS!$B$2:$B$1000,B548,SALIDAS!$D$2:$D$1000,D548,SALIDAS!$G$2:$G$1000,"OK*")=0,"NO FIGURA EN SALIDA","OK"))))</f>
        <v/>
      </c>
    </row>
    <row r="549">
      <c r="A549" s="9" t="inlineStr"/>
      <c r="B549" s="2" t="inlineStr"/>
      <c r="C549" s="2" t="inlineStr"/>
      <c r="D549" s="2" t="inlineStr"/>
      <c r="E549" s="2">
        <f>IF(D549="","",IFERROR(XLOOKUP(TRIM(D549),INVENTARIO!$A$2:$A$2000,INVENTARIO!$B$2:$B$2000),"NO ENCONTRADO"))</f>
        <v/>
      </c>
      <c r="F549" s="2">
        <f>IF(D549="","",IF(E549="NO ENCONTRADO","CODIGO NO EXISTE",IF(COUNTIF($D$2:D549,D549)&gt;1,"DEVOLUCION DUPLICADA",IF(COUNTIFS(SALIDAS!$B$2:$B$1000,B549,SALIDAS!$D$2:$D$1000,D549,SALIDAS!$G$2:$G$1000,"OK*")=0,"NO FIGURA EN SALIDA","OK"))))</f>
        <v/>
      </c>
    </row>
    <row r="550">
      <c r="A550" s="9" t="inlineStr"/>
      <c r="B550" s="2" t="inlineStr"/>
      <c r="C550" s="2" t="inlineStr"/>
      <c r="D550" s="2" t="inlineStr"/>
      <c r="E550" s="2">
        <f>IF(D550="","",IFERROR(XLOOKUP(TRIM(D550),INVENTARIO!$A$2:$A$2000,INVENTARIO!$B$2:$B$2000),"NO ENCONTRADO"))</f>
        <v/>
      </c>
      <c r="F550" s="2">
        <f>IF(D550="","",IF(E550="NO ENCONTRADO","CODIGO NO EXISTE",IF(COUNTIF($D$2:D550,D550)&gt;1,"DEVOLUCION DUPLICADA",IF(COUNTIFS(SALIDAS!$B$2:$B$1000,B550,SALIDAS!$D$2:$D$1000,D550,SALIDAS!$G$2:$G$1000,"OK*")=0,"NO FIGURA EN SALIDA","OK"))))</f>
        <v/>
      </c>
    </row>
    <row r="551">
      <c r="A551" s="9" t="inlineStr"/>
      <c r="B551" s="2" t="inlineStr"/>
      <c r="C551" s="2" t="inlineStr"/>
      <c r="D551" s="2" t="inlineStr"/>
      <c r="E551" s="2">
        <f>IF(D551="","",IFERROR(XLOOKUP(TRIM(D551),INVENTARIO!$A$2:$A$2000,INVENTARIO!$B$2:$B$2000),"NO ENCONTRADO"))</f>
        <v/>
      </c>
      <c r="F551" s="2">
        <f>IF(D551="","",IF(E551="NO ENCONTRADO","CODIGO NO EXISTE",IF(COUNTIF($D$2:D551,D551)&gt;1,"DEVOLUCION DUPLICADA",IF(COUNTIFS(SALIDAS!$B$2:$B$1000,B551,SALIDAS!$D$2:$D$1000,D551,SALIDAS!$G$2:$G$1000,"OK*")=0,"NO FIGURA EN SALIDA","OK"))))</f>
        <v/>
      </c>
    </row>
    <row r="552">
      <c r="A552" s="9" t="inlineStr"/>
      <c r="B552" s="2" t="inlineStr"/>
      <c r="C552" s="2" t="inlineStr"/>
      <c r="D552" s="2" t="inlineStr"/>
      <c r="E552" s="2">
        <f>IF(D552="","",IFERROR(XLOOKUP(TRIM(D552),INVENTARIO!$A$2:$A$2000,INVENTARIO!$B$2:$B$2000),"NO ENCONTRADO"))</f>
        <v/>
      </c>
      <c r="F552" s="2">
        <f>IF(D552="","",IF(E552="NO ENCONTRADO","CODIGO NO EXISTE",IF(COUNTIF($D$2:D552,D552)&gt;1,"DEVOLUCION DUPLICADA",IF(COUNTIFS(SALIDAS!$B$2:$B$1000,B552,SALIDAS!$D$2:$D$1000,D552,SALIDAS!$G$2:$G$1000,"OK*")=0,"NO FIGURA EN SALIDA","OK"))))</f>
        <v/>
      </c>
    </row>
    <row r="553">
      <c r="A553" s="9" t="inlineStr"/>
      <c r="B553" s="2" t="inlineStr"/>
      <c r="C553" s="2" t="inlineStr"/>
      <c r="D553" s="2" t="inlineStr"/>
      <c r="E553" s="2">
        <f>IF(D553="","",IFERROR(XLOOKUP(TRIM(D553),INVENTARIO!$A$2:$A$2000,INVENTARIO!$B$2:$B$2000),"NO ENCONTRADO"))</f>
        <v/>
      </c>
      <c r="F553" s="2">
        <f>IF(D553="","",IF(E553="NO ENCONTRADO","CODIGO NO EXISTE",IF(COUNTIF($D$2:D553,D553)&gt;1,"DEVOLUCION DUPLICADA",IF(COUNTIFS(SALIDAS!$B$2:$B$1000,B553,SALIDAS!$D$2:$D$1000,D553,SALIDAS!$G$2:$G$1000,"OK*")=0,"NO FIGURA EN SALIDA","OK"))))</f>
        <v/>
      </c>
    </row>
    <row r="554">
      <c r="A554" s="9" t="inlineStr"/>
      <c r="B554" s="2" t="inlineStr"/>
      <c r="C554" s="2" t="inlineStr"/>
      <c r="D554" s="2" t="inlineStr"/>
      <c r="E554" s="2">
        <f>IF(D554="","",IFERROR(XLOOKUP(TRIM(D554),INVENTARIO!$A$2:$A$2000,INVENTARIO!$B$2:$B$2000),"NO ENCONTRADO"))</f>
        <v/>
      </c>
      <c r="F554" s="2">
        <f>IF(D554="","",IF(E554="NO ENCONTRADO","CODIGO NO EXISTE",IF(COUNTIF($D$2:D554,D554)&gt;1,"DEVOLUCION DUPLICADA",IF(COUNTIFS(SALIDAS!$B$2:$B$1000,B554,SALIDAS!$D$2:$D$1000,D554,SALIDAS!$G$2:$G$1000,"OK*")=0,"NO FIGURA EN SALIDA","OK"))))</f>
        <v/>
      </c>
    </row>
    <row r="555">
      <c r="A555" s="9" t="inlineStr"/>
      <c r="B555" s="2" t="inlineStr"/>
      <c r="C555" s="2" t="inlineStr"/>
      <c r="D555" s="2" t="inlineStr"/>
      <c r="E555" s="2">
        <f>IF(D555="","",IFERROR(XLOOKUP(TRIM(D555),INVENTARIO!$A$2:$A$2000,INVENTARIO!$B$2:$B$2000),"NO ENCONTRADO"))</f>
        <v/>
      </c>
      <c r="F555" s="2">
        <f>IF(D555="","",IF(E555="NO ENCONTRADO","CODIGO NO EXISTE",IF(COUNTIF($D$2:D555,D555)&gt;1,"DEVOLUCION DUPLICADA",IF(COUNTIFS(SALIDAS!$B$2:$B$1000,B555,SALIDAS!$D$2:$D$1000,D555,SALIDAS!$G$2:$G$1000,"OK*")=0,"NO FIGURA EN SALIDA","OK"))))</f>
        <v/>
      </c>
    </row>
    <row r="556">
      <c r="A556" s="9" t="inlineStr"/>
      <c r="B556" s="2" t="inlineStr"/>
      <c r="C556" s="2" t="inlineStr"/>
      <c r="D556" s="2" t="inlineStr"/>
      <c r="E556" s="2">
        <f>IF(D556="","",IFERROR(XLOOKUP(TRIM(D556),INVENTARIO!$A$2:$A$2000,INVENTARIO!$B$2:$B$2000),"NO ENCONTRADO"))</f>
        <v/>
      </c>
      <c r="F556" s="2">
        <f>IF(D556="","",IF(E556="NO ENCONTRADO","CODIGO NO EXISTE",IF(COUNTIF($D$2:D556,D556)&gt;1,"DEVOLUCION DUPLICADA",IF(COUNTIFS(SALIDAS!$B$2:$B$1000,B556,SALIDAS!$D$2:$D$1000,D556,SALIDAS!$G$2:$G$1000,"OK*")=0,"NO FIGURA EN SALIDA","OK"))))</f>
        <v/>
      </c>
    </row>
    <row r="557">
      <c r="A557" s="9" t="inlineStr"/>
      <c r="B557" s="2" t="inlineStr"/>
      <c r="C557" s="2" t="inlineStr"/>
      <c r="D557" s="2" t="inlineStr"/>
      <c r="E557" s="2">
        <f>IF(D557="","",IFERROR(XLOOKUP(TRIM(D557),INVENTARIO!$A$2:$A$2000,INVENTARIO!$B$2:$B$2000),"NO ENCONTRADO"))</f>
        <v/>
      </c>
      <c r="F557" s="2">
        <f>IF(D557="","",IF(E557="NO ENCONTRADO","CODIGO NO EXISTE",IF(COUNTIF($D$2:D557,D557)&gt;1,"DEVOLUCION DUPLICADA",IF(COUNTIFS(SALIDAS!$B$2:$B$1000,B557,SALIDAS!$D$2:$D$1000,D557,SALIDAS!$G$2:$G$1000,"OK*")=0,"NO FIGURA EN SALIDA","OK"))))</f>
        <v/>
      </c>
    </row>
    <row r="558">
      <c r="A558" s="9" t="inlineStr"/>
      <c r="B558" s="2" t="inlineStr"/>
      <c r="C558" s="2" t="inlineStr"/>
      <c r="D558" s="2" t="inlineStr"/>
      <c r="E558" s="2">
        <f>IF(D558="","",IFERROR(XLOOKUP(TRIM(D558),INVENTARIO!$A$2:$A$2000,INVENTARIO!$B$2:$B$2000),"NO ENCONTRADO"))</f>
        <v/>
      </c>
      <c r="F558" s="2">
        <f>IF(D558="","",IF(E558="NO ENCONTRADO","CODIGO NO EXISTE",IF(COUNTIF($D$2:D558,D558)&gt;1,"DEVOLUCION DUPLICADA",IF(COUNTIFS(SALIDAS!$B$2:$B$1000,B558,SALIDAS!$D$2:$D$1000,D558,SALIDAS!$G$2:$G$1000,"OK*")=0,"NO FIGURA EN SALIDA","OK"))))</f>
        <v/>
      </c>
    </row>
    <row r="559">
      <c r="A559" s="9" t="inlineStr"/>
      <c r="B559" s="2" t="inlineStr"/>
      <c r="C559" s="2" t="inlineStr"/>
      <c r="D559" s="2" t="inlineStr"/>
      <c r="E559" s="2">
        <f>IF(D559="","",IFERROR(XLOOKUP(TRIM(D559),INVENTARIO!$A$2:$A$2000,INVENTARIO!$B$2:$B$2000),"NO ENCONTRADO"))</f>
        <v/>
      </c>
      <c r="F559" s="2">
        <f>IF(D559="","",IF(E559="NO ENCONTRADO","CODIGO NO EXISTE",IF(COUNTIF($D$2:D559,D559)&gt;1,"DEVOLUCION DUPLICADA",IF(COUNTIFS(SALIDAS!$B$2:$B$1000,B559,SALIDAS!$D$2:$D$1000,D559,SALIDAS!$G$2:$G$1000,"OK*")=0,"NO FIGURA EN SALIDA","OK"))))</f>
        <v/>
      </c>
    </row>
    <row r="560">
      <c r="A560" s="9" t="inlineStr"/>
      <c r="B560" s="2" t="inlineStr"/>
      <c r="C560" s="2" t="inlineStr"/>
      <c r="D560" s="2" t="inlineStr"/>
      <c r="E560" s="2">
        <f>IF(D560="","",IFERROR(XLOOKUP(TRIM(D560),INVENTARIO!$A$2:$A$2000,INVENTARIO!$B$2:$B$2000),"NO ENCONTRADO"))</f>
        <v/>
      </c>
      <c r="F560" s="2">
        <f>IF(D560="","",IF(E560="NO ENCONTRADO","CODIGO NO EXISTE",IF(COUNTIF($D$2:D560,D560)&gt;1,"DEVOLUCION DUPLICADA",IF(COUNTIFS(SALIDAS!$B$2:$B$1000,B560,SALIDAS!$D$2:$D$1000,D560,SALIDAS!$G$2:$G$1000,"OK*")=0,"NO FIGURA EN SALIDA","OK"))))</f>
        <v/>
      </c>
    </row>
    <row r="561">
      <c r="A561" s="9" t="inlineStr"/>
      <c r="B561" s="2" t="inlineStr"/>
      <c r="C561" s="2" t="inlineStr"/>
      <c r="D561" s="2" t="inlineStr"/>
      <c r="E561" s="2">
        <f>IF(D561="","",IFERROR(XLOOKUP(TRIM(D561),INVENTARIO!$A$2:$A$2000,INVENTARIO!$B$2:$B$2000),"NO ENCONTRADO"))</f>
        <v/>
      </c>
      <c r="F561" s="2">
        <f>IF(D561="","",IF(E561="NO ENCONTRADO","CODIGO NO EXISTE",IF(COUNTIF($D$2:D561,D561)&gt;1,"DEVOLUCION DUPLICADA",IF(COUNTIFS(SALIDAS!$B$2:$B$1000,B561,SALIDAS!$D$2:$D$1000,D561,SALIDAS!$G$2:$G$1000,"OK*")=0,"NO FIGURA EN SALIDA","OK"))))</f>
        <v/>
      </c>
    </row>
    <row r="562">
      <c r="A562" s="9" t="inlineStr"/>
      <c r="B562" s="2" t="inlineStr"/>
      <c r="C562" s="2" t="inlineStr"/>
      <c r="D562" s="2" t="inlineStr"/>
      <c r="E562" s="2">
        <f>IF(D562="","",IFERROR(XLOOKUP(TRIM(D562),INVENTARIO!$A$2:$A$2000,INVENTARIO!$B$2:$B$2000),"NO ENCONTRADO"))</f>
        <v/>
      </c>
      <c r="F562" s="2">
        <f>IF(D562="","",IF(E562="NO ENCONTRADO","CODIGO NO EXISTE",IF(COUNTIF($D$2:D562,D562)&gt;1,"DEVOLUCION DUPLICADA",IF(COUNTIFS(SALIDAS!$B$2:$B$1000,B562,SALIDAS!$D$2:$D$1000,D562,SALIDAS!$G$2:$G$1000,"OK*")=0,"NO FIGURA EN SALIDA","OK"))))</f>
        <v/>
      </c>
    </row>
    <row r="563">
      <c r="A563" s="9" t="inlineStr"/>
      <c r="B563" s="2" t="inlineStr"/>
      <c r="C563" s="2" t="inlineStr"/>
      <c r="D563" s="2" t="inlineStr"/>
      <c r="E563" s="2">
        <f>IF(D563="","",IFERROR(XLOOKUP(TRIM(D563),INVENTARIO!$A$2:$A$2000,INVENTARIO!$B$2:$B$2000),"NO ENCONTRADO"))</f>
        <v/>
      </c>
      <c r="F563" s="2">
        <f>IF(D563="","",IF(E563="NO ENCONTRADO","CODIGO NO EXISTE",IF(COUNTIF($D$2:D563,D563)&gt;1,"DEVOLUCION DUPLICADA",IF(COUNTIFS(SALIDAS!$B$2:$B$1000,B563,SALIDAS!$D$2:$D$1000,D563,SALIDAS!$G$2:$G$1000,"OK*")=0,"NO FIGURA EN SALIDA","OK"))))</f>
        <v/>
      </c>
    </row>
    <row r="564">
      <c r="A564" s="9" t="inlineStr"/>
      <c r="B564" s="2" t="inlineStr"/>
      <c r="C564" s="2" t="inlineStr"/>
      <c r="D564" s="2" t="inlineStr"/>
      <c r="E564" s="2">
        <f>IF(D564="","",IFERROR(XLOOKUP(TRIM(D564),INVENTARIO!$A$2:$A$2000,INVENTARIO!$B$2:$B$2000),"NO ENCONTRADO"))</f>
        <v/>
      </c>
      <c r="F564" s="2">
        <f>IF(D564="","",IF(E564="NO ENCONTRADO","CODIGO NO EXISTE",IF(COUNTIF($D$2:D564,D564)&gt;1,"DEVOLUCION DUPLICADA",IF(COUNTIFS(SALIDAS!$B$2:$B$1000,B564,SALIDAS!$D$2:$D$1000,D564,SALIDAS!$G$2:$G$1000,"OK*")=0,"NO FIGURA EN SALIDA","OK"))))</f>
        <v/>
      </c>
    </row>
    <row r="565">
      <c r="A565" s="9" t="inlineStr"/>
      <c r="B565" s="2" t="inlineStr"/>
      <c r="C565" s="2" t="inlineStr"/>
      <c r="D565" s="2" t="inlineStr"/>
      <c r="E565" s="2">
        <f>IF(D565="","",IFERROR(XLOOKUP(TRIM(D565),INVENTARIO!$A$2:$A$2000,INVENTARIO!$B$2:$B$2000),"NO ENCONTRADO"))</f>
        <v/>
      </c>
      <c r="F565" s="2">
        <f>IF(D565="","",IF(E565="NO ENCONTRADO","CODIGO NO EXISTE",IF(COUNTIF($D$2:D565,D565)&gt;1,"DEVOLUCION DUPLICADA",IF(COUNTIFS(SALIDAS!$B$2:$B$1000,B565,SALIDAS!$D$2:$D$1000,D565,SALIDAS!$G$2:$G$1000,"OK*")=0,"NO FIGURA EN SALIDA","OK"))))</f>
        <v/>
      </c>
    </row>
    <row r="566">
      <c r="A566" s="9" t="inlineStr"/>
      <c r="B566" s="2" t="inlineStr"/>
      <c r="C566" s="2" t="inlineStr"/>
      <c r="D566" s="2" t="inlineStr"/>
      <c r="E566" s="2">
        <f>IF(D566="","",IFERROR(XLOOKUP(TRIM(D566),INVENTARIO!$A$2:$A$2000,INVENTARIO!$B$2:$B$2000),"NO ENCONTRADO"))</f>
        <v/>
      </c>
      <c r="F566" s="2">
        <f>IF(D566="","",IF(E566="NO ENCONTRADO","CODIGO NO EXISTE",IF(COUNTIF($D$2:D566,D566)&gt;1,"DEVOLUCION DUPLICADA",IF(COUNTIFS(SALIDAS!$B$2:$B$1000,B566,SALIDAS!$D$2:$D$1000,D566,SALIDAS!$G$2:$G$1000,"OK*")=0,"NO FIGURA EN SALIDA","OK"))))</f>
        <v/>
      </c>
    </row>
    <row r="567">
      <c r="A567" s="9" t="inlineStr"/>
      <c r="B567" s="2" t="inlineStr"/>
      <c r="C567" s="2" t="inlineStr"/>
      <c r="D567" s="2" t="inlineStr"/>
      <c r="E567" s="2">
        <f>IF(D567="","",IFERROR(XLOOKUP(TRIM(D567),INVENTARIO!$A$2:$A$2000,INVENTARIO!$B$2:$B$2000),"NO ENCONTRADO"))</f>
        <v/>
      </c>
      <c r="F567" s="2">
        <f>IF(D567="","",IF(E567="NO ENCONTRADO","CODIGO NO EXISTE",IF(COUNTIF($D$2:D567,D567)&gt;1,"DEVOLUCION DUPLICADA",IF(COUNTIFS(SALIDAS!$B$2:$B$1000,B567,SALIDAS!$D$2:$D$1000,D567,SALIDAS!$G$2:$G$1000,"OK*")=0,"NO FIGURA EN SALIDA","OK"))))</f>
        <v/>
      </c>
    </row>
    <row r="568">
      <c r="A568" s="9" t="inlineStr"/>
      <c r="B568" s="2" t="inlineStr"/>
      <c r="C568" s="2" t="inlineStr"/>
      <c r="D568" s="2" t="inlineStr"/>
      <c r="E568" s="2">
        <f>IF(D568="","",IFERROR(XLOOKUP(TRIM(D568),INVENTARIO!$A$2:$A$2000,INVENTARIO!$B$2:$B$2000),"NO ENCONTRADO"))</f>
        <v/>
      </c>
      <c r="F568" s="2">
        <f>IF(D568="","",IF(E568="NO ENCONTRADO","CODIGO NO EXISTE",IF(COUNTIF($D$2:D568,D568)&gt;1,"DEVOLUCION DUPLICADA",IF(COUNTIFS(SALIDAS!$B$2:$B$1000,B568,SALIDAS!$D$2:$D$1000,D568,SALIDAS!$G$2:$G$1000,"OK*")=0,"NO FIGURA EN SALIDA","OK"))))</f>
        <v/>
      </c>
    </row>
    <row r="569">
      <c r="A569" s="9" t="inlineStr"/>
      <c r="B569" s="2" t="inlineStr"/>
      <c r="C569" s="2" t="inlineStr"/>
      <c r="D569" s="2" t="inlineStr"/>
      <c r="E569" s="2">
        <f>IF(D569="","",IFERROR(XLOOKUP(TRIM(D569),INVENTARIO!$A$2:$A$2000,INVENTARIO!$B$2:$B$2000),"NO ENCONTRADO"))</f>
        <v/>
      </c>
      <c r="F569" s="2">
        <f>IF(D569="","",IF(E569="NO ENCONTRADO","CODIGO NO EXISTE",IF(COUNTIF($D$2:D569,D569)&gt;1,"DEVOLUCION DUPLICADA",IF(COUNTIFS(SALIDAS!$B$2:$B$1000,B569,SALIDAS!$D$2:$D$1000,D569,SALIDAS!$G$2:$G$1000,"OK*")=0,"NO FIGURA EN SALIDA","OK"))))</f>
        <v/>
      </c>
    </row>
    <row r="570">
      <c r="A570" s="9" t="inlineStr"/>
      <c r="B570" s="2" t="inlineStr"/>
      <c r="C570" s="2" t="inlineStr"/>
      <c r="D570" s="2" t="inlineStr"/>
      <c r="E570" s="2">
        <f>IF(D570="","",IFERROR(XLOOKUP(TRIM(D570),INVENTARIO!$A$2:$A$2000,INVENTARIO!$B$2:$B$2000),"NO ENCONTRADO"))</f>
        <v/>
      </c>
      <c r="F570" s="2">
        <f>IF(D570="","",IF(E570="NO ENCONTRADO","CODIGO NO EXISTE",IF(COUNTIF($D$2:D570,D570)&gt;1,"DEVOLUCION DUPLICADA",IF(COUNTIFS(SALIDAS!$B$2:$B$1000,B570,SALIDAS!$D$2:$D$1000,D570,SALIDAS!$G$2:$G$1000,"OK*")=0,"NO FIGURA EN SALIDA","OK"))))</f>
        <v/>
      </c>
    </row>
    <row r="571">
      <c r="A571" s="9" t="inlineStr"/>
      <c r="B571" s="2" t="inlineStr"/>
      <c r="C571" s="2" t="inlineStr"/>
      <c r="D571" s="2" t="inlineStr"/>
      <c r="E571" s="2">
        <f>IF(D571="","",IFERROR(XLOOKUP(TRIM(D571),INVENTARIO!$A$2:$A$2000,INVENTARIO!$B$2:$B$2000),"NO ENCONTRADO"))</f>
        <v/>
      </c>
      <c r="F571" s="2">
        <f>IF(D571="","",IF(E571="NO ENCONTRADO","CODIGO NO EXISTE",IF(COUNTIF($D$2:D571,D571)&gt;1,"DEVOLUCION DUPLICADA",IF(COUNTIFS(SALIDAS!$B$2:$B$1000,B571,SALIDAS!$D$2:$D$1000,D571,SALIDAS!$G$2:$G$1000,"OK*")=0,"NO FIGURA EN SALIDA","OK"))))</f>
        <v/>
      </c>
    </row>
    <row r="572">
      <c r="A572" s="9" t="inlineStr"/>
      <c r="B572" s="2" t="inlineStr"/>
      <c r="C572" s="2" t="inlineStr"/>
      <c r="D572" s="2" t="inlineStr"/>
      <c r="E572" s="2">
        <f>IF(D572="","",IFERROR(XLOOKUP(TRIM(D572),INVENTARIO!$A$2:$A$2000,INVENTARIO!$B$2:$B$2000),"NO ENCONTRADO"))</f>
        <v/>
      </c>
      <c r="F572" s="2">
        <f>IF(D572="","",IF(E572="NO ENCONTRADO","CODIGO NO EXISTE",IF(COUNTIF($D$2:D572,D572)&gt;1,"DEVOLUCION DUPLICADA",IF(COUNTIFS(SALIDAS!$B$2:$B$1000,B572,SALIDAS!$D$2:$D$1000,D572,SALIDAS!$G$2:$G$1000,"OK*")=0,"NO FIGURA EN SALIDA","OK"))))</f>
        <v/>
      </c>
    </row>
    <row r="573">
      <c r="A573" s="9" t="inlineStr"/>
      <c r="B573" s="2" t="inlineStr"/>
      <c r="C573" s="2" t="inlineStr"/>
      <c r="D573" s="2" t="inlineStr"/>
      <c r="E573" s="2">
        <f>IF(D573="","",IFERROR(XLOOKUP(TRIM(D573),INVENTARIO!$A$2:$A$2000,INVENTARIO!$B$2:$B$2000),"NO ENCONTRADO"))</f>
        <v/>
      </c>
      <c r="F573" s="2">
        <f>IF(D573="","",IF(E573="NO ENCONTRADO","CODIGO NO EXISTE",IF(COUNTIF($D$2:D573,D573)&gt;1,"DEVOLUCION DUPLICADA",IF(COUNTIFS(SALIDAS!$B$2:$B$1000,B573,SALIDAS!$D$2:$D$1000,D573,SALIDAS!$G$2:$G$1000,"OK*")=0,"NO FIGURA EN SALIDA","OK"))))</f>
        <v/>
      </c>
    </row>
    <row r="574">
      <c r="A574" s="9" t="inlineStr"/>
      <c r="B574" s="2" t="inlineStr"/>
      <c r="C574" s="2" t="inlineStr"/>
      <c r="D574" s="2" t="inlineStr"/>
      <c r="E574" s="2">
        <f>IF(D574="","",IFERROR(XLOOKUP(TRIM(D574),INVENTARIO!$A$2:$A$2000,INVENTARIO!$B$2:$B$2000),"NO ENCONTRADO"))</f>
        <v/>
      </c>
      <c r="F574" s="2">
        <f>IF(D574="","",IF(E574="NO ENCONTRADO","CODIGO NO EXISTE",IF(COUNTIF($D$2:D574,D574)&gt;1,"DEVOLUCION DUPLICADA",IF(COUNTIFS(SALIDAS!$B$2:$B$1000,B574,SALIDAS!$D$2:$D$1000,D574,SALIDAS!$G$2:$G$1000,"OK*")=0,"NO FIGURA EN SALIDA","OK"))))</f>
        <v/>
      </c>
    </row>
    <row r="575">
      <c r="A575" s="9" t="inlineStr"/>
      <c r="B575" s="2" t="inlineStr"/>
      <c r="C575" s="2" t="inlineStr"/>
      <c r="D575" s="2" t="inlineStr"/>
      <c r="E575" s="2">
        <f>IF(D575="","",IFERROR(XLOOKUP(TRIM(D575),INVENTARIO!$A$2:$A$2000,INVENTARIO!$B$2:$B$2000),"NO ENCONTRADO"))</f>
        <v/>
      </c>
      <c r="F575" s="2">
        <f>IF(D575="","",IF(E575="NO ENCONTRADO","CODIGO NO EXISTE",IF(COUNTIF($D$2:D575,D575)&gt;1,"DEVOLUCION DUPLICADA",IF(COUNTIFS(SALIDAS!$B$2:$B$1000,B575,SALIDAS!$D$2:$D$1000,D575,SALIDAS!$G$2:$G$1000,"OK*")=0,"NO FIGURA EN SALIDA","OK"))))</f>
        <v/>
      </c>
    </row>
    <row r="576">
      <c r="A576" s="9" t="inlineStr"/>
      <c r="B576" s="2" t="inlineStr"/>
      <c r="C576" s="2" t="inlineStr"/>
      <c r="D576" s="2" t="inlineStr"/>
      <c r="E576" s="2">
        <f>IF(D576="","",IFERROR(XLOOKUP(TRIM(D576),INVENTARIO!$A$2:$A$2000,INVENTARIO!$B$2:$B$2000),"NO ENCONTRADO"))</f>
        <v/>
      </c>
      <c r="F576" s="2">
        <f>IF(D576="","",IF(E576="NO ENCONTRADO","CODIGO NO EXISTE",IF(COUNTIF($D$2:D576,D576)&gt;1,"DEVOLUCION DUPLICADA",IF(COUNTIFS(SALIDAS!$B$2:$B$1000,B576,SALIDAS!$D$2:$D$1000,D576,SALIDAS!$G$2:$G$1000,"OK*")=0,"NO FIGURA EN SALIDA","OK"))))</f>
        <v/>
      </c>
    </row>
    <row r="577">
      <c r="A577" s="9" t="inlineStr"/>
      <c r="B577" s="2" t="inlineStr"/>
      <c r="C577" s="2" t="inlineStr"/>
      <c r="D577" s="2" t="inlineStr"/>
      <c r="E577" s="2">
        <f>IF(D577="","",IFERROR(XLOOKUP(TRIM(D577),INVENTARIO!$A$2:$A$2000,INVENTARIO!$B$2:$B$2000),"NO ENCONTRADO"))</f>
        <v/>
      </c>
      <c r="F577" s="2">
        <f>IF(D577="","",IF(E577="NO ENCONTRADO","CODIGO NO EXISTE",IF(COUNTIF($D$2:D577,D577)&gt;1,"DEVOLUCION DUPLICADA",IF(COUNTIFS(SALIDAS!$B$2:$B$1000,B577,SALIDAS!$D$2:$D$1000,D577,SALIDAS!$G$2:$G$1000,"OK*")=0,"NO FIGURA EN SALIDA","OK"))))</f>
        <v/>
      </c>
    </row>
    <row r="578">
      <c r="A578" s="9" t="inlineStr"/>
      <c r="B578" s="2" t="inlineStr"/>
      <c r="C578" s="2" t="inlineStr"/>
      <c r="D578" s="2" t="inlineStr"/>
      <c r="E578" s="2">
        <f>IF(D578="","",IFERROR(XLOOKUP(TRIM(D578),INVENTARIO!$A$2:$A$2000,INVENTARIO!$B$2:$B$2000),"NO ENCONTRADO"))</f>
        <v/>
      </c>
      <c r="F578" s="2">
        <f>IF(D578="","",IF(E578="NO ENCONTRADO","CODIGO NO EXISTE",IF(COUNTIF($D$2:D578,D578)&gt;1,"DEVOLUCION DUPLICADA",IF(COUNTIFS(SALIDAS!$B$2:$B$1000,B578,SALIDAS!$D$2:$D$1000,D578,SALIDAS!$G$2:$G$1000,"OK*")=0,"NO FIGURA EN SALIDA","OK"))))</f>
        <v/>
      </c>
    </row>
    <row r="579">
      <c r="A579" s="9" t="inlineStr"/>
      <c r="B579" s="2" t="inlineStr"/>
      <c r="C579" s="2" t="inlineStr"/>
      <c r="D579" s="2" t="inlineStr"/>
      <c r="E579" s="2">
        <f>IF(D579="","",IFERROR(XLOOKUP(TRIM(D579),INVENTARIO!$A$2:$A$2000,INVENTARIO!$B$2:$B$2000),"NO ENCONTRADO"))</f>
        <v/>
      </c>
      <c r="F579" s="2">
        <f>IF(D579="","",IF(E579="NO ENCONTRADO","CODIGO NO EXISTE",IF(COUNTIF($D$2:D579,D579)&gt;1,"DEVOLUCION DUPLICADA",IF(COUNTIFS(SALIDAS!$B$2:$B$1000,B579,SALIDAS!$D$2:$D$1000,D579,SALIDAS!$G$2:$G$1000,"OK*")=0,"NO FIGURA EN SALIDA","OK"))))</f>
        <v/>
      </c>
    </row>
    <row r="580">
      <c r="A580" s="9" t="inlineStr"/>
      <c r="B580" s="2" t="inlineStr"/>
      <c r="C580" s="2" t="inlineStr"/>
      <c r="D580" s="2" t="inlineStr"/>
      <c r="E580" s="2">
        <f>IF(D580="","",IFERROR(XLOOKUP(TRIM(D580),INVENTARIO!$A$2:$A$2000,INVENTARIO!$B$2:$B$2000),"NO ENCONTRADO"))</f>
        <v/>
      </c>
      <c r="F580" s="2">
        <f>IF(D580="","",IF(E580="NO ENCONTRADO","CODIGO NO EXISTE",IF(COUNTIF($D$2:D580,D580)&gt;1,"DEVOLUCION DUPLICADA",IF(COUNTIFS(SALIDAS!$B$2:$B$1000,B580,SALIDAS!$D$2:$D$1000,D580,SALIDAS!$G$2:$G$1000,"OK*")=0,"NO FIGURA EN SALIDA","OK"))))</f>
        <v/>
      </c>
    </row>
    <row r="581">
      <c r="A581" s="9" t="inlineStr"/>
      <c r="B581" s="2" t="inlineStr"/>
      <c r="C581" s="2" t="inlineStr"/>
      <c r="D581" s="2" t="inlineStr"/>
      <c r="E581" s="2">
        <f>IF(D581="","",IFERROR(XLOOKUP(TRIM(D581),INVENTARIO!$A$2:$A$2000,INVENTARIO!$B$2:$B$2000),"NO ENCONTRADO"))</f>
        <v/>
      </c>
      <c r="F581" s="2">
        <f>IF(D581="","",IF(E581="NO ENCONTRADO","CODIGO NO EXISTE",IF(COUNTIF($D$2:D581,D581)&gt;1,"DEVOLUCION DUPLICADA",IF(COUNTIFS(SALIDAS!$B$2:$B$1000,B581,SALIDAS!$D$2:$D$1000,D581,SALIDAS!$G$2:$G$1000,"OK*")=0,"NO FIGURA EN SALIDA","OK"))))</f>
        <v/>
      </c>
    </row>
    <row r="582">
      <c r="A582" s="9" t="inlineStr"/>
      <c r="B582" s="2" t="inlineStr"/>
      <c r="C582" s="2" t="inlineStr"/>
      <c r="D582" s="2" t="inlineStr"/>
      <c r="E582" s="2">
        <f>IF(D582="","",IFERROR(XLOOKUP(TRIM(D582),INVENTARIO!$A$2:$A$2000,INVENTARIO!$B$2:$B$2000),"NO ENCONTRADO"))</f>
        <v/>
      </c>
      <c r="F582" s="2">
        <f>IF(D582="","",IF(E582="NO ENCONTRADO","CODIGO NO EXISTE",IF(COUNTIF($D$2:D582,D582)&gt;1,"DEVOLUCION DUPLICADA",IF(COUNTIFS(SALIDAS!$B$2:$B$1000,B582,SALIDAS!$D$2:$D$1000,D582,SALIDAS!$G$2:$G$1000,"OK*")=0,"NO FIGURA EN SALIDA","OK"))))</f>
        <v/>
      </c>
    </row>
    <row r="583">
      <c r="A583" s="9" t="inlineStr"/>
      <c r="B583" s="2" t="inlineStr"/>
      <c r="C583" s="2" t="inlineStr"/>
      <c r="D583" s="2" t="inlineStr"/>
      <c r="E583" s="2">
        <f>IF(D583="","",IFERROR(XLOOKUP(TRIM(D583),INVENTARIO!$A$2:$A$2000,INVENTARIO!$B$2:$B$2000),"NO ENCONTRADO"))</f>
        <v/>
      </c>
      <c r="F583" s="2">
        <f>IF(D583="","",IF(E583="NO ENCONTRADO","CODIGO NO EXISTE",IF(COUNTIF($D$2:D583,D583)&gt;1,"DEVOLUCION DUPLICADA",IF(COUNTIFS(SALIDAS!$B$2:$B$1000,B583,SALIDAS!$D$2:$D$1000,D583,SALIDAS!$G$2:$G$1000,"OK*")=0,"NO FIGURA EN SALIDA","OK"))))</f>
        <v/>
      </c>
    </row>
    <row r="584">
      <c r="A584" s="9" t="inlineStr"/>
      <c r="B584" s="2" t="inlineStr"/>
      <c r="C584" s="2" t="inlineStr"/>
      <c r="D584" s="2" t="inlineStr"/>
      <c r="E584" s="2">
        <f>IF(D584="","",IFERROR(XLOOKUP(TRIM(D584),INVENTARIO!$A$2:$A$2000,INVENTARIO!$B$2:$B$2000),"NO ENCONTRADO"))</f>
        <v/>
      </c>
      <c r="F584" s="2">
        <f>IF(D584="","",IF(E584="NO ENCONTRADO","CODIGO NO EXISTE",IF(COUNTIF($D$2:D584,D584)&gt;1,"DEVOLUCION DUPLICADA",IF(COUNTIFS(SALIDAS!$B$2:$B$1000,B584,SALIDAS!$D$2:$D$1000,D584,SALIDAS!$G$2:$G$1000,"OK*")=0,"NO FIGURA EN SALIDA","OK"))))</f>
        <v/>
      </c>
    </row>
    <row r="585">
      <c r="A585" s="9" t="inlineStr"/>
      <c r="B585" s="2" t="inlineStr"/>
      <c r="C585" s="2" t="inlineStr"/>
      <c r="D585" s="2" t="inlineStr"/>
      <c r="E585" s="2">
        <f>IF(D585="","",IFERROR(XLOOKUP(TRIM(D585),INVENTARIO!$A$2:$A$2000,INVENTARIO!$B$2:$B$2000),"NO ENCONTRADO"))</f>
        <v/>
      </c>
      <c r="F585" s="2">
        <f>IF(D585="","",IF(E585="NO ENCONTRADO","CODIGO NO EXISTE",IF(COUNTIF($D$2:D585,D585)&gt;1,"DEVOLUCION DUPLICADA",IF(COUNTIFS(SALIDAS!$B$2:$B$1000,B585,SALIDAS!$D$2:$D$1000,D585,SALIDAS!$G$2:$G$1000,"OK*")=0,"NO FIGURA EN SALIDA","OK"))))</f>
        <v/>
      </c>
    </row>
    <row r="586">
      <c r="A586" s="9" t="inlineStr"/>
      <c r="B586" s="2" t="inlineStr"/>
      <c r="C586" s="2" t="inlineStr"/>
      <c r="D586" s="2" t="inlineStr"/>
      <c r="E586" s="2">
        <f>IF(D586="","",IFERROR(XLOOKUP(TRIM(D586),INVENTARIO!$A$2:$A$2000,INVENTARIO!$B$2:$B$2000),"NO ENCONTRADO"))</f>
        <v/>
      </c>
      <c r="F586" s="2">
        <f>IF(D586="","",IF(E586="NO ENCONTRADO","CODIGO NO EXISTE",IF(COUNTIF($D$2:D586,D586)&gt;1,"DEVOLUCION DUPLICADA",IF(COUNTIFS(SALIDAS!$B$2:$B$1000,B586,SALIDAS!$D$2:$D$1000,D586,SALIDAS!$G$2:$G$1000,"OK*")=0,"NO FIGURA EN SALIDA","OK"))))</f>
        <v/>
      </c>
    </row>
    <row r="587">
      <c r="A587" s="9" t="inlineStr"/>
      <c r="B587" s="2" t="inlineStr"/>
      <c r="C587" s="2" t="inlineStr"/>
      <c r="D587" s="2" t="inlineStr"/>
      <c r="E587" s="2">
        <f>IF(D587="","",IFERROR(XLOOKUP(TRIM(D587),INVENTARIO!$A$2:$A$2000,INVENTARIO!$B$2:$B$2000),"NO ENCONTRADO"))</f>
        <v/>
      </c>
      <c r="F587" s="2">
        <f>IF(D587="","",IF(E587="NO ENCONTRADO","CODIGO NO EXISTE",IF(COUNTIF($D$2:D587,D587)&gt;1,"DEVOLUCION DUPLICADA",IF(COUNTIFS(SALIDAS!$B$2:$B$1000,B587,SALIDAS!$D$2:$D$1000,D587,SALIDAS!$G$2:$G$1000,"OK*")=0,"NO FIGURA EN SALIDA","OK"))))</f>
        <v/>
      </c>
    </row>
    <row r="588">
      <c r="A588" s="9" t="inlineStr"/>
      <c r="B588" s="2" t="inlineStr"/>
      <c r="C588" s="2" t="inlineStr"/>
      <c r="D588" s="2" t="inlineStr"/>
      <c r="E588" s="2">
        <f>IF(D588="","",IFERROR(XLOOKUP(TRIM(D588),INVENTARIO!$A$2:$A$2000,INVENTARIO!$B$2:$B$2000),"NO ENCONTRADO"))</f>
        <v/>
      </c>
      <c r="F588" s="2">
        <f>IF(D588="","",IF(E588="NO ENCONTRADO","CODIGO NO EXISTE",IF(COUNTIF($D$2:D588,D588)&gt;1,"DEVOLUCION DUPLICADA",IF(COUNTIFS(SALIDAS!$B$2:$B$1000,B588,SALIDAS!$D$2:$D$1000,D588,SALIDAS!$G$2:$G$1000,"OK*")=0,"NO FIGURA EN SALIDA","OK"))))</f>
        <v/>
      </c>
    </row>
    <row r="589">
      <c r="A589" s="9" t="inlineStr"/>
      <c r="B589" s="2" t="inlineStr"/>
      <c r="C589" s="2" t="inlineStr"/>
      <c r="D589" s="2" t="inlineStr"/>
      <c r="E589" s="2">
        <f>IF(D589="","",IFERROR(XLOOKUP(TRIM(D589),INVENTARIO!$A$2:$A$2000,INVENTARIO!$B$2:$B$2000),"NO ENCONTRADO"))</f>
        <v/>
      </c>
      <c r="F589" s="2">
        <f>IF(D589="","",IF(E589="NO ENCONTRADO","CODIGO NO EXISTE",IF(COUNTIF($D$2:D589,D589)&gt;1,"DEVOLUCION DUPLICADA",IF(COUNTIFS(SALIDAS!$B$2:$B$1000,B589,SALIDAS!$D$2:$D$1000,D589,SALIDAS!$G$2:$G$1000,"OK*")=0,"NO FIGURA EN SALIDA","OK"))))</f>
        <v/>
      </c>
    </row>
    <row r="590">
      <c r="A590" s="9" t="inlineStr"/>
      <c r="B590" s="2" t="inlineStr"/>
      <c r="C590" s="2" t="inlineStr"/>
      <c r="D590" s="2" t="inlineStr"/>
      <c r="E590" s="2">
        <f>IF(D590="","",IFERROR(XLOOKUP(TRIM(D590),INVENTARIO!$A$2:$A$2000,INVENTARIO!$B$2:$B$2000),"NO ENCONTRADO"))</f>
        <v/>
      </c>
      <c r="F590" s="2">
        <f>IF(D590="","",IF(E590="NO ENCONTRADO","CODIGO NO EXISTE",IF(COUNTIF($D$2:D590,D590)&gt;1,"DEVOLUCION DUPLICADA",IF(COUNTIFS(SALIDAS!$B$2:$B$1000,B590,SALIDAS!$D$2:$D$1000,D590,SALIDAS!$G$2:$G$1000,"OK*")=0,"NO FIGURA EN SALIDA","OK"))))</f>
        <v/>
      </c>
    </row>
    <row r="591">
      <c r="A591" s="9" t="inlineStr"/>
      <c r="B591" s="2" t="inlineStr"/>
      <c r="C591" s="2" t="inlineStr"/>
      <c r="D591" s="2" t="inlineStr"/>
      <c r="E591" s="2">
        <f>IF(D591="","",IFERROR(XLOOKUP(TRIM(D591),INVENTARIO!$A$2:$A$2000,INVENTARIO!$B$2:$B$2000),"NO ENCONTRADO"))</f>
        <v/>
      </c>
      <c r="F591" s="2">
        <f>IF(D591="","",IF(E591="NO ENCONTRADO","CODIGO NO EXISTE",IF(COUNTIF($D$2:D591,D591)&gt;1,"DEVOLUCION DUPLICADA",IF(COUNTIFS(SALIDAS!$B$2:$B$1000,B591,SALIDAS!$D$2:$D$1000,D591,SALIDAS!$G$2:$G$1000,"OK*")=0,"NO FIGURA EN SALIDA","OK"))))</f>
        <v/>
      </c>
    </row>
    <row r="592">
      <c r="A592" s="9" t="inlineStr"/>
      <c r="B592" s="2" t="inlineStr"/>
      <c r="C592" s="2" t="inlineStr"/>
      <c r="D592" s="2" t="inlineStr"/>
      <c r="E592" s="2">
        <f>IF(D592="","",IFERROR(XLOOKUP(TRIM(D592),INVENTARIO!$A$2:$A$2000,INVENTARIO!$B$2:$B$2000),"NO ENCONTRADO"))</f>
        <v/>
      </c>
      <c r="F592" s="2">
        <f>IF(D592="","",IF(E592="NO ENCONTRADO","CODIGO NO EXISTE",IF(COUNTIF($D$2:D592,D592)&gt;1,"DEVOLUCION DUPLICADA",IF(COUNTIFS(SALIDAS!$B$2:$B$1000,B592,SALIDAS!$D$2:$D$1000,D592,SALIDAS!$G$2:$G$1000,"OK*")=0,"NO FIGURA EN SALIDA","OK"))))</f>
        <v/>
      </c>
    </row>
    <row r="593">
      <c r="A593" s="9" t="inlineStr"/>
      <c r="B593" s="2" t="inlineStr"/>
      <c r="C593" s="2" t="inlineStr"/>
      <c r="D593" s="2" t="inlineStr"/>
      <c r="E593" s="2">
        <f>IF(D593="","",IFERROR(XLOOKUP(TRIM(D593),INVENTARIO!$A$2:$A$2000,INVENTARIO!$B$2:$B$2000),"NO ENCONTRADO"))</f>
        <v/>
      </c>
      <c r="F593" s="2">
        <f>IF(D593="","",IF(E593="NO ENCONTRADO","CODIGO NO EXISTE",IF(COUNTIF($D$2:D593,D593)&gt;1,"DEVOLUCION DUPLICADA",IF(COUNTIFS(SALIDAS!$B$2:$B$1000,B593,SALIDAS!$D$2:$D$1000,D593,SALIDAS!$G$2:$G$1000,"OK*")=0,"NO FIGURA EN SALIDA","OK"))))</f>
        <v/>
      </c>
    </row>
    <row r="594">
      <c r="A594" s="9" t="inlineStr"/>
      <c r="B594" s="2" t="inlineStr"/>
      <c r="C594" s="2" t="inlineStr"/>
      <c r="D594" s="2" t="inlineStr"/>
      <c r="E594" s="2">
        <f>IF(D594="","",IFERROR(XLOOKUP(TRIM(D594),INVENTARIO!$A$2:$A$2000,INVENTARIO!$B$2:$B$2000),"NO ENCONTRADO"))</f>
        <v/>
      </c>
      <c r="F594" s="2">
        <f>IF(D594="","",IF(E594="NO ENCONTRADO","CODIGO NO EXISTE",IF(COUNTIF($D$2:D594,D594)&gt;1,"DEVOLUCION DUPLICADA",IF(COUNTIFS(SALIDAS!$B$2:$B$1000,B594,SALIDAS!$D$2:$D$1000,D594,SALIDAS!$G$2:$G$1000,"OK*")=0,"NO FIGURA EN SALIDA","OK"))))</f>
        <v/>
      </c>
    </row>
    <row r="595">
      <c r="A595" s="9" t="inlineStr"/>
      <c r="B595" s="2" t="inlineStr"/>
      <c r="C595" s="2" t="inlineStr"/>
      <c r="D595" s="2" t="inlineStr"/>
      <c r="E595" s="2">
        <f>IF(D595="","",IFERROR(XLOOKUP(TRIM(D595),INVENTARIO!$A$2:$A$2000,INVENTARIO!$B$2:$B$2000),"NO ENCONTRADO"))</f>
        <v/>
      </c>
      <c r="F595" s="2">
        <f>IF(D595="","",IF(E595="NO ENCONTRADO","CODIGO NO EXISTE",IF(COUNTIF($D$2:D595,D595)&gt;1,"DEVOLUCION DUPLICADA",IF(COUNTIFS(SALIDAS!$B$2:$B$1000,B595,SALIDAS!$D$2:$D$1000,D595,SALIDAS!$G$2:$G$1000,"OK*")=0,"NO FIGURA EN SALIDA","OK"))))</f>
        <v/>
      </c>
    </row>
    <row r="596">
      <c r="A596" s="9" t="inlineStr"/>
      <c r="B596" s="2" t="inlineStr"/>
      <c r="C596" s="2" t="inlineStr"/>
      <c r="D596" s="2" t="inlineStr"/>
      <c r="E596" s="2">
        <f>IF(D596="","",IFERROR(XLOOKUP(TRIM(D596),INVENTARIO!$A$2:$A$2000,INVENTARIO!$B$2:$B$2000),"NO ENCONTRADO"))</f>
        <v/>
      </c>
      <c r="F596" s="2">
        <f>IF(D596="","",IF(E596="NO ENCONTRADO","CODIGO NO EXISTE",IF(COUNTIF($D$2:D596,D596)&gt;1,"DEVOLUCION DUPLICADA",IF(COUNTIFS(SALIDAS!$B$2:$B$1000,B596,SALIDAS!$D$2:$D$1000,D596,SALIDAS!$G$2:$G$1000,"OK*")=0,"NO FIGURA EN SALIDA","OK"))))</f>
        <v/>
      </c>
    </row>
    <row r="597">
      <c r="A597" s="9" t="inlineStr"/>
      <c r="B597" s="2" t="inlineStr"/>
      <c r="C597" s="2" t="inlineStr"/>
      <c r="D597" s="2" t="inlineStr"/>
      <c r="E597" s="2">
        <f>IF(D597="","",IFERROR(XLOOKUP(TRIM(D597),INVENTARIO!$A$2:$A$2000,INVENTARIO!$B$2:$B$2000),"NO ENCONTRADO"))</f>
        <v/>
      </c>
      <c r="F597" s="2">
        <f>IF(D597="","",IF(E597="NO ENCONTRADO","CODIGO NO EXISTE",IF(COUNTIF($D$2:D597,D597)&gt;1,"DEVOLUCION DUPLICADA",IF(COUNTIFS(SALIDAS!$B$2:$B$1000,B597,SALIDAS!$D$2:$D$1000,D597,SALIDAS!$G$2:$G$1000,"OK*")=0,"NO FIGURA EN SALIDA","OK"))))</f>
        <v/>
      </c>
    </row>
    <row r="598">
      <c r="A598" s="9" t="inlineStr"/>
      <c r="B598" s="2" t="inlineStr"/>
      <c r="C598" s="2" t="inlineStr"/>
      <c r="D598" s="2" t="inlineStr"/>
      <c r="E598" s="2">
        <f>IF(D598="","",IFERROR(XLOOKUP(TRIM(D598),INVENTARIO!$A$2:$A$2000,INVENTARIO!$B$2:$B$2000),"NO ENCONTRADO"))</f>
        <v/>
      </c>
      <c r="F598" s="2">
        <f>IF(D598="","",IF(E598="NO ENCONTRADO","CODIGO NO EXISTE",IF(COUNTIF($D$2:D598,D598)&gt;1,"DEVOLUCION DUPLICADA",IF(COUNTIFS(SALIDAS!$B$2:$B$1000,B598,SALIDAS!$D$2:$D$1000,D598,SALIDAS!$G$2:$G$1000,"OK*")=0,"NO FIGURA EN SALIDA","OK"))))</f>
        <v/>
      </c>
    </row>
    <row r="599">
      <c r="A599" s="9" t="inlineStr"/>
      <c r="B599" s="2" t="inlineStr"/>
      <c r="C599" s="2" t="inlineStr"/>
      <c r="D599" s="2" t="inlineStr"/>
      <c r="E599" s="2">
        <f>IF(D599="","",IFERROR(XLOOKUP(TRIM(D599),INVENTARIO!$A$2:$A$2000,INVENTARIO!$B$2:$B$2000),"NO ENCONTRADO"))</f>
        <v/>
      </c>
      <c r="F599" s="2">
        <f>IF(D599="","",IF(E599="NO ENCONTRADO","CODIGO NO EXISTE",IF(COUNTIF($D$2:D599,D599)&gt;1,"DEVOLUCION DUPLICADA",IF(COUNTIFS(SALIDAS!$B$2:$B$1000,B599,SALIDAS!$D$2:$D$1000,D599,SALIDAS!$G$2:$G$1000,"OK*")=0,"NO FIGURA EN SALIDA","OK"))))</f>
        <v/>
      </c>
    </row>
    <row r="600">
      <c r="A600" s="9" t="inlineStr"/>
      <c r="B600" s="2" t="inlineStr"/>
      <c r="C600" s="2" t="inlineStr"/>
      <c r="D600" s="2" t="inlineStr"/>
      <c r="E600" s="2">
        <f>IF(D600="","",IFERROR(XLOOKUP(TRIM(D600),INVENTARIO!$A$2:$A$2000,INVENTARIO!$B$2:$B$2000),"NO ENCONTRADO"))</f>
        <v/>
      </c>
      <c r="F600" s="2">
        <f>IF(D600="","",IF(E600="NO ENCONTRADO","CODIGO NO EXISTE",IF(COUNTIF($D$2:D600,D600)&gt;1,"DEVOLUCION DUPLICADA",IF(COUNTIFS(SALIDAS!$B$2:$B$1000,B600,SALIDAS!$D$2:$D$1000,D600,SALIDAS!$G$2:$G$1000,"OK*")=0,"NO FIGURA EN SALIDA","OK"))))</f>
        <v/>
      </c>
    </row>
    <row r="601">
      <c r="A601" s="9" t="inlineStr"/>
      <c r="B601" s="2" t="inlineStr"/>
      <c r="C601" s="2" t="inlineStr"/>
      <c r="D601" s="2" t="inlineStr"/>
      <c r="E601" s="2">
        <f>IF(D601="","",IFERROR(XLOOKUP(TRIM(D601),INVENTARIO!$A$2:$A$2000,INVENTARIO!$B$2:$B$2000),"NO ENCONTRADO"))</f>
        <v/>
      </c>
      <c r="F601" s="2">
        <f>IF(D601="","",IF(E601="NO ENCONTRADO","CODIGO NO EXISTE",IF(COUNTIF($D$2:D601,D601)&gt;1,"DEVOLUCION DUPLICADA",IF(COUNTIFS(SALIDAS!$B$2:$B$1000,B601,SALIDAS!$D$2:$D$1000,D601,SALIDAS!$G$2:$G$1000,"OK*")=0,"NO FIGURA EN SALIDA","OK"))))</f>
        <v/>
      </c>
    </row>
    <row r="602">
      <c r="A602" s="9" t="inlineStr"/>
      <c r="B602" s="2" t="inlineStr"/>
      <c r="C602" s="2" t="inlineStr"/>
      <c r="D602" s="2" t="inlineStr"/>
      <c r="E602" s="2">
        <f>IF(D602="","",IFERROR(XLOOKUP(TRIM(D602),INVENTARIO!$A$2:$A$2000,INVENTARIO!$B$2:$B$2000),"NO ENCONTRADO"))</f>
        <v/>
      </c>
      <c r="F602" s="2">
        <f>IF(D602="","",IF(E602="NO ENCONTRADO","CODIGO NO EXISTE",IF(COUNTIF($D$2:D602,D602)&gt;1,"DEVOLUCION DUPLICADA",IF(COUNTIFS(SALIDAS!$B$2:$B$1000,B602,SALIDAS!$D$2:$D$1000,D602,SALIDAS!$G$2:$G$1000,"OK*")=0,"NO FIGURA EN SALIDA","OK"))))</f>
        <v/>
      </c>
    </row>
    <row r="603">
      <c r="A603" s="9" t="inlineStr"/>
      <c r="B603" s="2" t="inlineStr"/>
      <c r="C603" s="2" t="inlineStr"/>
      <c r="D603" s="2" t="inlineStr"/>
      <c r="E603" s="2">
        <f>IF(D603="","",IFERROR(XLOOKUP(TRIM(D603),INVENTARIO!$A$2:$A$2000,INVENTARIO!$B$2:$B$2000),"NO ENCONTRADO"))</f>
        <v/>
      </c>
      <c r="F603" s="2">
        <f>IF(D603="","",IF(E603="NO ENCONTRADO","CODIGO NO EXISTE",IF(COUNTIF($D$2:D603,D603)&gt;1,"DEVOLUCION DUPLICADA",IF(COUNTIFS(SALIDAS!$B$2:$B$1000,B603,SALIDAS!$D$2:$D$1000,D603,SALIDAS!$G$2:$G$1000,"OK*")=0,"NO FIGURA EN SALIDA","OK"))))</f>
        <v/>
      </c>
    </row>
    <row r="604">
      <c r="A604" s="9" t="inlineStr"/>
      <c r="B604" s="2" t="inlineStr"/>
      <c r="C604" s="2" t="inlineStr"/>
      <c r="D604" s="2" t="inlineStr"/>
      <c r="E604" s="2">
        <f>IF(D604="","",IFERROR(XLOOKUP(TRIM(D604),INVENTARIO!$A$2:$A$2000,INVENTARIO!$B$2:$B$2000),"NO ENCONTRADO"))</f>
        <v/>
      </c>
      <c r="F604" s="2">
        <f>IF(D604="","",IF(E604="NO ENCONTRADO","CODIGO NO EXISTE",IF(COUNTIF($D$2:D604,D604)&gt;1,"DEVOLUCION DUPLICADA",IF(COUNTIFS(SALIDAS!$B$2:$B$1000,B604,SALIDAS!$D$2:$D$1000,D604,SALIDAS!$G$2:$G$1000,"OK*")=0,"NO FIGURA EN SALIDA","OK"))))</f>
        <v/>
      </c>
    </row>
    <row r="605">
      <c r="A605" s="9" t="inlineStr"/>
      <c r="B605" s="2" t="inlineStr"/>
      <c r="C605" s="2" t="inlineStr"/>
      <c r="D605" s="2" t="inlineStr"/>
      <c r="E605" s="2">
        <f>IF(D605="","",IFERROR(XLOOKUP(TRIM(D605),INVENTARIO!$A$2:$A$2000,INVENTARIO!$B$2:$B$2000),"NO ENCONTRADO"))</f>
        <v/>
      </c>
      <c r="F605" s="2">
        <f>IF(D605="","",IF(E605="NO ENCONTRADO","CODIGO NO EXISTE",IF(COUNTIF($D$2:D605,D605)&gt;1,"DEVOLUCION DUPLICADA",IF(COUNTIFS(SALIDAS!$B$2:$B$1000,B605,SALIDAS!$D$2:$D$1000,D605,SALIDAS!$G$2:$G$1000,"OK*")=0,"NO FIGURA EN SALIDA","OK"))))</f>
        <v/>
      </c>
    </row>
    <row r="606">
      <c r="A606" s="9" t="inlineStr"/>
      <c r="B606" s="2" t="inlineStr"/>
      <c r="C606" s="2" t="inlineStr"/>
      <c r="D606" s="2" t="inlineStr"/>
      <c r="E606" s="2">
        <f>IF(D606="","",IFERROR(XLOOKUP(TRIM(D606),INVENTARIO!$A$2:$A$2000,INVENTARIO!$B$2:$B$2000),"NO ENCONTRADO"))</f>
        <v/>
      </c>
      <c r="F606" s="2">
        <f>IF(D606="","",IF(E606="NO ENCONTRADO","CODIGO NO EXISTE",IF(COUNTIF($D$2:D606,D606)&gt;1,"DEVOLUCION DUPLICADA",IF(COUNTIFS(SALIDAS!$B$2:$B$1000,B606,SALIDAS!$D$2:$D$1000,D606,SALIDAS!$G$2:$G$1000,"OK*")=0,"NO FIGURA EN SALIDA","OK"))))</f>
        <v/>
      </c>
    </row>
    <row r="607">
      <c r="A607" s="9" t="inlineStr"/>
      <c r="B607" s="2" t="inlineStr"/>
      <c r="C607" s="2" t="inlineStr"/>
      <c r="D607" s="2" t="inlineStr"/>
      <c r="E607" s="2">
        <f>IF(D607="","",IFERROR(XLOOKUP(TRIM(D607),INVENTARIO!$A$2:$A$2000,INVENTARIO!$B$2:$B$2000),"NO ENCONTRADO"))</f>
        <v/>
      </c>
      <c r="F607" s="2">
        <f>IF(D607="","",IF(E607="NO ENCONTRADO","CODIGO NO EXISTE",IF(COUNTIF($D$2:D607,D607)&gt;1,"DEVOLUCION DUPLICADA",IF(COUNTIFS(SALIDAS!$B$2:$B$1000,B607,SALIDAS!$D$2:$D$1000,D607,SALIDAS!$G$2:$G$1000,"OK*")=0,"NO FIGURA EN SALIDA","OK"))))</f>
        <v/>
      </c>
    </row>
    <row r="608">
      <c r="A608" s="9" t="inlineStr"/>
      <c r="B608" s="2" t="inlineStr"/>
      <c r="C608" s="2" t="inlineStr"/>
      <c r="D608" s="2" t="inlineStr"/>
      <c r="E608" s="2">
        <f>IF(D608="","",IFERROR(XLOOKUP(TRIM(D608),INVENTARIO!$A$2:$A$2000,INVENTARIO!$B$2:$B$2000),"NO ENCONTRADO"))</f>
        <v/>
      </c>
      <c r="F608" s="2">
        <f>IF(D608="","",IF(E608="NO ENCONTRADO","CODIGO NO EXISTE",IF(COUNTIF($D$2:D608,D608)&gt;1,"DEVOLUCION DUPLICADA",IF(COUNTIFS(SALIDAS!$B$2:$B$1000,B608,SALIDAS!$D$2:$D$1000,D608,SALIDAS!$G$2:$G$1000,"OK*")=0,"NO FIGURA EN SALIDA","OK"))))</f>
        <v/>
      </c>
    </row>
    <row r="609">
      <c r="A609" s="9" t="inlineStr"/>
      <c r="B609" s="2" t="inlineStr"/>
      <c r="C609" s="2" t="inlineStr"/>
      <c r="D609" s="2" t="inlineStr"/>
      <c r="E609" s="2">
        <f>IF(D609="","",IFERROR(XLOOKUP(TRIM(D609),INVENTARIO!$A$2:$A$2000,INVENTARIO!$B$2:$B$2000),"NO ENCONTRADO"))</f>
        <v/>
      </c>
      <c r="F609" s="2">
        <f>IF(D609="","",IF(E609="NO ENCONTRADO","CODIGO NO EXISTE",IF(COUNTIF($D$2:D609,D609)&gt;1,"DEVOLUCION DUPLICADA",IF(COUNTIFS(SALIDAS!$B$2:$B$1000,B609,SALIDAS!$D$2:$D$1000,D609,SALIDAS!$G$2:$G$1000,"OK*")=0,"NO FIGURA EN SALIDA","OK"))))</f>
        <v/>
      </c>
    </row>
    <row r="610">
      <c r="A610" s="9" t="inlineStr"/>
      <c r="B610" s="2" t="inlineStr"/>
      <c r="C610" s="2" t="inlineStr"/>
      <c r="D610" s="2" t="inlineStr"/>
      <c r="E610" s="2">
        <f>IF(D610="","",IFERROR(XLOOKUP(TRIM(D610),INVENTARIO!$A$2:$A$2000,INVENTARIO!$B$2:$B$2000),"NO ENCONTRADO"))</f>
        <v/>
      </c>
      <c r="F610" s="2">
        <f>IF(D610="","",IF(E610="NO ENCONTRADO","CODIGO NO EXISTE",IF(COUNTIF($D$2:D610,D610)&gt;1,"DEVOLUCION DUPLICADA",IF(COUNTIFS(SALIDAS!$B$2:$B$1000,B610,SALIDAS!$D$2:$D$1000,D610,SALIDAS!$G$2:$G$1000,"OK*")=0,"NO FIGURA EN SALIDA","OK"))))</f>
        <v/>
      </c>
    </row>
    <row r="611">
      <c r="A611" s="9" t="inlineStr"/>
      <c r="B611" s="2" t="inlineStr"/>
      <c r="C611" s="2" t="inlineStr"/>
      <c r="D611" s="2" t="inlineStr"/>
      <c r="E611" s="2">
        <f>IF(D611="","",IFERROR(XLOOKUP(TRIM(D611),INVENTARIO!$A$2:$A$2000,INVENTARIO!$B$2:$B$2000),"NO ENCONTRADO"))</f>
        <v/>
      </c>
      <c r="F611" s="2">
        <f>IF(D611="","",IF(E611="NO ENCONTRADO","CODIGO NO EXISTE",IF(COUNTIF($D$2:D611,D611)&gt;1,"DEVOLUCION DUPLICADA",IF(COUNTIFS(SALIDAS!$B$2:$B$1000,B611,SALIDAS!$D$2:$D$1000,D611,SALIDAS!$G$2:$G$1000,"OK*")=0,"NO FIGURA EN SALIDA","OK"))))</f>
        <v/>
      </c>
    </row>
    <row r="612">
      <c r="A612" s="9" t="inlineStr"/>
      <c r="B612" s="2" t="inlineStr"/>
      <c r="C612" s="2" t="inlineStr"/>
      <c r="D612" s="2" t="inlineStr"/>
      <c r="E612" s="2">
        <f>IF(D612="","",IFERROR(XLOOKUP(TRIM(D612),INVENTARIO!$A$2:$A$2000,INVENTARIO!$B$2:$B$2000),"NO ENCONTRADO"))</f>
        <v/>
      </c>
      <c r="F612" s="2">
        <f>IF(D612="","",IF(E612="NO ENCONTRADO","CODIGO NO EXISTE",IF(COUNTIF($D$2:D612,D612)&gt;1,"DEVOLUCION DUPLICADA",IF(COUNTIFS(SALIDAS!$B$2:$B$1000,B612,SALIDAS!$D$2:$D$1000,D612,SALIDAS!$G$2:$G$1000,"OK*")=0,"NO FIGURA EN SALIDA","OK"))))</f>
        <v/>
      </c>
    </row>
    <row r="613">
      <c r="A613" s="9" t="inlineStr"/>
      <c r="B613" s="2" t="inlineStr"/>
      <c r="C613" s="2" t="inlineStr"/>
      <c r="D613" s="2" t="inlineStr"/>
      <c r="E613" s="2">
        <f>IF(D613="","",IFERROR(XLOOKUP(TRIM(D613),INVENTARIO!$A$2:$A$2000,INVENTARIO!$B$2:$B$2000),"NO ENCONTRADO"))</f>
        <v/>
      </c>
      <c r="F613" s="2">
        <f>IF(D613="","",IF(E613="NO ENCONTRADO","CODIGO NO EXISTE",IF(COUNTIF($D$2:D613,D613)&gt;1,"DEVOLUCION DUPLICADA",IF(COUNTIFS(SALIDAS!$B$2:$B$1000,B613,SALIDAS!$D$2:$D$1000,D613,SALIDAS!$G$2:$G$1000,"OK*")=0,"NO FIGURA EN SALIDA","OK"))))</f>
        <v/>
      </c>
    </row>
    <row r="614">
      <c r="A614" s="9" t="inlineStr"/>
      <c r="B614" s="2" t="inlineStr"/>
      <c r="C614" s="2" t="inlineStr"/>
      <c r="D614" s="2" t="inlineStr"/>
      <c r="E614" s="2">
        <f>IF(D614="","",IFERROR(XLOOKUP(TRIM(D614),INVENTARIO!$A$2:$A$2000,INVENTARIO!$B$2:$B$2000),"NO ENCONTRADO"))</f>
        <v/>
      </c>
      <c r="F614" s="2">
        <f>IF(D614="","",IF(E614="NO ENCONTRADO","CODIGO NO EXISTE",IF(COUNTIF($D$2:D614,D614)&gt;1,"DEVOLUCION DUPLICADA",IF(COUNTIFS(SALIDAS!$B$2:$B$1000,B614,SALIDAS!$D$2:$D$1000,D614,SALIDAS!$G$2:$G$1000,"OK*")=0,"NO FIGURA EN SALIDA","OK"))))</f>
        <v/>
      </c>
    </row>
    <row r="615">
      <c r="A615" s="9" t="inlineStr"/>
      <c r="B615" s="2" t="inlineStr"/>
      <c r="C615" s="2" t="inlineStr"/>
      <c r="D615" s="2" t="inlineStr"/>
      <c r="E615" s="2">
        <f>IF(D615="","",IFERROR(XLOOKUP(TRIM(D615),INVENTARIO!$A$2:$A$2000,INVENTARIO!$B$2:$B$2000),"NO ENCONTRADO"))</f>
        <v/>
      </c>
      <c r="F615" s="2">
        <f>IF(D615="","",IF(E615="NO ENCONTRADO","CODIGO NO EXISTE",IF(COUNTIF($D$2:D615,D615)&gt;1,"DEVOLUCION DUPLICADA",IF(COUNTIFS(SALIDAS!$B$2:$B$1000,B615,SALIDAS!$D$2:$D$1000,D615,SALIDAS!$G$2:$G$1000,"OK*")=0,"NO FIGURA EN SALIDA","OK"))))</f>
        <v/>
      </c>
    </row>
    <row r="616">
      <c r="A616" s="9" t="inlineStr"/>
      <c r="B616" s="2" t="inlineStr"/>
      <c r="C616" s="2" t="inlineStr"/>
      <c r="D616" s="2" t="inlineStr"/>
      <c r="E616" s="2">
        <f>IF(D616="","",IFERROR(XLOOKUP(TRIM(D616),INVENTARIO!$A$2:$A$2000,INVENTARIO!$B$2:$B$2000),"NO ENCONTRADO"))</f>
        <v/>
      </c>
      <c r="F616" s="2">
        <f>IF(D616="","",IF(E616="NO ENCONTRADO","CODIGO NO EXISTE",IF(COUNTIF($D$2:D616,D616)&gt;1,"DEVOLUCION DUPLICADA",IF(COUNTIFS(SALIDAS!$B$2:$B$1000,B616,SALIDAS!$D$2:$D$1000,D616,SALIDAS!$G$2:$G$1000,"OK*")=0,"NO FIGURA EN SALIDA","OK"))))</f>
        <v/>
      </c>
    </row>
    <row r="617">
      <c r="A617" s="9" t="inlineStr"/>
      <c r="B617" s="2" t="inlineStr"/>
      <c r="C617" s="2" t="inlineStr"/>
      <c r="D617" s="2" t="inlineStr"/>
      <c r="E617" s="2">
        <f>IF(D617="","",IFERROR(XLOOKUP(TRIM(D617),INVENTARIO!$A$2:$A$2000,INVENTARIO!$B$2:$B$2000),"NO ENCONTRADO"))</f>
        <v/>
      </c>
      <c r="F617" s="2">
        <f>IF(D617="","",IF(E617="NO ENCONTRADO","CODIGO NO EXISTE",IF(COUNTIF($D$2:D617,D617)&gt;1,"DEVOLUCION DUPLICADA",IF(COUNTIFS(SALIDAS!$B$2:$B$1000,B617,SALIDAS!$D$2:$D$1000,D617,SALIDAS!$G$2:$G$1000,"OK*")=0,"NO FIGURA EN SALIDA","OK"))))</f>
        <v/>
      </c>
    </row>
    <row r="618">
      <c r="A618" s="9" t="inlineStr"/>
      <c r="B618" s="2" t="inlineStr"/>
      <c r="C618" s="2" t="inlineStr"/>
      <c r="D618" s="2" t="inlineStr"/>
      <c r="E618" s="2">
        <f>IF(D618="","",IFERROR(XLOOKUP(TRIM(D618),INVENTARIO!$A$2:$A$2000,INVENTARIO!$B$2:$B$2000),"NO ENCONTRADO"))</f>
        <v/>
      </c>
      <c r="F618" s="2">
        <f>IF(D618="","",IF(E618="NO ENCONTRADO","CODIGO NO EXISTE",IF(COUNTIF($D$2:D618,D618)&gt;1,"DEVOLUCION DUPLICADA",IF(COUNTIFS(SALIDAS!$B$2:$B$1000,B618,SALIDAS!$D$2:$D$1000,D618,SALIDAS!$G$2:$G$1000,"OK*")=0,"NO FIGURA EN SALIDA","OK"))))</f>
        <v/>
      </c>
    </row>
    <row r="619">
      <c r="A619" s="9" t="inlineStr"/>
      <c r="B619" s="2" t="inlineStr"/>
      <c r="C619" s="2" t="inlineStr"/>
      <c r="D619" s="2" t="inlineStr"/>
      <c r="E619" s="2">
        <f>IF(D619="","",IFERROR(XLOOKUP(TRIM(D619),INVENTARIO!$A$2:$A$2000,INVENTARIO!$B$2:$B$2000),"NO ENCONTRADO"))</f>
        <v/>
      </c>
      <c r="F619" s="2">
        <f>IF(D619="","",IF(E619="NO ENCONTRADO","CODIGO NO EXISTE",IF(COUNTIF($D$2:D619,D619)&gt;1,"DEVOLUCION DUPLICADA",IF(COUNTIFS(SALIDAS!$B$2:$B$1000,B619,SALIDAS!$D$2:$D$1000,D619,SALIDAS!$G$2:$G$1000,"OK*")=0,"NO FIGURA EN SALIDA","OK"))))</f>
        <v/>
      </c>
    </row>
    <row r="620">
      <c r="A620" s="9" t="inlineStr"/>
      <c r="B620" s="2" t="inlineStr"/>
      <c r="C620" s="2" t="inlineStr"/>
      <c r="D620" s="2" t="inlineStr"/>
      <c r="E620" s="2">
        <f>IF(D620="","",IFERROR(XLOOKUP(TRIM(D620),INVENTARIO!$A$2:$A$2000,INVENTARIO!$B$2:$B$2000),"NO ENCONTRADO"))</f>
        <v/>
      </c>
      <c r="F620" s="2">
        <f>IF(D620="","",IF(E620="NO ENCONTRADO","CODIGO NO EXISTE",IF(COUNTIF($D$2:D620,D620)&gt;1,"DEVOLUCION DUPLICADA",IF(COUNTIFS(SALIDAS!$B$2:$B$1000,B620,SALIDAS!$D$2:$D$1000,D620,SALIDAS!$G$2:$G$1000,"OK*")=0,"NO FIGURA EN SALIDA","OK"))))</f>
        <v/>
      </c>
    </row>
    <row r="621">
      <c r="A621" s="9" t="inlineStr"/>
      <c r="B621" s="2" t="inlineStr"/>
      <c r="C621" s="2" t="inlineStr"/>
      <c r="D621" s="2" t="inlineStr"/>
      <c r="E621" s="2">
        <f>IF(D621="","",IFERROR(XLOOKUP(TRIM(D621),INVENTARIO!$A$2:$A$2000,INVENTARIO!$B$2:$B$2000),"NO ENCONTRADO"))</f>
        <v/>
      </c>
      <c r="F621" s="2">
        <f>IF(D621="","",IF(E621="NO ENCONTRADO","CODIGO NO EXISTE",IF(COUNTIF($D$2:D621,D621)&gt;1,"DEVOLUCION DUPLICADA",IF(COUNTIFS(SALIDAS!$B$2:$B$1000,B621,SALIDAS!$D$2:$D$1000,D621,SALIDAS!$G$2:$G$1000,"OK*")=0,"NO FIGURA EN SALIDA","OK"))))</f>
        <v/>
      </c>
    </row>
    <row r="622">
      <c r="A622" s="9" t="inlineStr"/>
      <c r="B622" s="2" t="inlineStr"/>
      <c r="C622" s="2" t="inlineStr"/>
      <c r="D622" s="2" t="inlineStr"/>
      <c r="E622" s="2">
        <f>IF(D622="","",IFERROR(XLOOKUP(TRIM(D622),INVENTARIO!$A$2:$A$2000,INVENTARIO!$B$2:$B$2000),"NO ENCONTRADO"))</f>
        <v/>
      </c>
      <c r="F622" s="2">
        <f>IF(D622="","",IF(E622="NO ENCONTRADO","CODIGO NO EXISTE",IF(COUNTIF($D$2:D622,D622)&gt;1,"DEVOLUCION DUPLICADA",IF(COUNTIFS(SALIDAS!$B$2:$B$1000,B622,SALIDAS!$D$2:$D$1000,D622,SALIDAS!$G$2:$G$1000,"OK*")=0,"NO FIGURA EN SALIDA","OK"))))</f>
        <v/>
      </c>
    </row>
    <row r="623">
      <c r="A623" s="9" t="inlineStr"/>
      <c r="B623" s="2" t="inlineStr"/>
      <c r="C623" s="2" t="inlineStr"/>
      <c r="D623" s="2" t="inlineStr"/>
      <c r="E623" s="2">
        <f>IF(D623="","",IFERROR(XLOOKUP(TRIM(D623),INVENTARIO!$A$2:$A$2000,INVENTARIO!$B$2:$B$2000),"NO ENCONTRADO"))</f>
        <v/>
      </c>
      <c r="F623" s="2">
        <f>IF(D623="","",IF(E623="NO ENCONTRADO","CODIGO NO EXISTE",IF(COUNTIF($D$2:D623,D623)&gt;1,"DEVOLUCION DUPLICADA",IF(COUNTIFS(SALIDAS!$B$2:$B$1000,B623,SALIDAS!$D$2:$D$1000,D623,SALIDAS!$G$2:$G$1000,"OK*")=0,"NO FIGURA EN SALIDA","OK"))))</f>
        <v/>
      </c>
    </row>
    <row r="624">
      <c r="A624" s="9" t="inlineStr"/>
      <c r="B624" s="2" t="inlineStr"/>
      <c r="C624" s="2" t="inlineStr"/>
      <c r="D624" s="2" t="inlineStr"/>
      <c r="E624" s="2">
        <f>IF(D624="","",IFERROR(XLOOKUP(TRIM(D624),INVENTARIO!$A$2:$A$2000,INVENTARIO!$B$2:$B$2000),"NO ENCONTRADO"))</f>
        <v/>
      </c>
      <c r="F624" s="2">
        <f>IF(D624="","",IF(E624="NO ENCONTRADO","CODIGO NO EXISTE",IF(COUNTIF($D$2:D624,D624)&gt;1,"DEVOLUCION DUPLICADA",IF(COUNTIFS(SALIDAS!$B$2:$B$1000,B624,SALIDAS!$D$2:$D$1000,D624,SALIDAS!$G$2:$G$1000,"OK*")=0,"NO FIGURA EN SALIDA","OK"))))</f>
        <v/>
      </c>
    </row>
    <row r="625">
      <c r="A625" s="9" t="inlineStr"/>
      <c r="B625" s="2" t="inlineStr"/>
      <c r="C625" s="2" t="inlineStr"/>
      <c r="D625" s="2" t="inlineStr"/>
      <c r="E625" s="2">
        <f>IF(D625="","",IFERROR(XLOOKUP(TRIM(D625),INVENTARIO!$A$2:$A$2000,INVENTARIO!$B$2:$B$2000),"NO ENCONTRADO"))</f>
        <v/>
      </c>
      <c r="F625" s="2">
        <f>IF(D625="","",IF(E625="NO ENCONTRADO","CODIGO NO EXISTE",IF(COUNTIF($D$2:D625,D625)&gt;1,"DEVOLUCION DUPLICADA",IF(COUNTIFS(SALIDAS!$B$2:$B$1000,B625,SALIDAS!$D$2:$D$1000,D625,SALIDAS!$G$2:$G$1000,"OK*")=0,"NO FIGURA EN SALIDA","OK"))))</f>
        <v/>
      </c>
    </row>
    <row r="626">
      <c r="A626" s="9" t="inlineStr"/>
      <c r="B626" s="2" t="inlineStr"/>
      <c r="C626" s="2" t="inlineStr"/>
      <c r="D626" s="2" t="inlineStr"/>
      <c r="E626" s="2">
        <f>IF(D626="","",IFERROR(XLOOKUP(TRIM(D626),INVENTARIO!$A$2:$A$2000,INVENTARIO!$B$2:$B$2000),"NO ENCONTRADO"))</f>
        <v/>
      </c>
      <c r="F626" s="2">
        <f>IF(D626="","",IF(E626="NO ENCONTRADO","CODIGO NO EXISTE",IF(COUNTIF($D$2:D626,D626)&gt;1,"DEVOLUCION DUPLICADA",IF(COUNTIFS(SALIDAS!$B$2:$B$1000,B626,SALIDAS!$D$2:$D$1000,D626,SALIDAS!$G$2:$G$1000,"OK*")=0,"NO FIGURA EN SALIDA","OK"))))</f>
        <v/>
      </c>
    </row>
    <row r="627">
      <c r="A627" s="9" t="inlineStr"/>
      <c r="B627" s="2" t="inlineStr"/>
      <c r="C627" s="2" t="inlineStr"/>
      <c r="D627" s="2" t="inlineStr"/>
      <c r="E627" s="2">
        <f>IF(D627="","",IFERROR(XLOOKUP(TRIM(D627),INVENTARIO!$A$2:$A$2000,INVENTARIO!$B$2:$B$2000),"NO ENCONTRADO"))</f>
        <v/>
      </c>
      <c r="F627" s="2">
        <f>IF(D627="","",IF(E627="NO ENCONTRADO","CODIGO NO EXISTE",IF(COUNTIF($D$2:D627,D627)&gt;1,"DEVOLUCION DUPLICADA",IF(COUNTIFS(SALIDAS!$B$2:$B$1000,B627,SALIDAS!$D$2:$D$1000,D627,SALIDAS!$G$2:$G$1000,"OK*")=0,"NO FIGURA EN SALIDA","OK"))))</f>
        <v/>
      </c>
    </row>
    <row r="628">
      <c r="A628" s="9" t="inlineStr"/>
      <c r="B628" s="2" t="inlineStr"/>
      <c r="C628" s="2" t="inlineStr"/>
      <c r="D628" s="2" t="inlineStr"/>
      <c r="E628" s="2">
        <f>IF(D628="","",IFERROR(XLOOKUP(TRIM(D628),INVENTARIO!$A$2:$A$2000,INVENTARIO!$B$2:$B$2000),"NO ENCONTRADO"))</f>
        <v/>
      </c>
      <c r="F628" s="2">
        <f>IF(D628="","",IF(E628="NO ENCONTRADO","CODIGO NO EXISTE",IF(COUNTIF($D$2:D628,D628)&gt;1,"DEVOLUCION DUPLICADA",IF(COUNTIFS(SALIDAS!$B$2:$B$1000,B628,SALIDAS!$D$2:$D$1000,D628,SALIDAS!$G$2:$G$1000,"OK*")=0,"NO FIGURA EN SALIDA","OK"))))</f>
        <v/>
      </c>
    </row>
    <row r="629">
      <c r="A629" s="9" t="inlineStr"/>
      <c r="B629" s="2" t="inlineStr"/>
      <c r="C629" s="2" t="inlineStr"/>
      <c r="D629" s="2" t="inlineStr"/>
      <c r="E629" s="2">
        <f>IF(D629="","",IFERROR(XLOOKUP(TRIM(D629),INVENTARIO!$A$2:$A$2000,INVENTARIO!$B$2:$B$2000),"NO ENCONTRADO"))</f>
        <v/>
      </c>
      <c r="F629" s="2">
        <f>IF(D629="","",IF(E629="NO ENCONTRADO","CODIGO NO EXISTE",IF(COUNTIF($D$2:D629,D629)&gt;1,"DEVOLUCION DUPLICADA",IF(COUNTIFS(SALIDAS!$B$2:$B$1000,B629,SALIDAS!$D$2:$D$1000,D629,SALIDAS!$G$2:$G$1000,"OK*")=0,"NO FIGURA EN SALIDA","OK"))))</f>
        <v/>
      </c>
    </row>
    <row r="630">
      <c r="A630" s="9" t="inlineStr"/>
      <c r="B630" s="2" t="inlineStr"/>
      <c r="C630" s="2" t="inlineStr"/>
      <c r="D630" s="2" t="inlineStr"/>
      <c r="E630" s="2">
        <f>IF(D630="","",IFERROR(XLOOKUP(TRIM(D630),INVENTARIO!$A$2:$A$2000,INVENTARIO!$B$2:$B$2000),"NO ENCONTRADO"))</f>
        <v/>
      </c>
      <c r="F630" s="2">
        <f>IF(D630="","",IF(E630="NO ENCONTRADO","CODIGO NO EXISTE",IF(COUNTIF($D$2:D630,D630)&gt;1,"DEVOLUCION DUPLICADA",IF(COUNTIFS(SALIDAS!$B$2:$B$1000,B630,SALIDAS!$D$2:$D$1000,D630,SALIDAS!$G$2:$G$1000,"OK*")=0,"NO FIGURA EN SALIDA","OK"))))</f>
        <v/>
      </c>
    </row>
    <row r="631">
      <c r="A631" s="9" t="inlineStr"/>
      <c r="B631" s="2" t="inlineStr"/>
      <c r="C631" s="2" t="inlineStr"/>
      <c r="D631" s="2" t="inlineStr"/>
      <c r="E631" s="2">
        <f>IF(D631="","",IFERROR(XLOOKUP(TRIM(D631),INVENTARIO!$A$2:$A$2000,INVENTARIO!$B$2:$B$2000),"NO ENCONTRADO"))</f>
        <v/>
      </c>
      <c r="F631" s="2">
        <f>IF(D631="","",IF(E631="NO ENCONTRADO","CODIGO NO EXISTE",IF(COUNTIF($D$2:D631,D631)&gt;1,"DEVOLUCION DUPLICADA",IF(COUNTIFS(SALIDAS!$B$2:$B$1000,B631,SALIDAS!$D$2:$D$1000,D631,SALIDAS!$G$2:$G$1000,"OK*")=0,"NO FIGURA EN SALIDA","OK"))))</f>
        <v/>
      </c>
    </row>
    <row r="632">
      <c r="A632" s="9" t="inlineStr"/>
      <c r="B632" s="2" t="inlineStr"/>
      <c r="C632" s="2" t="inlineStr"/>
      <c r="D632" s="2" t="inlineStr"/>
      <c r="E632" s="2">
        <f>IF(D632="","",IFERROR(XLOOKUP(TRIM(D632),INVENTARIO!$A$2:$A$2000,INVENTARIO!$B$2:$B$2000),"NO ENCONTRADO"))</f>
        <v/>
      </c>
      <c r="F632" s="2">
        <f>IF(D632="","",IF(E632="NO ENCONTRADO","CODIGO NO EXISTE",IF(COUNTIF($D$2:D632,D632)&gt;1,"DEVOLUCION DUPLICADA",IF(COUNTIFS(SALIDAS!$B$2:$B$1000,B632,SALIDAS!$D$2:$D$1000,D632,SALIDAS!$G$2:$G$1000,"OK*")=0,"NO FIGURA EN SALIDA","OK"))))</f>
        <v/>
      </c>
    </row>
    <row r="633">
      <c r="A633" s="9" t="inlineStr"/>
      <c r="B633" s="2" t="inlineStr"/>
      <c r="C633" s="2" t="inlineStr"/>
      <c r="D633" s="2" t="inlineStr"/>
      <c r="E633" s="2">
        <f>IF(D633="","",IFERROR(XLOOKUP(TRIM(D633),INVENTARIO!$A$2:$A$2000,INVENTARIO!$B$2:$B$2000),"NO ENCONTRADO"))</f>
        <v/>
      </c>
      <c r="F633" s="2">
        <f>IF(D633="","",IF(E633="NO ENCONTRADO","CODIGO NO EXISTE",IF(COUNTIF($D$2:D633,D633)&gt;1,"DEVOLUCION DUPLICADA",IF(COUNTIFS(SALIDAS!$B$2:$B$1000,B633,SALIDAS!$D$2:$D$1000,D633,SALIDAS!$G$2:$G$1000,"OK*")=0,"NO FIGURA EN SALIDA","OK"))))</f>
        <v/>
      </c>
    </row>
    <row r="634">
      <c r="A634" s="9" t="inlineStr"/>
      <c r="B634" s="2" t="inlineStr"/>
      <c r="C634" s="2" t="inlineStr"/>
      <c r="D634" s="2" t="inlineStr"/>
      <c r="E634" s="2">
        <f>IF(D634="","",IFERROR(XLOOKUP(TRIM(D634),INVENTARIO!$A$2:$A$2000,INVENTARIO!$B$2:$B$2000),"NO ENCONTRADO"))</f>
        <v/>
      </c>
      <c r="F634" s="2">
        <f>IF(D634="","",IF(E634="NO ENCONTRADO","CODIGO NO EXISTE",IF(COUNTIF($D$2:D634,D634)&gt;1,"DEVOLUCION DUPLICADA",IF(COUNTIFS(SALIDAS!$B$2:$B$1000,B634,SALIDAS!$D$2:$D$1000,D634,SALIDAS!$G$2:$G$1000,"OK*")=0,"NO FIGURA EN SALIDA","OK"))))</f>
        <v/>
      </c>
    </row>
    <row r="635">
      <c r="A635" s="9" t="inlineStr"/>
      <c r="B635" s="2" t="inlineStr"/>
      <c r="C635" s="2" t="inlineStr"/>
      <c r="D635" s="2" t="inlineStr"/>
      <c r="E635" s="2">
        <f>IF(D635="","",IFERROR(XLOOKUP(TRIM(D635),INVENTARIO!$A$2:$A$2000,INVENTARIO!$B$2:$B$2000),"NO ENCONTRADO"))</f>
        <v/>
      </c>
      <c r="F635" s="2">
        <f>IF(D635="","",IF(E635="NO ENCONTRADO","CODIGO NO EXISTE",IF(COUNTIF($D$2:D635,D635)&gt;1,"DEVOLUCION DUPLICADA",IF(COUNTIFS(SALIDAS!$B$2:$B$1000,B635,SALIDAS!$D$2:$D$1000,D635,SALIDAS!$G$2:$G$1000,"OK*")=0,"NO FIGURA EN SALIDA","OK"))))</f>
        <v/>
      </c>
    </row>
    <row r="636">
      <c r="A636" s="9" t="inlineStr"/>
      <c r="B636" s="2" t="inlineStr"/>
      <c r="C636" s="2" t="inlineStr"/>
      <c r="D636" s="2" t="inlineStr"/>
      <c r="E636" s="2">
        <f>IF(D636="","",IFERROR(XLOOKUP(TRIM(D636),INVENTARIO!$A$2:$A$2000,INVENTARIO!$B$2:$B$2000),"NO ENCONTRADO"))</f>
        <v/>
      </c>
      <c r="F636" s="2">
        <f>IF(D636="","",IF(E636="NO ENCONTRADO","CODIGO NO EXISTE",IF(COUNTIF($D$2:D636,D636)&gt;1,"DEVOLUCION DUPLICADA",IF(COUNTIFS(SALIDAS!$B$2:$B$1000,B636,SALIDAS!$D$2:$D$1000,D636,SALIDAS!$G$2:$G$1000,"OK*")=0,"NO FIGURA EN SALIDA","OK"))))</f>
        <v/>
      </c>
    </row>
    <row r="637">
      <c r="A637" s="9" t="inlineStr"/>
      <c r="B637" s="2" t="inlineStr"/>
      <c r="C637" s="2" t="inlineStr"/>
      <c r="D637" s="2" t="inlineStr"/>
      <c r="E637" s="2">
        <f>IF(D637="","",IFERROR(XLOOKUP(TRIM(D637),INVENTARIO!$A$2:$A$2000,INVENTARIO!$B$2:$B$2000),"NO ENCONTRADO"))</f>
        <v/>
      </c>
      <c r="F637" s="2">
        <f>IF(D637="","",IF(E637="NO ENCONTRADO","CODIGO NO EXISTE",IF(COUNTIF($D$2:D637,D637)&gt;1,"DEVOLUCION DUPLICADA",IF(COUNTIFS(SALIDAS!$B$2:$B$1000,B637,SALIDAS!$D$2:$D$1000,D637,SALIDAS!$G$2:$G$1000,"OK*")=0,"NO FIGURA EN SALIDA","OK"))))</f>
        <v/>
      </c>
    </row>
    <row r="638">
      <c r="A638" s="9" t="inlineStr"/>
      <c r="B638" s="2" t="inlineStr"/>
      <c r="C638" s="2" t="inlineStr"/>
      <c r="D638" s="2" t="inlineStr"/>
      <c r="E638" s="2">
        <f>IF(D638="","",IFERROR(XLOOKUP(TRIM(D638),INVENTARIO!$A$2:$A$2000,INVENTARIO!$B$2:$B$2000),"NO ENCONTRADO"))</f>
        <v/>
      </c>
      <c r="F638" s="2">
        <f>IF(D638="","",IF(E638="NO ENCONTRADO","CODIGO NO EXISTE",IF(COUNTIF($D$2:D638,D638)&gt;1,"DEVOLUCION DUPLICADA",IF(COUNTIFS(SALIDAS!$B$2:$B$1000,B638,SALIDAS!$D$2:$D$1000,D638,SALIDAS!$G$2:$G$1000,"OK*")=0,"NO FIGURA EN SALIDA","OK"))))</f>
        <v/>
      </c>
    </row>
    <row r="639">
      <c r="A639" s="9" t="inlineStr"/>
      <c r="B639" s="2" t="inlineStr"/>
      <c r="C639" s="2" t="inlineStr"/>
      <c r="D639" s="2" t="inlineStr"/>
      <c r="E639" s="2">
        <f>IF(D639="","",IFERROR(XLOOKUP(TRIM(D639),INVENTARIO!$A$2:$A$2000,INVENTARIO!$B$2:$B$2000),"NO ENCONTRADO"))</f>
        <v/>
      </c>
      <c r="F639" s="2">
        <f>IF(D639="","",IF(E639="NO ENCONTRADO","CODIGO NO EXISTE",IF(COUNTIF($D$2:D639,D639)&gt;1,"DEVOLUCION DUPLICADA",IF(COUNTIFS(SALIDAS!$B$2:$B$1000,B639,SALIDAS!$D$2:$D$1000,D639,SALIDAS!$G$2:$G$1000,"OK*")=0,"NO FIGURA EN SALIDA","OK"))))</f>
        <v/>
      </c>
    </row>
    <row r="640">
      <c r="A640" s="9" t="inlineStr"/>
      <c r="B640" s="2" t="inlineStr"/>
      <c r="C640" s="2" t="inlineStr"/>
      <c r="D640" s="2" t="inlineStr"/>
      <c r="E640" s="2">
        <f>IF(D640="","",IFERROR(XLOOKUP(TRIM(D640),INVENTARIO!$A$2:$A$2000,INVENTARIO!$B$2:$B$2000),"NO ENCONTRADO"))</f>
        <v/>
      </c>
      <c r="F640" s="2">
        <f>IF(D640="","",IF(E640="NO ENCONTRADO","CODIGO NO EXISTE",IF(COUNTIF($D$2:D640,D640)&gt;1,"DEVOLUCION DUPLICADA",IF(COUNTIFS(SALIDAS!$B$2:$B$1000,B640,SALIDAS!$D$2:$D$1000,D640,SALIDAS!$G$2:$G$1000,"OK*")=0,"NO FIGURA EN SALIDA","OK"))))</f>
        <v/>
      </c>
    </row>
    <row r="641">
      <c r="A641" s="9" t="inlineStr"/>
      <c r="B641" s="2" t="inlineStr"/>
      <c r="C641" s="2" t="inlineStr"/>
      <c r="D641" s="2" t="inlineStr"/>
      <c r="E641" s="2">
        <f>IF(D641="","",IFERROR(XLOOKUP(TRIM(D641),INVENTARIO!$A$2:$A$2000,INVENTARIO!$B$2:$B$2000),"NO ENCONTRADO"))</f>
        <v/>
      </c>
      <c r="F641" s="2">
        <f>IF(D641="","",IF(E641="NO ENCONTRADO","CODIGO NO EXISTE",IF(COUNTIF($D$2:D641,D641)&gt;1,"DEVOLUCION DUPLICADA",IF(COUNTIFS(SALIDAS!$B$2:$B$1000,B641,SALIDAS!$D$2:$D$1000,D641,SALIDAS!$G$2:$G$1000,"OK*")=0,"NO FIGURA EN SALIDA","OK"))))</f>
        <v/>
      </c>
    </row>
    <row r="642">
      <c r="A642" s="9" t="inlineStr"/>
      <c r="B642" s="2" t="inlineStr"/>
      <c r="C642" s="2" t="inlineStr"/>
      <c r="D642" s="2" t="inlineStr"/>
      <c r="E642" s="2">
        <f>IF(D642="","",IFERROR(XLOOKUP(TRIM(D642),INVENTARIO!$A$2:$A$2000,INVENTARIO!$B$2:$B$2000),"NO ENCONTRADO"))</f>
        <v/>
      </c>
      <c r="F642" s="2">
        <f>IF(D642="","",IF(E642="NO ENCONTRADO","CODIGO NO EXISTE",IF(COUNTIF($D$2:D642,D642)&gt;1,"DEVOLUCION DUPLICADA",IF(COUNTIFS(SALIDAS!$B$2:$B$1000,B642,SALIDAS!$D$2:$D$1000,D642,SALIDAS!$G$2:$G$1000,"OK*")=0,"NO FIGURA EN SALIDA","OK"))))</f>
        <v/>
      </c>
    </row>
    <row r="643">
      <c r="A643" s="9" t="inlineStr"/>
      <c r="B643" s="2" t="inlineStr"/>
      <c r="C643" s="2" t="inlineStr"/>
      <c r="D643" s="2" t="inlineStr"/>
      <c r="E643" s="2">
        <f>IF(D643="","",IFERROR(XLOOKUP(TRIM(D643),INVENTARIO!$A$2:$A$2000,INVENTARIO!$B$2:$B$2000),"NO ENCONTRADO"))</f>
        <v/>
      </c>
      <c r="F643" s="2">
        <f>IF(D643="","",IF(E643="NO ENCONTRADO","CODIGO NO EXISTE",IF(COUNTIF($D$2:D643,D643)&gt;1,"DEVOLUCION DUPLICADA",IF(COUNTIFS(SALIDAS!$B$2:$B$1000,B643,SALIDAS!$D$2:$D$1000,D643,SALIDAS!$G$2:$G$1000,"OK*")=0,"NO FIGURA EN SALIDA","OK"))))</f>
        <v/>
      </c>
    </row>
    <row r="644">
      <c r="A644" s="9" t="inlineStr"/>
      <c r="B644" s="2" t="inlineStr"/>
      <c r="C644" s="2" t="inlineStr"/>
      <c r="D644" s="2" t="inlineStr"/>
      <c r="E644" s="2">
        <f>IF(D644="","",IFERROR(XLOOKUP(TRIM(D644),INVENTARIO!$A$2:$A$2000,INVENTARIO!$B$2:$B$2000),"NO ENCONTRADO"))</f>
        <v/>
      </c>
      <c r="F644" s="2">
        <f>IF(D644="","",IF(E644="NO ENCONTRADO","CODIGO NO EXISTE",IF(COUNTIF($D$2:D644,D644)&gt;1,"DEVOLUCION DUPLICADA",IF(COUNTIFS(SALIDAS!$B$2:$B$1000,B644,SALIDAS!$D$2:$D$1000,D644,SALIDAS!$G$2:$G$1000,"OK*")=0,"NO FIGURA EN SALIDA","OK"))))</f>
        <v/>
      </c>
    </row>
    <row r="645">
      <c r="A645" s="9" t="inlineStr"/>
      <c r="B645" s="2" t="inlineStr"/>
      <c r="C645" s="2" t="inlineStr"/>
      <c r="D645" s="2" t="inlineStr"/>
      <c r="E645" s="2">
        <f>IF(D645="","",IFERROR(XLOOKUP(TRIM(D645),INVENTARIO!$A$2:$A$2000,INVENTARIO!$B$2:$B$2000),"NO ENCONTRADO"))</f>
        <v/>
      </c>
      <c r="F645" s="2">
        <f>IF(D645="","",IF(E645="NO ENCONTRADO","CODIGO NO EXISTE",IF(COUNTIF($D$2:D645,D645)&gt;1,"DEVOLUCION DUPLICADA",IF(COUNTIFS(SALIDAS!$B$2:$B$1000,B645,SALIDAS!$D$2:$D$1000,D645,SALIDAS!$G$2:$G$1000,"OK*")=0,"NO FIGURA EN SALIDA","OK"))))</f>
        <v/>
      </c>
    </row>
    <row r="646">
      <c r="A646" s="9" t="inlineStr"/>
      <c r="B646" s="2" t="inlineStr"/>
      <c r="C646" s="2" t="inlineStr"/>
      <c r="D646" s="2" t="inlineStr"/>
      <c r="E646" s="2">
        <f>IF(D646="","",IFERROR(XLOOKUP(TRIM(D646),INVENTARIO!$A$2:$A$2000,INVENTARIO!$B$2:$B$2000),"NO ENCONTRADO"))</f>
        <v/>
      </c>
      <c r="F646" s="2">
        <f>IF(D646="","",IF(E646="NO ENCONTRADO","CODIGO NO EXISTE",IF(COUNTIF($D$2:D646,D646)&gt;1,"DEVOLUCION DUPLICADA",IF(COUNTIFS(SALIDAS!$B$2:$B$1000,B646,SALIDAS!$D$2:$D$1000,D646,SALIDAS!$G$2:$G$1000,"OK*")=0,"NO FIGURA EN SALIDA","OK"))))</f>
        <v/>
      </c>
    </row>
    <row r="647">
      <c r="A647" s="9" t="inlineStr"/>
      <c r="B647" s="2" t="inlineStr"/>
      <c r="C647" s="2" t="inlineStr"/>
      <c r="D647" s="2" t="inlineStr"/>
      <c r="E647" s="2">
        <f>IF(D647="","",IFERROR(XLOOKUP(TRIM(D647),INVENTARIO!$A$2:$A$2000,INVENTARIO!$B$2:$B$2000),"NO ENCONTRADO"))</f>
        <v/>
      </c>
      <c r="F647" s="2">
        <f>IF(D647="","",IF(E647="NO ENCONTRADO","CODIGO NO EXISTE",IF(COUNTIF($D$2:D647,D647)&gt;1,"DEVOLUCION DUPLICADA",IF(COUNTIFS(SALIDAS!$B$2:$B$1000,B647,SALIDAS!$D$2:$D$1000,D647,SALIDAS!$G$2:$G$1000,"OK*")=0,"NO FIGURA EN SALIDA","OK"))))</f>
        <v/>
      </c>
    </row>
    <row r="648">
      <c r="A648" s="9" t="inlineStr"/>
      <c r="B648" s="2" t="inlineStr"/>
      <c r="C648" s="2" t="inlineStr"/>
      <c r="D648" s="2" t="inlineStr"/>
      <c r="E648" s="2">
        <f>IF(D648="","",IFERROR(XLOOKUP(TRIM(D648),INVENTARIO!$A$2:$A$2000,INVENTARIO!$B$2:$B$2000),"NO ENCONTRADO"))</f>
        <v/>
      </c>
      <c r="F648" s="2">
        <f>IF(D648="","",IF(E648="NO ENCONTRADO","CODIGO NO EXISTE",IF(COUNTIF($D$2:D648,D648)&gt;1,"DEVOLUCION DUPLICADA",IF(COUNTIFS(SALIDAS!$B$2:$B$1000,B648,SALIDAS!$D$2:$D$1000,D648,SALIDAS!$G$2:$G$1000,"OK*")=0,"NO FIGURA EN SALIDA","OK"))))</f>
        <v/>
      </c>
    </row>
    <row r="649">
      <c r="A649" s="9" t="inlineStr"/>
      <c r="B649" s="2" t="inlineStr"/>
      <c r="C649" s="2" t="inlineStr"/>
      <c r="D649" s="2" t="inlineStr"/>
      <c r="E649" s="2">
        <f>IF(D649="","",IFERROR(XLOOKUP(TRIM(D649),INVENTARIO!$A$2:$A$2000,INVENTARIO!$B$2:$B$2000),"NO ENCONTRADO"))</f>
        <v/>
      </c>
      <c r="F649" s="2">
        <f>IF(D649="","",IF(E649="NO ENCONTRADO","CODIGO NO EXISTE",IF(COUNTIF($D$2:D649,D649)&gt;1,"DEVOLUCION DUPLICADA",IF(COUNTIFS(SALIDAS!$B$2:$B$1000,B649,SALIDAS!$D$2:$D$1000,D649,SALIDAS!$G$2:$G$1000,"OK*")=0,"NO FIGURA EN SALIDA","OK"))))</f>
        <v/>
      </c>
    </row>
    <row r="650">
      <c r="A650" s="9" t="inlineStr"/>
      <c r="B650" s="2" t="inlineStr"/>
      <c r="C650" s="2" t="inlineStr"/>
      <c r="D650" s="2" t="inlineStr"/>
      <c r="E650" s="2">
        <f>IF(D650="","",IFERROR(XLOOKUP(TRIM(D650),INVENTARIO!$A$2:$A$2000,INVENTARIO!$B$2:$B$2000),"NO ENCONTRADO"))</f>
        <v/>
      </c>
      <c r="F650" s="2">
        <f>IF(D650="","",IF(E650="NO ENCONTRADO","CODIGO NO EXISTE",IF(COUNTIF($D$2:D650,D650)&gt;1,"DEVOLUCION DUPLICADA",IF(COUNTIFS(SALIDAS!$B$2:$B$1000,B650,SALIDAS!$D$2:$D$1000,D650,SALIDAS!$G$2:$G$1000,"OK*")=0,"NO FIGURA EN SALIDA","OK"))))</f>
        <v/>
      </c>
    </row>
    <row r="651">
      <c r="A651" s="9" t="inlineStr"/>
      <c r="B651" s="2" t="inlineStr"/>
      <c r="C651" s="2" t="inlineStr"/>
      <c r="D651" s="2" t="inlineStr"/>
      <c r="E651" s="2">
        <f>IF(D651="","",IFERROR(XLOOKUP(TRIM(D651),INVENTARIO!$A$2:$A$2000,INVENTARIO!$B$2:$B$2000),"NO ENCONTRADO"))</f>
        <v/>
      </c>
      <c r="F651" s="2">
        <f>IF(D651="","",IF(E651="NO ENCONTRADO","CODIGO NO EXISTE",IF(COUNTIF($D$2:D651,D651)&gt;1,"DEVOLUCION DUPLICADA",IF(COUNTIFS(SALIDAS!$B$2:$B$1000,B651,SALIDAS!$D$2:$D$1000,D651,SALIDAS!$G$2:$G$1000,"OK*")=0,"NO FIGURA EN SALIDA","OK"))))</f>
        <v/>
      </c>
    </row>
    <row r="652">
      <c r="A652" s="9" t="inlineStr"/>
      <c r="B652" s="2" t="inlineStr"/>
      <c r="C652" s="2" t="inlineStr"/>
      <c r="D652" s="2" t="inlineStr"/>
      <c r="E652" s="2">
        <f>IF(D652="","",IFERROR(XLOOKUP(TRIM(D652),INVENTARIO!$A$2:$A$2000,INVENTARIO!$B$2:$B$2000),"NO ENCONTRADO"))</f>
        <v/>
      </c>
      <c r="F652" s="2">
        <f>IF(D652="","",IF(E652="NO ENCONTRADO","CODIGO NO EXISTE",IF(COUNTIF($D$2:D652,D652)&gt;1,"DEVOLUCION DUPLICADA",IF(COUNTIFS(SALIDAS!$B$2:$B$1000,B652,SALIDAS!$D$2:$D$1000,D652,SALIDAS!$G$2:$G$1000,"OK*")=0,"NO FIGURA EN SALIDA","OK"))))</f>
        <v/>
      </c>
    </row>
    <row r="653">
      <c r="A653" s="9" t="inlineStr"/>
      <c r="B653" s="2" t="inlineStr"/>
      <c r="C653" s="2" t="inlineStr"/>
      <c r="D653" s="2" t="inlineStr"/>
      <c r="E653" s="2">
        <f>IF(D653="","",IFERROR(XLOOKUP(TRIM(D653),INVENTARIO!$A$2:$A$2000,INVENTARIO!$B$2:$B$2000),"NO ENCONTRADO"))</f>
        <v/>
      </c>
      <c r="F653" s="2">
        <f>IF(D653="","",IF(E653="NO ENCONTRADO","CODIGO NO EXISTE",IF(COUNTIF($D$2:D653,D653)&gt;1,"DEVOLUCION DUPLICADA",IF(COUNTIFS(SALIDAS!$B$2:$B$1000,B653,SALIDAS!$D$2:$D$1000,D653,SALIDAS!$G$2:$G$1000,"OK*")=0,"NO FIGURA EN SALIDA","OK"))))</f>
        <v/>
      </c>
    </row>
    <row r="654">
      <c r="A654" s="9" t="inlineStr"/>
      <c r="B654" s="2" t="inlineStr"/>
      <c r="C654" s="2" t="inlineStr"/>
      <c r="D654" s="2" t="inlineStr"/>
      <c r="E654" s="2">
        <f>IF(D654="","",IFERROR(XLOOKUP(TRIM(D654),INVENTARIO!$A$2:$A$2000,INVENTARIO!$B$2:$B$2000),"NO ENCONTRADO"))</f>
        <v/>
      </c>
      <c r="F654" s="2">
        <f>IF(D654="","",IF(E654="NO ENCONTRADO","CODIGO NO EXISTE",IF(COUNTIF($D$2:D654,D654)&gt;1,"DEVOLUCION DUPLICADA",IF(COUNTIFS(SALIDAS!$B$2:$B$1000,B654,SALIDAS!$D$2:$D$1000,D654,SALIDAS!$G$2:$G$1000,"OK*")=0,"NO FIGURA EN SALIDA","OK"))))</f>
        <v/>
      </c>
    </row>
    <row r="655">
      <c r="A655" s="9" t="inlineStr"/>
      <c r="B655" s="2" t="inlineStr"/>
      <c r="C655" s="2" t="inlineStr"/>
      <c r="D655" s="2" t="inlineStr"/>
      <c r="E655" s="2">
        <f>IF(D655="","",IFERROR(XLOOKUP(TRIM(D655),INVENTARIO!$A$2:$A$2000,INVENTARIO!$B$2:$B$2000),"NO ENCONTRADO"))</f>
        <v/>
      </c>
      <c r="F655" s="2">
        <f>IF(D655="","",IF(E655="NO ENCONTRADO","CODIGO NO EXISTE",IF(COUNTIF($D$2:D655,D655)&gt;1,"DEVOLUCION DUPLICADA",IF(COUNTIFS(SALIDAS!$B$2:$B$1000,B655,SALIDAS!$D$2:$D$1000,D655,SALIDAS!$G$2:$G$1000,"OK*")=0,"NO FIGURA EN SALIDA","OK"))))</f>
        <v/>
      </c>
    </row>
    <row r="656">
      <c r="A656" s="9" t="inlineStr"/>
      <c r="B656" s="2" t="inlineStr"/>
      <c r="C656" s="2" t="inlineStr"/>
      <c r="D656" s="2" t="inlineStr"/>
      <c r="E656" s="2">
        <f>IF(D656="","",IFERROR(XLOOKUP(TRIM(D656),INVENTARIO!$A$2:$A$2000,INVENTARIO!$B$2:$B$2000),"NO ENCONTRADO"))</f>
        <v/>
      </c>
      <c r="F656" s="2">
        <f>IF(D656="","",IF(E656="NO ENCONTRADO","CODIGO NO EXISTE",IF(COUNTIF($D$2:D656,D656)&gt;1,"DEVOLUCION DUPLICADA",IF(COUNTIFS(SALIDAS!$B$2:$B$1000,B656,SALIDAS!$D$2:$D$1000,D656,SALIDAS!$G$2:$G$1000,"OK*")=0,"NO FIGURA EN SALIDA","OK"))))</f>
        <v/>
      </c>
    </row>
    <row r="657">
      <c r="A657" s="9" t="inlineStr"/>
      <c r="B657" s="2" t="inlineStr"/>
      <c r="C657" s="2" t="inlineStr"/>
      <c r="D657" s="2" t="inlineStr"/>
      <c r="E657" s="2">
        <f>IF(D657="","",IFERROR(XLOOKUP(TRIM(D657),INVENTARIO!$A$2:$A$2000,INVENTARIO!$B$2:$B$2000),"NO ENCONTRADO"))</f>
        <v/>
      </c>
      <c r="F657" s="2">
        <f>IF(D657="","",IF(E657="NO ENCONTRADO","CODIGO NO EXISTE",IF(COUNTIF($D$2:D657,D657)&gt;1,"DEVOLUCION DUPLICADA",IF(COUNTIFS(SALIDAS!$B$2:$B$1000,B657,SALIDAS!$D$2:$D$1000,D657,SALIDAS!$G$2:$G$1000,"OK*")=0,"NO FIGURA EN SALIDA","OK"))))</f>
        <v/>
      </c>
    </row>
    <row r="658">
      <c r="A658" s="9" t="inlineStr"/>
      <c r="B658" s="2" t="inlineStr"/>
      <c r="C658" s="2" t="inlineStr"/>
      <c r="D658" s="2" t="inlineStr"/>
      <c r="E658" s="2">
        <f>IF(D658="","",IFERROR(XLOOKUP(TRIM(D658),INVENTARIO!$A$2:$A$2000,INVENTARIO!$B$2:$B$2000),"NO ENCONTRADO"))</f>
        <v/>
      </c>
      <c r="F658" s="2">
        <f>IF(D658="","",IF(E658="NO ENCONTRADO","CODIGO NO EXISTE",IF(COUNTIF($D$2:D658,D658)&gt;1,"DEVOLUCION DUPLICADA",IF(COUNTIFS(SALIDAS!$B$2:$B$1000,B658,SALIDAS!$D$2:$D$1000,D658,SALIDAS!$G$2:$G$1000,"OK*")=0,"NO FIGURA EN SALIDA","OK"))))</f>
        <v/>
      </c>
    </row>
    <row r="659">
      <c r="A659" s="9" t="inlineStr"/>
      <c r="B659" s="2" t="inlineStr"/>
      <c r="C659" s="2" t="inlineStr"/>
      <c r="D659" s="2" t="inlineStr"/>
      <c r="E659" s="2">
        <f>IF(D659="","",IFERROR(XLOOKUP(TRIM(D659),INVENTARIO!$A$2:$A$2000,INVENTARIO!$B$2:$B$2000),"NO ENCONTRADO"))</f>
        <v/>
      </c>
      <c r="F659" s="2">
        <f>IF(D659="","",IF(E659="NO ENCONTRADO","CODIGO NO EXISTE",IF(COUNTIF($D$2:D659,D659)&gt;1,"DEVOLUCION DUPLICADA",IF(COUNTIFS(SALIDAS!$B$2:$B$1000,B659,SALIDAS!$D$2:$D$1000,D659,SALIDAS!$G$2:$G$1000,"OK*")=0,"NO FIGURA EN SALIDA","OK"))))</f>
        <v/>
      </c>
    </row>
    <row r="660">
      <c r="A660" s="9" t="inlineStr"/>
      <c r="B660" s="2" t="inlineStr"/>
      <c r="C660" s="2" t="inlineStr"/>
      <c r="D660" s="2" t="inlineStr"/>
      <c r="E660" s="2">
        <f>IF(D660="","",IFERROR(XLOOKUP(TRIM(D660),INVENTARIO!$A$2:$A$2000,INVENTARIO!$B$2:$B$2000),"NO ENCONTRADO"))</f>
        <v/>
      </c>
      <c r="F660" s="2">
        <f>IF(D660="","",IF(E660="NO ENCONTRADO","CODIGO NO EXISTE",IF(COUNTIF($D$2:D660,D660)&gt;1,"DEVOLUCION DUPLICADA",IF(COUNTIFS(SALIDAS!$B$2:$B$1000,B660,SALIDAS!$D$2:$D$1000,D660,SALIDAS!$G$2:$G$1000,"OK*")=0,"NO FIGURA EN SALIDA","OK"))))</f>
        <v/>
      </c>
    </row>
    <row r="661">
      <c r="A661" s="9" t="inlineStr"/>
      <c r="B661" s="2" t="inlineStr"/>
      <c r="C661" s="2" t="inlineStr"/>
      <c r="D661" s="2" t="inlineStr"/>
      <c r="E661" s="2">
        <f>IF(D661="","",IFERROR(XLOOKUP(TRIM(D661),INVENTARIO!$A$2:$A$2000,INVENTARIO!$B$2:$B$2000),"NO ENCONTRADO"))</f>
        <v/>
      </c>
      <c r="F661" s="2">
        <f>IF(D661="","",IF(E661="NO ENCONTRADO","CODIGO NO EXISTE",IF(COUNTIF($D$2:D661,D661)&gt;1,"DEVOLUCION DUPLICADA",IF(COUNTIFS(SALIDAS!$B$2:$B$1000,B661,SALIDAS!$D$2:$D$1000,D661,SALIDAS!$G$2:$G$1000,"OK*")=0,"NO FIGURA EN SALIDA","OK"))))</f>
        <v/>
      </c>
    </row>
    <row r="662">
      <c r="A662" s="9" t="inlineStr"/>
      <c r="B662" s="2" t="inlineStr"/>
      <c r="C662" s="2" t="inlineStr"/>
      <c r="D662" s="2" t="inlineStr"/>
      <c r="E662" s="2">
        <f>IF(D662="","",IFERROR(XLOOKUP(TRIM(D662),INVENTARIO!$A$2:$A$2000,INVENTARIO!$B$2:$B$2000),"NO ENCONTRADO"))</f>
        <v/>
      </c>
      <c r="F662" s="2">
        <f>IF(D662="","",IF(E662="NO ENCONTRADO","CODIGO NO EXISTE",IF(COUNTIF($D$2:D662,D662)&gt;1,"DEVOLUCION DUPLICADA",IF(COUNTIFS(SALIDAS!$B$2:$B$1000,B662,SALIDAS!$D$2:$D$1000,D662,SALIDAS!$G$2:$G$1000,"OK*")=0,"NO FIGURA EN SALIDA","OK"))))</f>
        <v/>
      </c>
    </row>
    <row r="663">
      <c r="A663" s="9" t="inlineStr"/>
      <c r="B663" s="2" t="inlineStr"/>
      <c r="C663" s="2" t="inlineStr"/>
      <c r="D663" s="2" t="inlineStr"/>
      <c r="E663" s="2">
        <f>IF(D663="","",IFERROR(XLOOKUP(TRIM(D663),INVENTARIO!$A$2:$A$2000,INVENTARIO!$B$2:$B$2000),"NO ENCONTRADO"))</f>
        <v/>
      </c>
      <c r="F663" s="2">
        <f>IF(D663="","",IF(E663="NO ENCONTRADO","CODIGO NO EXISTE",IF(COUNTIF($D$2:D663,D663)&gt;1,"DEVOLUCION DUPLICADA",IF(COUNTIFS(SALIDAS!$B$2:$B$1000,B663,SALIDAS!$D$2:$D$1000,D663,SALIDAS!$G$2:$G$1000,"OK*")=0,"NO FIGURA EN SALIDA","OK"))))</f>
        <v/>
      </c>
    </row>
    <row r="664">
      <c r="A664" s="9" t="inlineStr"/>
      <c r="B664" s="2" t="inlineStr"/>
      <c r="C664" s="2" t="inlineStr"/>
      <c r="D664" s="2" t="inlineStr"/>
      <c r="E664" s="2">
        <f>IF(D664="","",IFERROR(XLOOKUP(TRIM(D664),INVENTARIO!$A$2:$A$2000,INVENTARIO!$B$2:$B$2000),"NO ENCONTRADO"))</f>
        <v/>
      </c>
      <c r="F664" s="2">
        <f>IF(D664="","",IF(E664="NO ENCONTRADO","CODIGO NO EXISTE",IF(COUNTIF($D$2:D664,D664)&gt;1,"DEVOLUCION DUPLICADA",IF(COUNTIFS(SALIDAS!$B$2:$B$1000,B664,SALIDAS!$D$2:$D$1000,D664,SALIDAS!$G$2:$G$1000,"OK*")=0,"NO FIGURA EN SALIDA","OK"))))</f>
        <v/>
      </c>
    </row>
    <row r="665">
      <c r="A665" s="9" t="inlineStr"/>
      <c r="B665" s="2" t="inlineStr"/>
      <c r="C665" s="2" t="inlineStr"/>
      <c r="D665" s="2" t="inlineStr"/>
      <c r="E665" s="2">
        <f>IF(D665="","",IFERROR(XLOOKUP(TRIM(D665),INVENTARIO!$A$2:$A$2000,INVENTARIO!$B$2:$B$2000),"NO ENCONTRADO"))</f>
        <v/>
      </c>
      <c r="F665" s="2">
        <f>IF(D665="","",IF(E665="NO ENCONTRADO","CODIGO NO EXISTE",IF(COUNTIF($D$2:D665,D665)&gt;1,"DEVOLUCION DUPLICADA",IF(COUNTIFS(SALIDAS!$B$2:$B$1000,B665,SALIDAS!$D$2:$D$1000,D665,SALIDAS!$G$2:$G$1000,"OK*")=0,"NO FIGURA EN SALIDA","OK"))))</f>
        <v/>
      </c>
    </row>
    <row r="666">
      <c r="A666" s="9" t="inlineStr"/>
      <c r="B666" s="2" t="inlineStr"/>
      <c r="C666" s="2" t="inlineStr"/>
      <c r="D666" s="2" t="inlineStr"/>
      <c r="E666" s="2">
        <f>IF(D666="","",IFERROR(XLOOKUP(TRIM(D666),INVENTARIO!$A$2:$A$2000,INVENTARIO!$B$2:$B$2000),"NO ENCONTRADO"))</f>
        <v/>
      </c>
      <c r="F666" s="2">
        <f>IF(D666="","",IF(E666="NO ENCONTRADO","CODIGO NO EXISTE",IF(COUNTIF($D$2:D666,D666)&gt;1,"DEVOLUCION DUPLICADA",IF(COUNTIFS(SALIDAS!$B$2:$B$1000,B666,SALIDAS!$D$2:$D$1000,D666,SALIDAS!$G$2:$G$1000,"OK*")=0,"NO FIGURA EN SALIDA","OK"))))</f>
        <v/>
      </c>
    </row>
    <row r="667">
      <c r="A667" s="9" t="inlineStr"/>
      <c r="B667" s="2" t="inlineStr"/>
      <c r="C667" s="2" t="inlineStr"/>
      <c r="D667" s="2" t="inlineStr"/>
      <c r="E667" s="2">
        <f>IF(D667="","",IFERROR(XLOOKUP(TRIM(D667),INVENTARIO!$A$2:$A$2000,INVENTARIO!$B$2:$B$2000),"NO ENCONTRADO"))</f>
        <v/>
      </c>
      <c r="F667" s="2">
        <f>IF(D667="","",IF(E667="NO ENCONTRADO","CODIGO NO EXISTE",IF(COUNTIF($D$2:D667,D667)&gt;1,"DEVOLUCION DUPLICADA",IF(COUNTIFS(SALIDAS!$B$2:$B$1000,B667,SALIDAS!$D$2:$D$1000,D667,SALIDAS!$G$2:$G$1000,"OK*")=0,"NO FIGURA EN SALIDA","OK"))))</f>
        <v/>
      </c>
    </row>
    <row r="668">
      <c r="A668" s="9" t="inlineStr"/>
      <c r="B668" s="2" t="inlineStr"/>
      <c r="C668" s="2" t="inlineStr"/>
      <c r="D668" s="2" t="inlineStr"/>
      <c r="E668" s="2">
        <f>IF(D668="","",IFERROR(XLOOKUP(TRIM(D668),INVENTARIO!$A$2:$A$2000,INVENTARIO!$B$2:$B$2000),"NO ENCONTRADO"))</f>
        <v/>
      </c>
      <c r="F668" s="2">
        <f>IF(D668="","",IF(E668="NO ENCONTRADO","CODIGO NO EXISTE",IF(COUNTIF($D$2:D668,D668)&gt;1,"DEVOLUCION DUPLICADA",IF(COUNTIFS(SALIDAS!$B$2:$B$1000,B668,SALIDAS!$D$2:$D$1000,D668,SALIDAS!$G$2:$G$1000,"OK*")=0,"NO FIGURA EN SALIDA","OK"))))</f>
        <v/>
      </c>
    </row>
    <row r="669">
      <c r="A669" s="9" t="inlineStr"/>
      <c r="B669" s="2" t="inlineStr"/>
      <c r="C669" s="2" t="inlineStr"/>
      <c r="D669" s="2" t="inlineStr"/>
      <c r="E669" s="2">
        <f>IF(D669="","",IFERROR(XLOOKUP(TRIM(D669),INVENTARIO!$A$2:$A$2000,INVENTARIO!$B$2:$B$2000),"NO ENCONTRADO"))</f>
        <v/>
      </c>
      <c r="F669" s="2">
        <f>IF(D669="","",IF(E669="NO ENCONTRADO","CODIGO NO EXISTE",IF(COUNTIF($D$2:D669,D669)&gt;1,"DEVOLUCION DUPLICADA",IF(COUNTIFS(SALIDAS!$B$2:$B$1000,B669,SALIDAS!$D$2:$D$1000,D669,SALIDAS!$G$2:$G$1000,"OK*")=0,"NO FIGURA EN SALIDA","OK"))))</f>
        <v/>
      </c>
    </row>
    <row r="670">
      <c r="A670" s="9" t="inlineStr"/>
      <c r="B670" s="2" t="inlineStr"/>
      <c r="C670" s="2" t="inlineStr"/>
      <c r="D670" s="2" t="inlineStr"/>
      <c r="E670" s="2">
        <f>IF(D670="","",IFERROR(XLOOKUP(TRIM(D670),INVENTARIO!$A$2:$A$2000,INVENTARIO!$B$2:$B$2000),"NO ENCONTRADO"))</f>
        <v/>
      </c>
      <c r="F670" s="2">
        <f>IF(D670="","",IF(E670="NO ENCONTRADO","CODIGO NO EXISTE",IF(COUNTIF($D$2:D670,D670)&gt;1,"DEVOLUCION DUPLICADA",IF(COUNTIFS(SALIDAS!$B$2:$B$1000,B670,SALIDAS!$D$2:$D$1000,D670,SALIDAS!$G$2:$G$1000,"OK*")=0,"NO FIGURA EN SALIDA","OK"))))</f>
        <v/>
      </c>
    </row>
    <row r="671">
      <c r="A671" s="9" t="inlineStr"/>
      <c r="B671" s="2" t="inlineStr"/>
      <c r="C671" s="2" t="inlineStr"/>
      <c r="D671" s="2" t="inlineStr"/>
      <c r="E671" s="2">
        <f>IF(D671="","",IFERROR(XLOOKUP(TRIM(D671),INVENTARIO!$A$2:$A$2000,INVENTARIO!$B$2:$B$2000),"NO ENCONTRADO"))</f>
        <v/>
      </c>
      <c r="F671" s="2">
        <f>IF(D671="","",IF(E671="NO ENCONTRADO","CODIGO NO EXISTE",IF(COUNTIF($D$2:D671,D671)&gt;1,"DEVOLUCION DUPLICADA",IF(COUNTIFS(SALIDAS!$B$2:$B$1000,B671,SALIDAS!$D$2:$D$1000,D671,SALIDAS!$G$2:$G$1000,"OK*")=0,"NO FIGURA EN SALIDA","OK"))))</f>
        <v/>
      </c>
    </row>
    <row r="672">
      <c r="A672" s="9" t="inlineStr"/>
      <c r="B672" s="2" t="inlineStr"/>
      <c r="C672" s="2" t="inlineStr"/>
      <c r="D672" s="2" t="inlineStr"/>
      <c r="E672" s="2">
        <f>IF(D672="","",IFERROR(XLOOKUP(TRIM(D672),INVENTARIO!$A$2:$A$2000,INVENTARIO!$B$2:$B$2000),"NO ENCONTRADO"))</f>
        <v/>
      </c>
      <c r="F672" s="2">
        <f>IF(D672="","",IF(E672="NO ENCONTRADO","CODIGO NO EXISTE",IF(COUNTIF($D$2:D672,D672)&gt;1,"DEVOLUCION DUPLICADA",IF(COUNTIFS(SALIDAS!$B$2:$B$1000,B672,SALIDAS!$D$2:$D$1000,D672,SALIDAS!$G$2:$G$1000,"OK*")=0,"NO FIGURA EN SALIDA","OK"))))</f>
        <v/>
      </c>
    </row>
    <row r="673">
      <c r="A673" s="9" t="inlineStr"/>
      <c r="B673" s="2" t="inlineStr"/>
      <c r="C673" s="2" t="inlineStr"/>
      <c r="D673" s="2" t="inlineStr"/>
      <c r="E673" s="2">
        <f>IF(D673="","",IFERROR(XLOOKUP(TRIM(D673),INVENTARIO!$A$2:$A$2000,INVENTARIO!$B$2:$B$2000),"NO ENCONTRADO"))</f>
        <v/>
      </c>
      <c r="F673" s="2">
        <f>IF(D673="","",IF(E673="NO ENCONTRADO","CODIGO NO EXISTE",IF(COUNTIF($D$2:D673,D673)&gt;1,"DEVOLUCION DUPLICADA",IF(COUNTIFS(SALIDAS!$B$2:$B$1000,B673,SALIDAS!$D$2:$D$1000,D673,SALIDAS!$G$2:$G$1000,"OK*")=0,"NO FIGURA EN SALIDA","OK"))))</f>
        <v/>
      </c>
    </row>
    <row r="674">
      <c r="A674" s="9" t="inlineStr"/>
      <c r="B674" s="2" t="inlineStr"/>
      <c r="C674" s="2" t="inlineStr"/>
      <c r="D674" s="2" t="inlineStr"/>
      <c r="E674" s="2">
        <f>IF(D674="","",IFERROR(XLOOKUP(TRIM(D674),INVENTARIO!$A$2:$A$2000,INVENTARIO!$B$2:$B$2000),"NO ENCONTRADO"))</f>
        <v/>
      </c>
      <c r="F674" s="2">
        <f>IF(D674="","",IF(E674="NO ENCONTRADO","CODIGO NO EXISTE",IF(COUNTIF($D$2:D674,D674)&gt;1,"DEVOLUCION DUPLICADA",IF(COUNTIFS(SALIDAS!$B$2:$B$1000,B674,SALIDAS!$D$2:$D$1000,D674,SALIDAS!$G$2:$G$1000,"OK*")=0,"NO FIGURA EN SALIDA","OK"))))</f>
        <v/>
      </c>
    </row>
    <row r="675">
      <c r="A675" s="9" t="inlineStr"/>
      <c r="B675" s="2" t="inlineStr"/>
      <c r="C675" s="2" t="inlineStr"/>
      <c r="D675" s="2" t="inlineStr"/>
      <c r="E675" s="2">
        <f>IF(D675="","",IFERROR(XLOOKUP(TRIM(D675),INVENTARIO!$A$2:$A$2000,INVENTARIO!$B$2:$B$2000),"NO ENCONTRADO"))</f>
        <v/>
      </c>
      <c r="F675" s="2">
        <f>IF(D675="","",IF(E675="NO ENCONTRADO","CODIGO NO EXISTE",IF(COUNTIF($D$2:D675,D675)&gt;1,"DEVOLUCION DUPLICADA",IF(COUNTIFS(SALIDAS!$B$2:$B$1000,B675,SALIDAS!$D$2:$D$1000,D675,SALIDAS!$G$2:$G$1000,"OK*")=0,"NO FIGURA EN SALIDA","OK"))))</f>
        <v/>
      </c>
    </row>
    <row r="676">
      <c r="A676" s="9" t="inlineStr"/>
      <c r="B676" s="2" t="inlineStr"/>
      <c r="C676" s="2" t="inlineStr"/>
      <c r="D676" s="2" t="inlineStr"/>
      <c r="E676" s="2">
        <f>IF(D676="","",IFERROR(XLOOKUP(TRIM(D676),INVENTARIO!$A$2:$A$2000,INVENTARIO!$B$2:$B$2000),"NO ENCONTRADO"))</f>
        <v/>
      </c>
      <c r="F676" s="2">
        <f>IF(D676="","",IF(E676="NO ENCONTRADO","CODIGO NO EXISTE",IF(COUNTIF($D$2:D676,D676)&gt;1,"DEVOLUCION DUPLICADA",IF(COUNTIFS(SALIDAS!$B$2:$B$1000,B676,SALIDAS!$D$2:$D$1000,D676,SALIDAS!$G$2:$G$1000,"OK*")=0,"NO FIGURA EN SALIDA","OK"))))</f>
        <v/>
      </c>
    </row>
    <row r="677">
      <c r="A677" s="9" t="inlineStr"/>
      <c r="B677" s="2" t="inlineStr"/>
      <c r="C677" s="2" t="inlineStr"/>
      <c r="D677" s="2" t="inlineStr"/>
      <c r="E677" s="2">
        <f>IF(D677="","",IFERROR(XLOOKUP(TRIM(D677),INVENTARIO!$A$2:$A$2000,INVENTARIO!$B$2:$B$2000),"NO ENCONTRADO"))</f>
        <v/>
      </c>
      <c r="F677" s="2">
        <f>IF(D677="","",IF(E677="NO ENCONTRADO","CODIGO NO EXISTE",IF(COUNTIF($D$2:D677,D677)&gt;1,"DEVOLUCION DUPLICADA",IF(COUNTIFS(SALIDAS!$B$2:$B$1000,B677,SALIDAS!$D$2:$D$1000,D677,SALIDAS!$G$2:$G$1000,"OK*")=0,"NO FIGURA EN SALIDA","OK"))))</f>
        <v/>
      </c>
    </row>
    <row r="678">
      <c r="A678" s="9" t="inlineStr"/>
      <c r="B678" s="2" t="inlineStr"/>
      <c r="C678" s="2" t="inlineStr"/>
      <c r="D678" s="2" t="inlineStr"/>
      <c r="E678" s="2">
        <f>IF(D678="","",IFERROR(XLOOKUP(TRIM(D678),INVENTARIO!$A$2:$A$2000,INVENTARIO!$B$2:$B$2000),"NO ENCONTRADO"))</f>
        <v/>
      </c>
      <c r="F678" s="2">
        <f>IF(D678="","",IF(E678="NO ENCONTRADO","CODIGO NO EXISTE",IF(COUNTIF($D$2:D678,D678)&gt;1,"DEVOLUCION DUPLICADA",IF(COUNTIFS(SALIDAS!$B$2:$B$1000,B678,SALIDAS!$D$2:$D$1000,D678,SALIDAS!$G$2:$G$1000,"OK*")=0,"NO FIGURA EN SALIDA","OK"))))</f>
        <v/>
      </c>
    </row>
    <row r="679">
      <c r="A679" s="9" t="inlineStr"/>
      <c r="B679" s="2" t="inlineStr"/>
      <c r="C679" s="2" t="inlineStr"/>
      <c r="D679" s="2" t="inlineStr"/>
      <c r="E679" s="2">
        <f>IF(D679="","",IFERROR(XLOOKUP(TRIM(D679),INVENTARIO!$A$2:$A$2000,INVENTARIO!$B$2:$B$2000),"NO ENCONTRADO"))</f>
        <v/>
      </c>
      <c r="F679" s="2">
        <f>IF(D679="","",IF(E679="NO ENCONTRADO","CODIGO NO EXISTE",IF(COUNTIF($D$2:D679,D679)&gt;1,"DEVOLUCION DUPLICADA",IF(COUNTIFS(SALIDAS!$B$2:$B$1000,B679,SALIDAS!$D$2:$D$1000,D679,SALIDAS!$G$2:$G$1000,"OK*")=0,"NO FIGURA EN SALIDA","OK"))))</f>
        <v/>
      </c>
    </row>
    <row r="680">
      <c r="A680" s="9" t="inlineStr"/>
      <c r="B680" s="2" t="inlineStr"/>
      <c r="C680" s="2" t="inlineStr"/>
      <c r="D680" s="2" t="inlineStr"/>
      <c r="E680" s="2">
        <f>IF(D680="","",IFERROR(XLOOKUP(TRIM(D680),INVENTARIO!$A$2:$A$2000,INVENTARIO!$B$2:$B$2000),"NO ENCONTRADO"))</f>
        <v/>
      </c>
      <c r="F680" s="2">
        <f>IF(D680="","",IF(E680="NO ENCONTRADO","CODIGO NO EXISTE",IF(COUNTIF($D$2:D680,D680)&gt;1,"DEVOLUCION DUPLICADA",IF(COUNTIFS(SALIDAS!$B$2:$B$1000,B680,SALIDAS!$D$2:$D$1000,D680,SALIDAS!$G$2:$G$1000,"OK*")=0,"NO FIGURA EN SALIDA","OK"))))</f>
        <v/>
      </c>
    </row>
    <row r="681">
      <c r="A681" s="9" t="inlineStr"/>
      <c r="B681" s="2" t="inlineStr"/>
      <c r="C681" s="2" t="inlineStr"/>
      <c r="D681" s="2" t="inlineStr"/>
      <c r="E681" s="2">
        <f>IF(D681="","",IFERROR(XLOOKUP(TRIM(D681),INVENTARIO!$A$2:$A$2000,INVENTARIO!$B$2:$B$2000),"NO ENCONTRADO"))</f>
        <v/>
      </c>
      <c r="F681" s="2">
        <f>IF(D681="","",IF(E681="NO ENCONTRADO","CODIGO NO EXISTE",IF(COUNTIF($D$2:D681,D681)&gt;1,"DEVOLUCION DUPLICADA",IF(COUNTIFS(SALIDAS!$B$2:$B$1000,B681,SALIDAS!$D$2:$D$1000,D681,SALIDAS!$G$2:$G$1000,"OK*")=0,"NO FIGURA EN SALIDA","OK"))))</f>
        <v/>
      </c>
    </row>
    <row r="682">
      <c r="A682" s="9" t="inlineStr"/>
      <c r="B682" s="2" t="inlineStr"/>
      <c r="C682" s="2" t="inlineStr"/>
      <c r="D682" s="2" t="inlineStr"/>
      <c r="E682" s="2">
        <f>IF(D682="","",IFERROR(XLOOKUP(TRIM(D682),INVENTARIO!$A$2:$A$2000,INVENTARIO!$B$2:$B$2000),"NO ENCONTRADO"))</f>
        <v/>
      </c>
      <c r="F682" s="2">
        <f>IF(D682="","",IF(E682="NO ENCONTRADO","CODIGO NO EXISTE",IF(COUNTIF($D$2:D682,D682)&gt;1,"DEVOLUCION DUPLICADA",IF(COUNTIFS(SALIDAS!$B$2:$B$1000,B682,SALIDAS!$D$2:$D$1000,D682,SALIDAS!$G$2:$G$1000,"OK*")=0,"NO FIGURA EN SALIDA","OK"))))</f>
        <v/>
      </c>
    </row>
    <row r="683">
      <c r="A683" s="9" t="inlineStr"/>
      <c r="B683" s="2" t="inlineStr"/>
      <c r="C683" s="2" t="inlineStr"/>
      <c r="D683" s="2" t="inlineStr"/>
      <c r="E683" s="2">
        <f>IF(D683="","",IFERROR(XLOOKUP(TRIM(D683),INVENTARIO!$A$2:$A$2000,INVENTARIO!$B$2:$B$2000),"NO ENCONTRADO"))</f>
        <v/>
      </c>
      <c r="F683" s="2">
        <f>IF(D683="","",IF(E683="NO ENCONTRADO","CODIGO NO EXISTE",IF(COUNTIF($D$2:D683,D683)&gt;1,"DEVOLUCION DUPLICADA",IF(COUNTIFS(SALIDAS!$B$2:$B$1000,B683,SALIDAS!$D$2:$D$1000,D683,SALIDAS!$G$2:$G$1000,"OK*")=0,"NO FIGURA EN SALIDA","OK"))))</f>
        <v/>
      </c>
    </row>
    <row r="684">
      <c r="A684" s="9" t="inlineStr"/>
      <c r="B684" s="2" t="inlineStr"/>
      <c r="C684" s="2" t="inlineStr"/>
      <c r="D684" s="2" t="inlineStr"/>
      <c r="E684" s="2">
        <f>IF(D684="","",IFERROR(XLOOKUP(TRIM(D684),INVENTARIO!$A$2:$A$2000,INVENTARIO!$B$2:$B$2000),"NO ENCONTRADO"))</f>
        <v/>
      </c>
      <c r="F684" s="2">
        <f>IF(D684="","",IF(E684="NO ENCONTRADO","CODIGO NO EXISTE",IF(COUNTIF($D$2:D684,D684)&gt;1,"DEVOLUCION DUPLICADA",IF(COUNTIFS(SALIDAS!$B$2:$B$1000,B684,SALIDAS!$D$2:$D$1000,D684,SALIDAS!$G$2:$G$1000,"OK*")=0,"NO FIGURA EN SALIDA","OK"))))</f>
        <v/>
      </c>
    </row>
    <row r="685">
      <c r="A685" s="9" t="inlineStr"/>
      <c r="B685" s="2" t="inlineStr"/>
      <c r="C685" s="2" t="inlineStr"/>
      <c r="D685" s="2" t="inlineStr"/>
      <c r="E685" s="2">
        <f>IF(D685="","",IFERROR(XLOOKUP(TRIM(D685),INVENTARIO!$A$2:$A$2000,INVENTARIO!$B$2:$B$2000),"NO ENCONTRADO"))</f>
        <v/>
      </c>
      <c r="F685" s="2">
        <f>IF(D685="","",IF(E685="NO ENCONTRADO","CODIGO NO EXISTE",IF(COUNTIF($D$2:D685,D685)&gt;1,"DEVOLUCION DUPLICADA",IF(COUNTIFS(SALIDAS!$B$2:$B$1000,B685,SALIDAS!$D$2:$D$1000,D685,SALIDAS!$G$2:$G$1000,"OK*")=0,"NO FIGURA EN SALIDA","OK"))))</f>
        <v/>
      </c>
    </row>
    <row r="686">
      <c r="A686" s="9" t="inlineStr"/>
      <c r="B686" s="2" t="inlineStr"/>
      <c r="C686" s="2" t="inlineStr"/>
      <c r="D686" s="2" t="inlineStr"/>
      <c r="E686" s="2">
        <f>IF(D686="","",IFERROR(XLOOKUP(TRIM(D686),INVENTARIO!$A$2:$A$2000,INVENTARIO!$B$2:$B$2000),"NO ENCONTRADO"))</f>
        <v/>
      </c>
      <c r="F686" s="2">
        <f>IF(D686="","",IF(E686="NO ENCONTRADO","CODIGO NO EXISTE",IF(COUNTIF($D$2:D686,D686)&gt;1,"DEVOLUCION DUPLICADA",IF(COUNTIFS(SALIDAS!$B$2:$B$1000,B686,SALIDAS!$D$2:$D$1000,D686,SALIDAS!$G$2:$G$1000,"OK*")=0,"NO FIGURA EN SALIDA","OK"))))</f>
        <v/>
      </c>
    </row>
    <row r="687">
      <c r="A687" s="9" t="inlineStr"/>
      <c r="B687" s="2" t="inlineStr"/>
      <c r="C687" s="2" t="inlineStr"/>
      <c r="D687" s="2" t="inlineStr"/>
      <c r="E687" s="2">
        <f>IF(D687="","",IFERROR(XLOOKUP(TRIM(D687),INVENTARIO!$A$2:$A$2000,INVENTARIO!$B$2:$B$2000),"NO ENCONTRADO"))</f>
        <v/>
      </c>
      <c r="F687" s="2">
        <f>IF(D687="","",IF(E687="NO ENCONTRADO","CODIGO NO EXISTE",IF(COUNTIF($D$2:D687,D687)&gt;1,"DEVOLUCION DUPLICADA",IF(COUNTIFS(SALIDAS!$B$2:$B$1000,B687,SALIDAS!$D$2:$D$1000,D687,SALIDAS!$G$2:$G$1000,"OK*")=0,"NO FIGURA EN SALIDA","OK"))))</f>
        <v/>
      </c>
    </row>
    <row r="688">
      <c r="A688" s="9" t="inlineStr"/>
      <c r="B688" s="2" t="inlineStr"/>
      <c r="C688" s="2" t="inlineStr"/>
      <c r="D688" s="2" t="inlineStr"/>
      <c r="E688" s="2">
        <f>IF(D688="","",IFERROR(XLOOKUP(TRIM(D688),INVENTARIO!$A$2:$A$2000,INVENTARIO!$B$2:$B$2000),"NO ENCONTRADO"))</f>
        <v/>
      </c>
      <c r="F688" s="2">
        <f>IF(D688="","",IF(E688="NO ENCONTRADO","CODIGO NO EXISTE",IF(COUNTIF($D$2:D688,D688)&gt;1,"DEVOLUCION DUPLICADA",IF(COUNTIFS(SALIDAS!$B$2:$B$1000,B688,SALIDAS!$D$2:$D$1000,D688,SALIDAS!$G$2:$G$1000,"OK*")=0,"NO FIGURA EN SALIDA","OK"))))</f>
        <v/>
      </c>
    </row>
    <row r="689">
      <c r="A689" s="9" t="inlineStr"/>
      <c r="B689" s="2" t="inlineStr"/>
      <c r="C689" s="2" t="inlineStr"/>
      <c r="D689" s="2" t="inlineStr"/>
      <c r="E689" s="2">
        <f>IF(D689="","",IFERROR(XLOOKUP(TRIM(D689),INVENTARIO!$A$2:$A$2000,INVENTARIO!$B$2:$B$2000),"NO ENCONTRADO"))</f>
        <v/>
      </c>
      <c r="F689" s="2">
        <f>IF(D689="","",IF(E689="NO ENCONTRADO","CODIGO NO EXISTE",IF(COUNTIF($D$2:D689,D689)&gt;1,"DEVOLUCION DUPLICADA",IF(COUNTIFS(SALIDAS!$B$2:$B$1000,B689,SALIDAS!$D$2:$D$1000,D689,SALIDAS!$G$2:$G$1000,"OK*")=0,"NO FIGURA EN SALIDA","OK"))))</f>
        <v/>
      </c>
    </row>
    <row r="690">
      <c r="A690" s="9" t="inlineStr"/>
      <c r="B690" s="2" t="inlineStr"/>
      <c r="C690" s="2" t="inlineStr"/>
      <c r="D690" s="2" t="inlineStr"/>
      <c r="E690" s="2">
        <f>IF(D690="","",IFERROR(XLOOKUP(TRIM(D690),INVENTARIO!$A$2:$A$2000,INVENTARIO!$B$2:$B$2000),"NO ENCONTRADO"))</f>
        <v/>
      </c>
      <c r="F690" s="2">
        <f>IF(D690="","",IF(E690="NO ENCONTRADO","CODIGO NO EXISTE",IF(COUNTIF($D$2:D690,D690)&gt;1,"DEVOLUCION DUPLICADA",IF(COUNTIFS(SALIDAS!$B$2:$B$1000,B690,SALIDAS!$D$2:$D$1000,D690,SALIDAS!$G$2:$G$1000,"OK*")=0,"NO FIGURA EN SALIDA","OK"))))</f>
        <v/>
      </c>
    </row>
    <row r="691">
      <c r="A691" s="9" t="inlineStr"/>
      <c r="B691" s="2" t="inlineStr"/>
      <c r="C691" s="2" t="inlineStr"/>
      <c r="D691" s="2" t="inlineStr"/>
      <c r="E691" s="2">
        <f>IF(D691="","",IFERROR(XLOOKUP(TRIM(D691),INVENTARIO!$A$2:$A$2000,INVENTARIO!$B$2:$B$2000),"NO ENCONTRADO"))</f>
        <v/>
      </c>
      <c r="F691" s="2">
        <f>IF(D691="","",IF(E691="NO ENCONTRADO","CODIGO NO EXISTE",IF(COUNTIF($D$2:D691,D691)&gt;1,"DEVOLUCION DUPLICADA",IF(COUNTIFS(SALIDAS!$B$2:$B$1000,B691,SALIDAS!$D$2:$D$1000,D691,SALIDAS!$G$2:$G$1000,"OK*")=0,"NO FIGURA EN SALIDA","OK"))))</f>
        <v/>
      </c>
    </row>
    <row r="692">
      <c r="A692" s="9" t="inlineStr"/>
      <c r="B692" s="2" t="inlineStr"/>
      <c r="C692" s="2" t="inlineStr"/>
      <c r="D692" s="2" t="inlineStr"/>
      <c r="E692" s="2">
        <f>IF(D692="","",IFERROR(XLOOKUP(TRIM(D692),INVENTARIO!$A$2:$A$2000,INVENTARIO!$B$2:$B$2000),"NO ENCONTRADO"))</f>
        <v/>
      </c>
      <c r="F692" s="2">
        <f>IF(D692="","",IF(E692="NO ENCONTRADO","CODIGO NO EXISTE",IF(COUNTIF($D$2:D692,D692)&gt;1,"DEVOLUCION DUPLICADA",IF(COUNTIFS(SALIDAS!$B$2:$B$1000,B692,SALIDAS!$D$2:$D$1000,D692,SALIDAS!$G$2:$G$1000,"OK*")=0,"NO FIGURA EN SALIDA","OK"))))</f>
        <v/>
      </c>
    </row>
    <row r="693">
      <c r="A693" s="9" t="inlineStr"/>
      <c r="B693" s="2" t="inlineStr"/>
      <c r="C693" s="2" t="inlineStr"/>
      <c r="D693" s="2" t="inlineStr"/>
      <c r="E693" s="2">
        <f>IF(D693="","",IFERROR(XLOOKUP(TRIM(D693),INVENTARIO!$A$2:$A$2000,INVENTARIO!$B$2:$B$2000),"NO ENCONTRADO"))</f>
        <v/>
      </c>
      <c r="F693" s="2">
        <f>IF(D693="","",IF(E693="NO ENCONTRADO","CODIGO NO EXISTE",IF(COUNTIF($D$2:D693,D693)&gt;1,"DEVOLUCION DUPLICADA",IF(COUNTIFS(SALIDAS!$B$2:$B$1000,B693,SALIDAS!$D$2:$D$1000,D693,SALIDAS!$G$2:$G$1000,"OK*")=0,"NO FIGURA EN SALIDA","OK"))))</f>
        <v/>
      </c>
    </row>
    <row r="694">
      <c r="A694" s="9" t="inlineStr"/>
      <c r="B694" s="2" t="inlineStr"/>
      <c r="C694" s="2" t="inlineStr"/>
      <c r="D694" s="2" t="inlineStr"/>
      <c r="E694" s="2">
        <f>IF(D694="","",IFERROR(XLOOKUP(TRIM(D694),INVENTARIO!$A$2:$A$2000,INVENTARIO!$B$2:$B$2000),"NO ENCONTRADO"))</f>
        <v/>
      </c>
      <c r="F694" s="2">
        <f>IF(D694="","",IF(E694="NO ENCONTRADO","CODIGO NO EXISTE",IF(COUNTIF($D$2:D694,D694)&gt;1,"DEVOLUCION DUPLICADA",IF(COUNTIFS(SALIDAS!$B$2:$B$1000,B694,SALIDAS!$D$2:$D$1000,D694,SALIDAS!$G$2:$G$1000,"OK*")=0,"NO FIGURA EN SALIDA","OK"))))</f>
        <v/>
      </c>
    </row>
    <row r="695">
      <c r="A695" s="9" t="inlineStr"/>
      <c r="B695" s="2" t="inlineStr"/>
      <c r="C695" s="2" t="inlineStr"/>
      <c r="D695" s="2" t="inlineStr"/>
      <c r="E695" s="2">
        <f>IF(D695="","",IFERROR(XLOOKUP(TRIM(D695),INVENTARIO!$A$2:$A$2000,INVENTARIO!$B$2:$B$2000),"NO ENCONTRADO"))</f>
        <v/>
      </c>
      <c r="F695" s="2">
        <f>IF(D695="","",IF(E695="NO ENCONTRADO","CODIGO NO EXISTE",IF(COUNTIF($D$2:D695,D695)&gt;1,"DEVOLUCION DUPLICADA",IF(COUNTIFS(SALIDAS!$B$2:$B$1000,B695,SALIDAS!$D$2:$D$1000,D695,SALIDAS!$G$2:$G$1000,"OK*")=0,"NO FIGURA EN SALIDA","OK"))))</f>
        <v/>
      </c>
    </row>
    <row r="696">
      <c r="A696" s="9" t="inlineStr"/>
      <c r="B696" s="2" t="inlineStr"/>
      <c r="C696" s="2" t="inlineStr"/>
      <c r="D696" s="2" t="inlineStr"/>
      <c r="E696" s="2">
        <f>IF(D696="","",IFERROR(XLOOKUP(TRIM(D696),INVENTARIO!$A$2:$A$2000,INVENTARIO!$B$2:$B$2000),"NO ENCONTRADO"))</f>
        <v/>
      </c>
      <c r="F696" s="2">
        <f>IF(D696="","",IF(E696="NO ENCONTRADO","CODIGO NO EXISTE",IF(COUNTIF($D$2:D696,D696)&gt;1,"DEVOLUCION DUPLICADA",IF(COUNTIFS(SALIDAS!$B$2:$B$1000,B696,SALIDAS!$D$2:$D$1000,D696,SALIDAS!$G$2:$G$1000,"OK*")=0,"NO FIGURA EN SALIDA","OK"))))</f>
        <v/>
      </c>
    </row>
    <row r="697">
      <c r="A697" s="9" t="inlineStr"/>
      <c r="B697" s="2" t="inlineStr"/>
      <c r="C697" s="2" t="inlineStr"/>
      <c r="D697" s="2" t="inlineStr"/>
      <c r="E697" s="2">
        <f>IF(D697="","",IFERROR(XLOOKUP(TRIM(D697),INVENTARIO!$A$2:$A$2000,INVENTARIO!$B$2:$B$2000),"NO ENCONTRADO"))</f>
        <v/>
      </c>
      <c r="F697" s="2">
        <f>IF(D697="","",IF(E697="NO ENCONTRADO","CODIGO NO EXISTE",IF(COUNTIF($D$2:D697,D697)&gt;1,"DEVOLUCION DUPLICADA",IF(COUNTIFS(SALIDAS!$B$2:$B$1000,B697,SALIDAS!$D$2:$D$1000,D697,SALIDAS!$G$2:$G$1000,"OK*")=0,"NO FIGURA EN SALIDA","OK"))))</f>
        <v/>
      </c>
    </row>
    <row r="698">
      <c r="A698" s="9" t="inlineStr"/>
      <c r="B698" s="2" t="inlineStr"/>
      <c r="C698" s="2" t="inlineStr"/>
      <c r="D698" s="2" t="inlineStr"/>
      <c r="E698" s="2">
        <f>IF(D698="","",IFERROR(XLOOKUP(TRIM(D698),INVENTARIO!$A$2:$A$2000,INVENTARIO!$B$2:$B$2000),"NO ENCONTRADO"))</f>
        <v/>
      </c>
      <c r="F698" s="2">
        <f>IF(D698="","",IF(E698="NO ENCONTRADO","CODIGO NO EXISTE",IF(COUNTIF($D$2:D698,D698)&gt;1,"DEVOLUCION DUPLICADA",IF(COUNTIFS(SALIDAS!$B$2:$B$1000,B698,SALIDAS!$D$2:$D$1000,D698,SALIDAS!$G$2:$G$1000,"OK*")=0,"NO FIGURA EN SALIDA","OK"))))</f>
        <v/>
      </c>
    </row>
    <row r="699">
      <c r="A699" s="9" t="inlineStr"/>
      <c r="B699" s="2" t="inlineStr"/>
      <c r="C699" s="2" t="inlineStr"/>
      <c r="D699" s="2" t="inlineStr"/>
      <c r="E699" s="2">
        <f>IF(D699="","",IFERROR(XLOOKUP(TRIM(D699),INVENTARIO!$A$2:$A$2000,INVENTARIO!$B$2:$B$2000),"NO ENCONTRADO"))</f>
        <v/>
      </c>
      <c r="F699" s="2">
        <f>IF(D699="","",IF(E699="NO ENCONTRADO","CODIGO NO EXISTE",IF(COUNTIF($D$2:D699,D699)&gt;1,"DEVOLUCION DUPLICADA",IF(COUNTIFS(SALIDAS!$B$2:$B$1000,B699,SALIDAS!$D$2:$D$1000,D699,SALIDAS!$G$2:$G$1000,"OK*")=0,"NO FIGURA EN SALIDA","OK"))))</f>
        <v/>
      </c>
    </row>
    <row r="700">
      <c r="A700" s="9" t="inlineStr"/>
      <c r="B700" s="2" t="inlineStr"/>
      <c r="C700" s="2" t="inlineStr"/>
      <c r="D700" s="2" t="inlineStr"/>
      <c r="E700" s="2">
        <f>IF(D700="","",IFERROR(XLOOKUP(TRIM(D700),INVENTARIO!$A$2:$A$2000,INVENTARIO!$B$2:$B$2000),"NO ENCONTRADO"))</f>
        <v/>
      </c>
      <c r="F700" s="2">
        <f>IF(D700="","",IF(E700="NO ENCONTRADO","CODIGO NO EXISTE",IF(COUNTIF($D$2:D700,D700)&gt;1,"DEVOLUCION DUPLICADA",IF(COUNTIFS(SALIDAS!$B$2:$B$1000,B700,SALIDAS!$D$2:$D$1000,D700,SALIDAS!$G$2:$G$1000,"OK*")=0,"NO FIGURA EN SALIDA","OK"))))</f>
        <v/>
      </c>
    </row>
    <row r="701">
      <c r="A701" s="9" t="inlineStr"/>
      <c r="B701" s="2" t="inlineStr"/>
      <c r="C701" s="2" t="inlineStr"/>
      <c r="D701" s="2" t="inlineStr"/>
      <c r="E701" s="2">
        <f>IF(D701="","",IFERROR(XLOOKUP(TRIM(D701),INVENTARIO!$A$2:$A$2000,INVENTARIO!$B$2:$B$2000),"NO ENCONTRADO"))</f>
        <v/>
      </c>
      <c r="F701" s="2">
        <f>IF(D701="","",IF(E701="NO ENCONTRADO","CODIGO NO EXISTE",IF(COUNTIF($D$2:D701,D701)&gt;1,"DEVOLUCION DUPLICADA",IF(COUNTIFS(SALIDAS!$B$2:$B$1000,B701,SALIDAS!$D$2:$D$1000,D701,SALIDAS!$G$2:$G$1000,"OK*")=0,"NO FIGURA EN SALIDA","OK"))))</f>
        <v/>
      </c>
    </row>
    <row r="702">
      <c r="A702" s="9" t="inlineStr"/>
      <c r="B702" s="2" t="inlineStr"/>
      <c r="C702" s="2" t="inlineStr"/>
      <c r="D702" s="2" t="inlineStr"/>
      <c r="E702" s="2">
        <f>IF(D702="","",IFERROR(XLOOKUP(TRIM(D702),INVENTARIO!$A$2:$A$2000,INVENTARIO!$B$2:$B$2000),"NO ENCONTRADO"))</f>
        <v/>
      </c>
      <c r="F702" s="2">
        <f>IF(D702="","",IF(E702="NO ENCONTRADO","CODIGO NO EXISTE",IF(COUNTIF($D$2:D702,D702)&gt;1,"DEVOLUCION DUPLICADA",IF(COUNTIFS(SALIDAS!$B$2:$B$1000,B702,SALIDAS!$D$2:$D$1000,D702,SALIDAS!$G$2:$G$1000,"OK*")=0,"NO FIGURA EN SALIDA","OK"))))</f>
        <v/>
      </c>
    </row>
    <row r="703">
      <c r="A703" s="9" t="inlineStr"/>
      <c r="B703" s="2" t="inlineStr"/>
      <c r="C703" s="2" t="inlineStr"/>
      <c r="D703" s="2" t="inlineStr"/>
      <c r="E703" s="2">
        <f>IF(D703="","",IFERROR(XLOOKUP(TRIM(D703),INVENTARIO!$A$2:$A$2000,INVENTARIO!$B$2:$B$2000),"NO ENCONTRADO"))</f>
        <v/>
      </c>
      <c r="F703" s="2">
        <f>IF(D703="","",IF(E703="NO ENCONTRADO","CODIGO NO EXISTE",IF(COUNTIF($D$2:D703,D703)&gt;1,"DEVOLUCION DUPLICADA",IF(COUNTIFS(SALIDAS!$B$2:$B$1000,B703,SALIDAS!$D$2:$D$1000,D703,SALIDAS!$G$2:$G$1000,"OK*")=0,"NO FIGURA EN SALIDA","OK"))))</f>
        <v/>
      </c>
    </row>
    <row r="704">
      <c r="A704" s="9" t="inlineStr"/>
      <c r="B704" s="2" t="inlineStr"/>
      <c r="C704" s="2" t="inlineStr"/>
      <c r="D704" s="2" t="inlineStr"/>
      <c r="E704" s="2">
        <f>IF(D704="","",IFERROR(XLOOKUP(TRIM(D704),INVENTARIO!$A$2:$A$2000,INVENTARIO!$B$2:$B$2000),"NO ENCONTRADO"))</f>
        <v/>
      </c>
      <c r="F704" s="2">
        <f>IF(D704="","",IF(E704="NO ENCONTRADO","CODIGO NO EXISTE",IF(COUNTIF($D$2:D704,D704)&gt;1,"DEVOLUCION DUPLICADA",IF(COUNTIFS(SALIDAS!$B$2:$B$1000,B704,SALIDAS!$D$2:$D$1000,D704,SALIDAS!$G$2:$G$1000,"OK*")=0,"NO FIGURA EN SALIDA","OK"))))</f>
        <v/>
      </c>
    </row>
    <row r="705">
      <c r="A705" s="9" t="inlineStr"/>
      <c r="B705" s="2" t="inlineStr"/>
      <c r="C705" s="2" t="inlineStr"/>
      <c r="D705" s="2" t="inlineStr"/>
      <c r="E705" s="2">
        <f>IF(D705="","",IFERROR(XLOOKUP(TRIM(D705),INVENTARIO!$A$2:$A$2000,INVENTARIO!$B$2:$B$2000),"NO ENCONTRADO"))</f>
        <v/>
      </c>
      <c r="F705" s="2">
        <f>IF(D705="","",IF(E705="NO ENCONTRADO","CODIGO NO EXISTE",IF(COUNTIF($D$2:D705,D705)&gt;1,"DEVOLUCION DUPLICADA",IF(COUNTIFS(SALIDAS!$B$2:$B$1000,B705,SALIDAS!$D$2:$D$1000,D705,SALIDAS!$G$2:$G$1000,"OK*")=0,"NO FIGURA EN SALIDA","OK"))))</f>
        <v/>
      </c>
    </row>
    <row r="706">
      <c r="A706" s="9" t="inlineStr"/>
      <c r="B706" s="2" t="inlineStr"/>
      <c r="C706" s="2" t="inlineStr"/>
      <c r="D706" s="2" t="inlineStr"/>
      <c r="E706" s="2">
        <f>IF(D706="","",IFERROR(XLOOKUP(TRIM(D706),INVENTARIO!$A$2:$A$2000,INVENTARIO!$B$2:$B$2000),"NO ENCONTRADO"))</f>
        <v/>
      </c>
      <c r="F706" s="2">
        <f>IF(D706="","",IF(E706="NO ENCONTRADO","CODIGO NO EXISTE",IF(COUNTIF($D$2:D706,D706)&gt;1,"DEVOLUCION DUPLICADA",IF(COUNTIFS(SALIDAS!$B$2:$B$1000,B706,SALIDAS!$D$2:$D$1000,D706,SALIDAS!$G$2:$G$1000,"OK*")=0,"NO FIGURA EN SALIDA","OK"))))</f>
        <v/>
      </c>
    </row>
    <row r="707">
      <c r="A707" s="9" t="inlineStr"/>
      <c r="B707" s="2" t="inlineStr"/>
      <c r="C707" s="2" t="inlineStr"/>
      <c r="D707" s="2" t="inlineStr"/>
      <c r="E707" s="2">
        <f>IF(D707="","",IFERROR(XLOOKUP(TRIM(D707),INVENTARIO!$A$2:$A$2000,INVENTARIO!$B$2:$B$2000),"NO ENCONTRADO"))</f>
        <v/>
      </c>
      <c r="F707" s="2">
        <f>IF(D707="","",IF(E707="NO ENCONTRADO","CODIGO NO EXISTE",IF(COUNTIF($D$2:D707,D707)&gt;1,"DEVOLUCION DUPLICADA",IF(COUNTIFS(SALIDAS!$B$2:$B$1000,B707,SALIDAS!$D$2:$D$1000,D707,SALIDAS!$G$2:$G$1000,"OK*")=0,"NO FIGURA EN SALIDA","OK"))))</f>
        <v/>
      </c>
    </row>
    <row r="708">
      <c r="A708" s="9" t="inlineStr"/>
      <c r="B708" s="2" t="inlineStr"/>
      <c r="C708" s="2" t="inlineStr"/>
      <c r="D708" s="2" t="inlineStr"/>
      <c r="E708" s="2">
        <f>IF(D708="","",IFERROR(XLOOKUP(TRIM(D708),INVENTARIO!$A$2:$A$2000,INVENTARIO!$B$2:$B$2000),"NO ENCONTRADO"))</f>
        <v/>
      </c>
      <c r="F708" s="2">
        <f>IF(D708="","",IF(E708="NO ENCONTRADO","CODIGO NO EXISTE",IF(COUNTIF($D$2:D708,D708)&gt;1,"DEVOLUCION DUPLICADA",IF(COUNTIFS(SALIDAS!$B$2:$B$1000,B708,SALIDAS!$D$2:$D$1000,D708,SALIDAS!$G$2:$G$1000,"OK*")=0,"NO FIGURA EN SALIDA","OK"))))</f>
        <v/>
      </c>
    </row>
    <row r="709">
      <c r="A709" s="9" t="inlineStr"/>
      <c r="B709" s="2" t="inlineStr"/>
      <c r="C709" s="2" t="inlineStr"/>
      <c r="D709" s="2" t="inlineStr"/>
      <c r="E709" s="2">
        <f>IF(D709="","",IFERROR(XLOOKUP(TRIM(D709),INVENTARIO!$A$2:$A$2000,INVENTARIO!$B$2:$B$2000),"NO ENCONTRADO"))</f>
        <v/>
      </c>
      <c r="F709" s="2">
        <f>IF(D709="","",IF(E709="NO ENCONTRADO","CODIGO NO EXISTE",IF(COUNTIF($D$2:D709,D709)&gt;1,"DEVOLUCION DUPLICADA",IF(COUNTIFS(SALIDAS!$B$2:$B$1000,B709,SALIDAS!$D$2:$D$1000,D709,SALIDAS!$G$2:$G$1000,"OK*")=0,"NO FIGURA EN SALIDA","OK"))))</f>
        <v/>
      </c>
    </row>
    <row r="710">
      <c r="A710" s="9" t="inlineStr"/>
      <c r="B710" s="2" t="inlineStr"/>
      <c r="C710" s="2" t="inlineStr"/>
      <c r="D710" s="2" t="inlineStr"/>
      <c r="E710" s="2">
        <f>IF(D710="","",IFERROR(XLOOKUP(TRIM(D710),INVENTARIO!$A$2:$A$2000,INVENTARIO!$B$2:$B$2000),"NO ENCONTRADO"))</f>
        <v/>
      </c>
      <c r="F710" s="2">
        <f>IF(D710="","",IF(E710="NO ENCONTRADO","CODIGO NO EXISTE",IF(COUNTIF($D$2:D710,D710)&gt;1,"DEVOLUCION DUPLICADA",IF(COUNTIFS(SALIDAS!$B$2:$B$1000,B710,SALIDAS!$D$2:$D$1000,D710,SALIDAS!$G$2:$G$1000,"OK*")=0,"NO FIGURA EN SALIDA","OK"))))</f>
        <v/>
      </c>
    </row>
    <row r="711">
      <c r="A711" s="9" t="inlineStr"/>
      <c r="B711" s="2" t="inlineStr"/>
      <c r="C711" s="2" t="inlineStr"/>
      <c r="D711" s="2" t="inlineStr"/>
      <c r="E711" s="2">
        <f>IF(D711="","",IFERROR(XLOOKUP(TRIM(D711),INVENTARIO!$A$2:$A$2000,INVENTARIO!$B$2:$B$2000),"NO ENCONTRADO"))</f>
        <v/>
      </c>
      <c r="F711" s="2">
        <f>IF(D711="","",IF(E711="NO ENCONTRADO","CODIGO NO EXISTE",IF(COUNTIF($D$2:D711,D711)&gt;1,"DEVOLUCION DUPLICADA",IF(COUNTIFS(SALIDAS!$B$2:$B$1000,B711,SALIDAS!$D$2:$D$1000,D711,SALIDAS!$G$2:$G$1000,"OK*")=0,"NO FIGURA EN SALIDA","OK"))))</f>
        <v/>
      </c>
    </row>
    <row r="712">
      <c r="A712" s="9" t="inlineStr"/>
      <c r="B712" s="2" t="inlineStr"/>
      <c r="C712" s="2" t="inlineStr"/>
      <c r="D712" s="2" t="inlineStr"/>
      <c r="E712" s="2">
        <f>IF(D712="","",IFERROR(XLOOKUP(TRIM(D712),INVENTARIO!$A$2:$A$2000,INVENTARIO!$B$2:$B$2000),"NO ENCONTRADO"))</f>
        <v/>
      </c>
      <c r="F712" s="2">
        <f>IF(D712="","",IF(E712="NO ENCONTRADO","CODIGO NO EXISTE",IF(COUNTIF($D$2:D712,D712)&gt;1,"DEVOLUCION DUPLICADA",IF(COUNTIFS(SALIDAS!$B$2:$B$1000,B712,SALIDAS!$D$2:$D$1000,D712,SALIDAS!$G$2:$G$1000,"OK*")=0,"NO FIGURA EN SALIDA","OK"))))</f>
        <v/>
      </c>
    </row>
    <row r="713">
      <c r="A713" s="9" t="inlineStr"/>
      <c r="B713" s="2" t="inlineStr"/>
      <c r="C713" s="2" t="inlineStr"/>
      <c r="D713" s="2" t="inlineStr"/>
      <c r="E713" s="2">
        <f>IF(D713="","",IFERROR(XLOOKUP(TRIM(D713),INVENTARIO!$A$2:$A$2000,INVENTARIO!$B$2:$B$2000),"NO ENCONTRADO"))</f>
        <v/>
      </c>
      <c r="F713" s="2">
        <f>IF(D713="","",IF(E713="NO ENCONTRADO","CODIGO NO EXISTE",IF(COUNTIF($D$2:D713,D713)&gt;1,"DEVOLUCION DUPLICADA",IF(COUNTIFS(SALIDAS!$B$2:$B$1000,B713,SALIDAS!$D$2:$D$1000,D713,SALIDAS!$G$2:$G$1000,"OK*")=0,"NO FIGURA EN SALIDA","OK"))))</f>
        <v/>
      </c>
    </row>
    <row r="714">
      <c r="A714" s="9" t="inlineStr"/>
      <c r="B714" s="2" t="inlineStr"/>
      <c r="C714" s="2" t="inlineStr"/>
      <c r="D714" s="2" t="inlineStr"/>
      <c r="E714" s="2">
        <f>IF(D714="","",IFERROR(XLOOKUP(TRIM(D714),INVENTARIO!$A$2:$A$2000,INVENTARIO!$B$2:$B$2000),"NO ENCONTRADO"))</f>
        <v/>
      </c>
      <c r="F714" s="2">
        <f>IF(D714="","",IF(E714="NO ENCONTRADO","CODIGO NO EXISTE",IF(COUNTIF($D$2:D714,D714)&gt;1,"DEVOLUCION DUPLICADA",IF(COUNTIFS(SALIDAS!$B$2:$B$1000,B714,SALIDAS!$D$2:$D$1000,D714,SALIDAS!$G$2:$G$1000,"OK*")=0,"NO FIGURA EN SALIDA","OK"))))</f>
        <v/>
      </c>
    </row>
    <row r="715">
      <c r="A715" s="9" t="inlineStr"/>
      <c r="B715" s="2" t="inlineStr"/>
      <c r="C715" s="2" t="inlineStr"/>
      <c r="D715" s="2" t="inlineStr"/>
      <c r="E715" s="2">
        <f>IF(D715="","",IFERROR(XLOOKUP(TRIM(D715),INVENTARIO!$A$2:$A$2000,INVENTARIO!$B$2:$B$2000),"NO ENCONTRADO"))</f>
        <v/>
      </c>
      <c r="F715" s="2">
        <f>IF(D715="","",IF(E715="NO ENCONTRADO","CODIGO NO EXISTE",IF(COUNTIF($D$2:D715,D715)&gt;1,"DEVOLUCION DUPLICADA",IF(COUNTIFS(SALIDAS!$B$2:$B$1000,B715,SALIDAS!$D$2:$D$1000,D715,SALIDAS!$G$2:$G$1000,"OK*")=0,"NO FIGURA EN SALIDA","OK"))))</f>
        <v/>
      </c>
    </row>
    <row r="716">
      <c r="A716" s="9" t="inlineStr"/>
      <c r="B716" s="2" t="inlineStr"/>
      <c r="C716" s="2" t="inlineStr"/>
      <c r="D716" s="2" t="inlineStr"/>
      <c r="E716" s="2">
        <f>IF(D716="","",IFERROR(XLOOKUP(TRIM(D716),INVENTARIO!$A$2:$A$2000,INVENTARIO!$B$2:$B$2000),"NO ENCONTRADO"))</f>
        <v/>
      </c>
      <c r="F716" s="2">
        <f>IF(D716="","",IF(E716="NO ENCONTRADO","CODIGO NO EXISTE",IF(COUNTIF($D$2:D716,D716)&gt;1,"DEVOLUCION DUPLICADA",IF(COUNTIFS(SALIDAS!$B$2:$B$1000,B716,SALIDAS!$D$2:$D$1000,D716,SALIDAS!$G$2:$G$1000,"OK*")=0,"NO FIGURA EN SALIDA","OK"))))</f>
        <v/>
      </c>
    </row>
    <row r="717">
      <c r="A717" s="9" t="inlineStr"/>
      <c r="B717" s="2" t="inlineStr"/>
      <c r="C717" s="2" t="inlineStr"/>
      <c r="D717" s="2" t="inlineStr"/>
      <c r="E717" s="2">
        <f>IF(D717="","",IFERROR(XLOOKUP(TRIM(D717),INVENTARIO!$A$2:$A$2000,INVENTARIO!$B$2:$B$2000),"NO ENCONTRADO"))</f>
        <v/>
      </c>
      <c r="F717" s="2">
        <f>IF(D717="","",IF(E717="NO ENCONTRADO","CODIGO NO EXISTE",IF(COUNTIF($D$2:D717,D717)&gt;1,"DEVOLUCION DUPLICADA",IF(COUNTIFS(SALIDAS!$B$2:$B$1000,B717,SALIDAS!$D$2:$D$1000,D717,SALIDAS!$G$2:$G$1000,"OK*")=0,"NO FIGURA EN SALIDA","OK"))))</f>
        <v/>
      </c>
    </row>
    <row r="718">
      <c r="A718" s="9" t="inlineStr"/>
      <c r="B718" s="2" t="inlineStr"/>
      <c r="C718" s="2" t="inlineStr"/>
      <c r="D718" s="2" t="inlineStr"/>
      <c r="E718" s="2">
        <f>IF(D718="","",IFERROR(XLOOKUP(TRIM(D718),INVENTARIO!$A$2:$A$2000,INVENTARIO!$B$2:$B$2000),"NO ENCONTRADO"))</f>
        <v/>
      </c>
      <c r="F718" s="2">
        <f>IF(D718="","",IF(E718="NO ENCONTRADO","CODIGO NO EXISTE",IF(COUNTIF($D$2:D718,D718)&gt;1,"DEVOLUCION DUPLICADA",IF(COUNTIFS(SALIDAS!$B$2:$B$1000,B718,SALIDAS!$D$2:$D$1000,D718,SALIDAS!$G$2:$G$1000,"OK*")=0,"NO FIGURA EN SALIDA","OK"))))</f>
        <v/>
      </c>
    </row>
    <row r="719">
      <c r="A719" s="9" t="inlineStr"/>
      <c r="B719" s="2" t="inlineStr"/>
      <c r="C719" s="2" t="inlineStr"/>
      <c r="D719" s="2" t="inlineStr"/>
      <c r="E719" s="2">
        <f>IF(D719="","",IFERROR(XLOOKUP(TRIM(D719),INVENTARIO!$A$2:$A$2000,INVENTARIO!$B$2:$B$2000),"NO ENCONTRADO"))</f>
        <v/>
      </c>
      <c r="F719" s="2">
        <f>IF(D719="","",IF(E719="NO ENCONTRADO","CODIGO NO EXISTE",IF(COUNTIF($D$2:D719,D719)&gt;1,"DEVOLUCION DUPLICADA",IF(COUNTIFS(SALIDAS!$B$2:$B$1000,B719,SALIDAS!$D$2:$D$1000,D719,SALIDAS!$G$2:$G$1000,"OK*")=0,"NO FIGURA EN SALIDA","OK"))))</f>
        <v/>
      </c>
    </row>
    <row r="720">
      <c r="A720" s="9" t="inlineStr"/>
      <c r="B720" s="2" t="inlineStr"/>
      <c r="C720" s="2" t="inlineStr"/>
      <c r="D720" s="2" t="inlineStr"/>
      <c r="E720" s="2">
        <f>IF(D720="","",IFERROR(XLOOKUP(TRIM(D720),INVENTARIO!$A$2:$A$2000,INVENTARIO!$B$2:$B$2000),"NO ENCONTRADO"))</f>
        <v/>
      </c>
      <c r="F720" s="2">
        <f>IF(D720="","",IF(E720="NO ENCONTRADO","CODIGO NO EXISTE",IF(COUNTIF($D$2:D720,D720)&gt;1,"DEVOLUCION DUPLICADA",IF(COUNTIFS(SALIDAS!$B$2:$B$1000,B720,SALIDAS!$D$2:$D$1000,D720,SALIDAS!$G$2:$G$1000,"OK*")=0,"NO FIGURA EN SALIDA","OK"))))</f>
        <v/>
      </c>
    </row>
    <row r="721">
      <c r="A721" s="9" t="inlineStr"/>
      <c r="B721" s="2" t="inlineStr"/>
      <c r="C721" s="2" t="inlineStr"/>
      <c r="D721" s="2" t="inlineStr"/>
      <c r="E721" s="2">
        <f>IF(D721="","",IFERROR(XLOOKUP(TRIM(D721),INVENTARIO!$A$2:$A$2000,INVENTARIO!$B$2:$B$2000),"NO ENCONTRADO"))</f>
        <v/>
      </c>
      <c r="F721" s="2">
        <f>IF(D721="","",IF(E721="NO ENCONTRADO","CODIGO NO EXISTE",IF(COUNTIF($D$2:D721,D721)&gt;1,"DEVOLUCION DUPLICADA",IF(COUNTIFS(SALIDAS!$B$2:$B$1000,B721,SALIDAS!$D$2:$D$1000,D721,SALIDAS!$G$2:$G$1000,"OK*")=0,"NO FIGURA EN SALIDA","OK"))))</f>
        <v/>
      </c>
    </row>
    <row r="722">
      <c r="A722" s="9" t="inlineStr"/>
      <c r="B722" s="2" t="inlineStr"/>
      <c r="C722" s="2" t="inlineStr"/>
      <c r="D722" s="2" t="inlineStr"/>
      <c r="E722" s="2">
        <f>IF(D722="","",IFERROR(XLOOKUP(TRIM(D722),INVENTARIO!$A$2:$A$2000,INVENTARIO!$B$2:$B$2000),"NO ENCONTRADO"))</f>
        <v/>
      </c>
      <c r="F722" s="2">
        <f>IF(D722="","",IF(E722="NO ENCONTRADO","CODIGO NO EXISTE",IF(COUNTIF($D$2:D722,D722)&gt;1,"DEVOLUCION DUPLICADA",IF(COUNTIFS(SALIDAS!$B$2:$B$1000,B722,SALIDAS!$D$2:$D$1000,D722,SALIDAS!$G$2:$G$1000,"OK*")=0,"NO FIGURA EN SALIDA","OK"))))</f>
        <v/>
      </c>
    </row>
    <row r="723">
      <c r="A723" s="9" t="inlineStr"/>
      <c r="B723" s="2" t="inlineStr"/>
      <c r="C723" s="2" t="inlineStr"/>
      <c r="D723" s="2" t="inlineStr"/>
      <c r="E723" s="2">
        <f>IF(D723="","",IFERROR(XLOOKUP(TRIM(D723),INVENTARIO!$A$2:$A$2000,INVENTARIO!$B$2:$B$2000),"NO ENCONTRADO"))</f>
        <v/>
      </c>
      <c r="F723" s="2">
        <f>IF(D723="","",IF(E723="NO ENCONTRADO","CODIGO NO EXISTE",IF(COUNTIF($D$2:D723,D723)&gt;1,"DEVOLUCION DUPLICADA",IF(COUNTIFS(SALIDAS!$B$2:$B$1000,B723,SALIDAS!$D$2:$D$1000,D723,SALIDAS!$G$2:$G$1000,"OK*")=0,"NO FIGURA EN SALIDA","OK"))))</f>
        <v/>
      </c>
    </row>
    <row r="724">
      <c r="A724" s="9" t="inlineStr"/>
      <c r="B724" s="2" t="inlineStr"/>
      <c r="C724" s="2" t="inlineStr"/>
      <c r="D724" s="2" t="inlineStr"/>
      <c r="E724" s="2">
        <f>IF(D724="","",IFERROR(XLOOKUP(TRIM(D724),INVENTARIO!$A$2:$A$2000,INVENTARIO!$B$2:$B$2000),"NO ENCONTRADO"))</f>
        <v/>
      </c>
      <c r="F724" s="2">
        <f>IF(D724="","",IF(E724="NO ENCONTRADO","CODIGO NO EXISTE",IF(COUNTIF($D$2:D724,D724)&gt;1,"DEVOLUCION DUPLICADA",IF(COUNTIFS(SALIDAS!$B$2:$B$1000,B724,SALIDAS!$D$2:$D$1000,D724,SALIDAS!$G$2:$G$1000,"OK*")=0,"NO FIGURA EN SALIDA","OK"))))</f>
        <v/>
      </c>
    </row>
    <row r="725">
      <c r="A725" s="9" t="inlineStr"/>
      <c r="B725" s="2" t="inlineStr"/>
      <c r="C725" s="2" t="inlineStr"/>
      <c r="D725" s="2" t="inlineStr"/>
      <c r="E725" s="2">
        <f>IF(D725="","",IFERROR(XLOOKUP(TRIM(D725),INVENTARIO!$A$2:$A$2000,INVENTARIO!$B$2:$B$2000),"NO ENCONTRADO"))</f>
        <v/>
      </c>
      <c r="F725" s="2">
        <f>IF(D725="","",IF(E725="NO ENCONTRADO","CODIGO NO EXISTE",IF(COUNTIF($D$2:D725,D725)&gt;1,"DEVOLUCION DUPLICADA",IF(COUNTIFS(SALIDAS!$B$2:$B$1000,B725,SALIDAS!$D$2:$D$1000,D725,SALIDAS!$G$2:$G$1000,"OK*")=0,"NO FIGURA EN SALIDA","OK"))))</f>
        <v/>
      </c>
    </row>
    <row r="726">
      <c r="A726" s="9" t="inlineStr"/>
      <c r="B726" s="2" t="inlineStr"/>
      <c r="C726" s="2" t="inlineStr"/>
      <c r="D726" s="2" t="inlineStr"/>
      <c r="E726" s="2">
        <f>IF(D726="","",IFERROR(XLOOKUP(TRIM(D726),INVENTARIO!$A$2:$A$2000,INVENTARIO!$B$2:$B$2000),"NO ENCONTRADO"))</f>
        <v/>
      </c>
      <c r="F726" s="2">
        <f>IF(D726="","",IF(E726="NO ENCONTRADO","CODIGO NO EXISTE",IF(COUNTIF($D$2:D726,D726)&gt;1,"DEVOLUCION DUPLICADA",IF(COUNTIFS(SALIDAS!$B$2:$B$1000,B726,SALIDAS!$D$2:$D$1000,D726,SALIDAS!$G$2:$G$1000,"OK*")=0,"NO FIGURA EN SALIDA","OK"))))</f>
        <v/>
      </c>
    </row>
    <row r="727">
      <c r="A727" s="9" t="inlineStr"/>
      <c r="B727" s="2" t="inlineStr"/>
      <c r="C727" s="2" t="inlineStr"/>
      <c r="D727" s="2" t="inlineStr"/>
      <c r="E727" s="2">
        <f>IF(D727="","",IFERROR(XLOOKUP(TRIM(D727),INVENTARIO!$A$2:$A$2000,INVENTARIO!$B$2:$B$2000),"NO ENCONTRADO"))</f>
        <v/>
      </c>
      <c r="F727" s="2">
        <f>IF(D727="","",IF(E727="NO ENCONTRADO","CODIGO NO EXISTE",IF(COUNTIF($D$2:D727,D727)&gt;1,"DEVOLUCION DUPLICADA",IF(COUNTIFS(SALIDAS!$B$2:$B$1000,B727,SALIDAS!$D$2:$D$1000,D727,SALIDAS!$G$2:$G$1000,"OK*")=0,"NO FIGURA EN SALIDA","OK"))))</f>
        <v/>
      </c>
    </row>
    <row r="728">
      <c r="A728" s="9" t="inlineStr"/>
      <c r="B728" s="2" t="inlineStr"/>
      <c r="C728" s="2" t="inlineStr"/>
      <c r="D728" s="2" t="inlineStr"/>
      <c r="E728" s="2">
        <f>IF(D728="","",IFERROR(XLOOKUP(TRIM(D728),INVENTARIO!$A$2:$A$2000,INVENTARIO!$B$2:$B$2000),"NO ENCONTRADO"))</f>
        <v/>
      </c>
      <c r="F728" s="2">
        <f>IF(D728="","",IF(E728="NO ENCONTRADO","CODIGO NO EXISTE",IF(COUNTIF($D$2:D728,D728)&gt;1,"DEVOLUCION DUPLICADA",IF(COUNTIFS(SALIDAS!$B$2:$B$1000,B728,SALIDAS!$D$2:$D$1000,D728,SALIDAS!$G$2:$G$1000,"OK*")=0,"NO FIGURA EN SALIDA","OK"))))</f>
        <v/>
      </c>
    </row>
    <row r="729">
      <c r="A729" s="9" t="inlineStr"/>
      <c r="B729" s="2" t="inlineStr"/>
      <c r="C729" s="2" t="inlineStr"/>
      <c r="D729" s="2" t="inlineStr"/>
      <c r="E729" s="2">
        <f>IF(D729="","",IFERROR(XLOOKUP(TRIM(D729),INVENTARIO!$A$2:$A$2000,INVENTARIO!$B$2:$B$2000),"NO ENCONTRADO"))</f>
        <v/>
      </c>
      <c r="F729" s="2">
        <f>IF(D729="","",IF(E729="NO ENCONTRADO","CODIGO NO EXISTE",IF(COUNTIF($D$2:D729,D729)&gt;1,"DEVOLUCION DUPLICADA",IF(COUNTIFS(SALIDAS!$B$2:$B$1000,B729,SALIDAS!$D$2:$D$1000,D729,SALIDAS!$G$2:$G$1000,"OK*")=0,"NO FIGURA EN SALIDA","OK"))))</f>
        <v/>
      </c>
    </row>
    <row r="730">
      <c r="A730" s="9" t="inlineStr"/>
      <c r="B730" s="2" t="inlineStr"/>
      <c r="C730" s="2" t="inlineStr"/>
      <c r="D730" s="2" t="inlineStr"/>
      <c r="E730" s="2">
        <f>IF(D730="","",IFERROR(XLOOKUP(TRIM(D730),INVENTARIO!$A$2:$A$2000,INVENTARIO!$B$2:$B$2000),"NO ENCONTRADO"))</f>
        <v/>
      </c>
      <c r="F730" s="2">
        <f>IF(D730="","",IF(E730="NO ENCONTRADO","CODIGO NO EXISTE",IF(COUNTIF($D$2:D730,D730)&gt;1,"DEVOLUCION DUPLICADA",IF(COUNTIFS(SALIDAS!$B$2:$B$1000,B730,SALIDAS!$D$2:$D$1000,D730,SALIDAS!$G$2:$G$1000,"OK*")=0,"NO FIGURA EN SALIDA","OK"))))</f>
        <v/>
      </c>
    </row>
    <row r="731">
      <c r="A731" s="9" t="inlineStr"/>
      <c r="B731" s="2" t="inlineStr"/>
      <c r="C731" s="2" t="inlineStr"/>
      <c r="D731" s="2" t="inlineStr"/>
      <c r="E731" s="2">
        <f>IF(D731="","",IFERROR(XLOOKUP(TRIM(D731),INVENTARIO!$A$2:$A$2000,INVENTARIO!$B$2:$B$2000),"NO ENCONTRADO"))</f>
        <v/>
      </c>
      <c r="F731" s="2">
        <f>IF(D731="","",IF(E731="NO ENCONTRADO","CODIGO NO EXISTE",IF(COUNTIF($D$2:D731,D731)&gt;1,"DEVOLUCION DUPLICADA",IF(COUNTIFS(SALIDAS!$B$2:$B$1000,B731,SALIDAS!$D$2:$D$1000,D731,SALIDAS!$G$2:$G$1000,"OK*")=0,"NO FIGURA EN SALIDA","OK"))))</f>
        <v/>
      </c>
    </row>
    <row r="732">
      <c r="A732" s="9" t="inlineStr"/>
      <c r="B732" s="2" t="inlineStr"/>
      <c r="C732" s="2" t="inlineStr"/>
      <c r="D732" s="2" t="inlineStr"/>
      <c r="E732" s="2">
        <f>IF(D732="","",IFERROR(XLOOKUP(TRIM(D732),INVENTARIO!$A$2:$A$2000,INVENTARIO!$B$2:$B$2000),"NO ENCONTRADO"))</f>
        <v/>
      </c>
      <c r="F732" s="2">
        <f>IF(D732="","",IF(E732="NO ENCONTRADO","CODIGO NO EXISTE",IF(COUNTIF($D$2:D732,D732)&gt;1,"DEVOLUCION DUPLICADA",IF(COUNTIFS(SALIDAS!$B$2:$B$1000,B732,SALIDAS!$D$2:$D$1000,D732,SALIDAS!$G$2:$G$1000,"OK*")=0,"NO FIGURA EN SALIDA","OK"))))</f>
        <v/>
      </c>
    </row>
    <row r="733">
      <c r="A733" s="9" t="inlineStr"/>
      <c r="B733" s="2" t="inlineStr"/>
      <c r="C733" s="2" t="inlineStr"/>
      <c r="D733" s="2" t="inlineStr"/>
      <c r="E733" s="2">
        <f>IF(D733="","",IFERROR(XLOOKUP(TRIM(D733),INVENTARIO!$A$2:$A$2000,INVENTARIO!$B$2:$B$2000),"NO ENCONTRADO"))</f>
        <v/>
      </c>
      <c r="F733" s="2">
        <f>IF(D733="","",IF(E733="NO ENCONTRADO","CODIGO NO EXISTE",IF(COUNTIF($D$2:D733,D733)&gt;1,"DEVOLUCION DUPLICADA",IF(COUNTIFS(SALIDAS!$B$2:$B$1000,B733,SALIDAS!$D$2:$D$1000,D733,SALIDAS!$G$2:$G$1000,"OK*")=0,"NO FIGURA EN SALIDA","OK"))))</f>
        <v/>
      </c>
    </row>
    <row r="734">
      <c r="A734" s="9" t="inlineStr"/>
      <c r="B734" s="2" t="inlineStr"/>
      <c r="C734" s="2" t="inlineStr"/>
      <c r="D734" s="2" t="inlineStr"/>
      <c r="E734" s="2">
        <f>IF(D734="","",IFERROR(XLOOKUP(TRIM(D734),INVENTARIO!$A$2:$A$2000,INVENTARIO!$B$2:$B$2000),"NO ENCONTRADO"))</f>
        <v/>
      </c>
      <c r="F734" s="2">
        <f>IF(D734="","",IF(E734="NO ENCONTRADO","CODIGO NO EXISTE",IF(COUNTIF($D$2:D734,D734)&gt;1,"DEVOLUCION DUPLICADA",IF(COUNTIFS(SALIDAS!$B$2:$B$1000,B734,SALIDAS!$D$2:$D$1000,D734,SALIDAS!$G$2:$G$1000,"OK*")=0,"NO FIGURA EN SALIDA","OK"))))</f>
        <v/>
      </c>
    </row>
    <row r="735">
      <c r="A735" s="9" t="inlineStr"/>
      <c r="B735" s="2" t="inlineStr"/>
      <c r="C735" s="2" t="inlineStr"/>
      <c r="D735" s="2" t="inlineStr"/>
      <c r="E735" s="2">
        <f>IF(D735="","",IFERROR(XLOOKUP(TRIM(D735),INVENTARIO!$A$2:$A$2000,INVENTARIO!$B$2:$B$2000),"NO ENCONTRADO"))</f>
        <v/>
      </c>
      <c r="F735" s="2">
        <f>IF(D735="","",IF(E735="NO ENCONTRADO","CODIGO NO EXISTE",IF(COUNTIF($D$2:D735,D735)&gt;1,"DEVOLUCION DUPLICADA",IF(COUNTIFS(SALIDAS!$B$2:$B$1000,B735,SALIDAS!$D$2:$D$1000,D735,SALIDAS!$G$2:$G$1000,"OK*")=0,"NO FIGURA EN SALIDA","OK"))))</f>
        <v/>
      </c>
    </row>
    <row r="736">
      <c r="A736" s="9" t="inlineStr"/>
      <c r="B736" s="2" t="inlineStr"/>
      <c r="C736" s="2" t="inlineStr"/>
      <c r="D736" s="2" t="inlineStr"/>
      <c r="E736" s="2">
        <f>IF(D736="","",IFERROR(XLOOKUP(TRIM(D736),INVENTARIO!$A$2:$A$2000,INVENTARIO!$B$2:$B$2000),"NO ENCONTRADO"))</f>
        <v/>
      </c>
      <c r="F736" s="2">
        <f>IF(D736="","",IF(E736="NO ENCONTRADO","CODIGO NO EXISTE",IF(COUNTIF($D$2:D736,D736)&gt;1,"DEVOLUCION DUPLICADA",IF(COUNTIFS(SALIDAS!$B$2:$B$1000,B736,SALIDAS!$D$2:$D$1000,D736,SALIDAS!$G$2:$G$1000,"OK*")=0,"NO FIGURA EN SALIDA","OK"))))</f>
        <v/>
      </c>
    </row>
    <row r="737">
      <c r="A737" s="9" t="inlineStr"/>
      <c r="B737" s="2" t="inlineStr"/>
      <c r="C737" s="2" t="inlineStr"/>
      <c r="D737" s="2" t="inlineStr"/>
      <c r="E737" s="2">
        <f>IF(D737="","",IFERROR(XLOOKUP(TRIM(D737),INVENTARIO!$A$2:$A$2000,INVENTARIO!$B$2:$B$2000),"NO ENCONTRADO"))</f>
        <v/>
      </c>
      <c r="F737" s="2">
        <f>IF(D737="","",IF(E737="NO ENCONTRADO","CODIGO NO EXISTE",IF(COUNTIF($D$2:D737,D737)&gt;1,"DEVOLUCION DUPLICADA",IF(COUNTIFS(SALIDAS!$B$2:$B$1000,B737,SALIDAS!$D$2:$D$1000,D737,SALIDAS!$G$2:$G$1000,"OK*")=0,"NO FIGURA EN SALIDA","OK"))))</f>
        <v/>
      </c>
    </row>
    <row r="738">
      <c r="A738" s="9" t="inlineStr"/>
      <c r="B738" s="2" t="inlineStr"/>
      <c r="C738" s="2" t="inlineStr"/>
      <c r="D738" s="2" t="inlineStr"/>
      <c r="E738" s="2">
        <f>IF(D738="","",IFERROR(XLOOKUP(TRIM(D738),INVENTARIO!$A$2:$A$2000,INVENTARIO!$B$2:$B$2000),"NO ENCONTRADO"))</f>
        <v/>
      </c>
      <c r="F738" s="2">
        <f>IF(D738="","",IF(E738="NO ENCONTRADO","CODIGO NO EXISTE",IF(COUNTIF($D$2:D738,D738)&gt;1,"DEVOLUCION DUPLICADA",IF(COUNTIFS(SALIDAS!$B$2:$B$1000,B738,SALIDAS!$D$2:$D$1000,D738,SALIDAS!$G$2:$G$1000,"OK*")=0,"NO FIGURA EN SALIDA","OK"))))</f>
        <v/>
      </c>
    </row>
    <row r="739">
      <c r="A739" s="9" t="inlineStr"/>
      <c r="B739" s="2" t="inlineStr"/>
      <c r="C739" s="2" t="inlineStr"/>
      <c r="D739" s="2" t="inlineStr"/>
      <c r="E739" s="2">
        <f>IF(D739="","",IFERROR(XLOOKUP(TRIM(D739),INVENTARIO!$A$2:$A$2000,INVENTARIO!$B$2:$B$2000),"NO ENCONTRADO"))</f>
        <v/>
      </c>
      <c r="F739" s="2">
        <f>IF(D739="","",IF(E739="NO ENCONTRADO","CODIGO NO EXISTE",IF(COUNTIF($D$2:D739,D739)&gt;1,"DEVOLUCION DUPLICADA",IF(COUNTIFS(SALIDAS!$B$2:$B$1000,B739,SALIDAS!$D$2:$D$1000,D739,SALIDAS!$G$2:$G$1000,"OK*")=0,"NO FIGURA EN SALIDA","OK"))))</f>
        <v/>
      </c>
    </row>
    <row r="740">
      <c r="A740" s="9" t="inlineStr"/>
      <c r="B740" s="2" t="inlineStr"/>
      <c r="C740" s="2" t="inlineStr"/>
      <c r="D740" s="2" t="inlineStr"/>
      <c r="E740" s="2">
        <f>IF(D740="","",IFERROR(XLOOKUP(TRIM(D740),INVENTARIO!$A$2:$A$2000,INVENTARIO!$B$2:$B$2000),"NO ENCONTRADO"))</f>
        <v/>
      </c>
      <c r="F740" s="2">
        <f>IF(D740="","",IF(E740="NO ENCONTRADO","CODIGO NO EXISTE",IF(COUNTIF($D$2:D740,D740)&gt;1,"DEVOLUCION DUPLICADA",IF(COUNTIFS(SALIDAS!$B$2:$B$1000,B740,SALIDAS!$D$2:$D$1000,D740,SALIDAS!$G$2:$G$1000,"OK*")=0,"NO FIGURA EN SALIDA","OK"))))</f>
        <v/>
      </c>
    </row>
    <row r="741">
      <c r="A741" s="9" t="inlineStr"/>
      <c r="B741" s="2" t="inlineStr"/>
      <c r="C741" s="2" t="inlineStr"/>
      <c r="D741" s="2" t="inlineStr"/>
      <c r="E741" s="2">
        <f>IF(D741="","",IFERROR(XLOOKUP(TRIM(D741),INVENTARIO!$A$2:$A$2000,INVENTARIO!$B$2:$B$2000),"NO ENCONTRADO"))</f>
        <v/>
      </c>
      <c r="F741" s="2">
        <f>IF(D741="","",IF(E741="NO ENCONTRADO","CODIGO NO EXISTE",IF(COUNTIF($D$2:D741,D741)&gt;1,"DEVOLUCION DUPLICADA",IF(COUNTIFS(SALIDAS!$B$2:$B$1000,B741,SALIDAS!$D$2:$D$1000,D741,SALIDAS!$G$2:$G$1000,"OK*")=0,"NO FIGURA EN SALIDA","OK"))))</f>
        <v/>
      </c>
    </row>
    <row r="742">
      <c r="A742" s="9" t="inlineStr"/>
      <c r="B742" s="2" t="inlineStr"/>
      <c r="C742" s="2" t="inlineStr"/>
      <c r="D742" s="2" t="inlineStr"/>
      <c r="E742" s="2">
        <f>IF(D742="","",IFERROR(XLOOKUP(TRIM(D742),INVENTARIO!$A$2:$A$2000,INVENTARIO!$B$2:$B$2000),"NO ENCONTRADO"))</f>
        <v/>
      </c>
      <c r="F742" s="2">
        <f>IF(D742="","",IF(E742="NO ENCONTRADO","CODIGO NO EXISTE",IF(COUNTIF($D$2:D742,D742)&gt;1,"DEVOLUCION DUPLICADA",IF(COUNTIFS(SALIDAS!$B$2:$B$1000,B742,SALIDAS!$D$2:$D$1000,D742,SALIDAS!$G$2:$G$1000,"OK*")=0,"NO FIGURA EN SALIDA","OK"))))</f>
        <v/>
      </c>
    </row>
    <row r="743">
      <c r="A743" s="9" t="inlineStr"/>
      <c r="B743" s="2" t="inlineStr"/>
      <c r="C743" s="2" t="inlineStr"/>
      <c r="D743" s="2" t="inlineStr"/>
      <c r="E743" s="2">
        <f>IF(D743="","",IFERROR(XLOOKUP(TRIM(D743),INVENTARIO!$A$2:$A$2000,INVENTARIO!$B$2:$B$2000),"NO ENCONTRADO"))</f>
        <v/>
      </c>
      <c r="F743" s="2">
        <f>IF(D743="","",IF(E743="NO ENCONTRADO","CODIGO NO EXISTE",IF(COUNTIF($D$2:D743,D743)&gt;1,"DEVOLUCION DUPLICADA",IF(COUNTIFS(SALIDAS!$B$2:$B$1000,B743,SALIDAS!$D$2:$D$1000,D743,SALIDAS!$G$2:$G$1000,"OK*")=0,"NO FIGURA EN SALIDA","OK"))))</f>
        <v/>
      </c>
    </row>
    <row r="744">
      <c r="A744" s="9" t="inlineStr"/>
      <c r="B744" s="2" t="inlineStr"/>
      <c r="C744" s="2" t="inlineStr"/>
      <c r="D744" s="2" t="inlineStr"/>
      <c r="E744" s="2">
        <f>IF(D744="","",IFERROR(XLOOKUP(TRIM(D744),INVENTARIO!$A$2:$A$2000,INVENTARIO!$B$2:$B$2000),"NO ENCONTRADO"))</f>
        <v/>
      </c>
      <c r="F744" s="2">
        <f>IF(D744="","",IF(E744="NO ENCONTRADO","CODIGO NO EXISTE",IF(COUNTIF($D$2:D744,D744)&gt;1,"DEVOLUCION DUPLICADA",IF(COUNTIFS(SALIDAS!$B$2:$B$1000,B744,SALIDAS!$D$2:$D$1000,D744,SALIDAS!$G$2:$G$1000,"OK*")=0,"NO FIGURA EN SALIDA","OK"))))</f>
        <v/>
      </c>
    </row>
    <row r="745">
      <c r="A745" s="9" t="inlineStr"/>
      <c r="B745" s="2" t="inlineStr"/>
      <c r="C745" s="2" t="inlineStr"/>
      <c r="D745" s="2" t="inlineStr"/>
      <c r="E745" s="2">
        <f>IF(D745="","",IFERROR(XLOOKUP(TRIM(D745),INVENTARIO!$A$2:$A$2000,INVENTARIO!$B$2:$B$2000),"NO ENCONTRADO"))</f>
        <v/>
      </c>
      <c r="F745" s="2">
        <f>IF(D745="","",IF(E745="NO ENCONTRADO","CODIGO NO EXISTE",IF(COUNTIF($D$2:D745,D745)&gt;1,"DEVOLUCION DUPLICADA",IF(COUNTIFS(SALIDAS!$B$2:$B$1000,B745,SALIDAS!$D$2:$D$1000,D745,SALIDAS!$G$2:$G$1000,"OK*")=0,"NO FIGURA EN SALIDA","OK"))))</f>
        <v/>
      </c>
    </row>
    <row r="746">
      <c r="A746" s="9" t="inlineStr"/>
      <c r="B746" s="2" t="inlineStr"/>
      <c r="C746" s="2" t="inlineStr"/>
      <c r="D746" s="2" t="inlineStr"/>
      <c r="E746" s="2">
        <f>IF(D746="","",IFERROR(XLOOKUP(TRIM(D746),INVENTARIO!$A$2:$A$2000,INVENTARIO!$B$2:$B$2000),"NO ENCONTRADO"))</f>
        <v/>
      </c>
      <c r="F746" s="2">
        <f>IF(D746="","",IF(E746="NO ENCONTRADO","CODIGO NO EXISTE",IF(COUNTIF($D$2:D746,D746)&gt;1,"DEVOLUCION DUPLICADA",IF(COUNTIFS(SALIDAS!$B$2:$B$1000,B746,SALIDAS!$D$2:$D$1000,D746,SALIDAS!$G$2:$G$1000,"OK*")=0,"NO FIGURA EN SALIDA","OK"))))</f>
        <v/>
      </c>
    </row>
    <row r="747">
      <c r="A747" s="9" t="inlineStr"/>
      <c r="B747" s="2" t="inlineStr"/>
      <c r="C747" s="2" t="inlineStr"/>
      <c r="D747" s="2" t="inlineStr"/>
      <c r="E747" s="2">
        <f>IF(D747="","",IFERROR(XLOOKUP(TRIM(D747),INVENTARIO!$A$2:$A$2000,INVENTARIO!$B$2:$B$2000),"NO ENCONTRADO"))</f>
        <v/>
      </c>
      <c r="F747" s="2">
        <f>IF(D747="","",IF(E747="NO ENCONTRADO","CODIGO NO EXISTE",IF(COUNTIF($D$2:D747,D747)&gt;1,"DEVOLUCION DUPLICADA",IF(COUNTIFS(SALIDAS!$B$2:$B$1000,B747,SALIDAS!$D$2:$D$1000,D747,SALIDAS!$G$2:$G$1000,"OK*")=0,"NO FIGURA EN SALIDA","OK"))))</f>
        <v/>
      </c>
    </row>
    <row r="748">
      <c r="A748" s="9" t="inlineStr"/>
      <c r="B748" s="2" t="inlineStr"/>
      <c r="C748" s="2" t="inlineStr"/>
      <c r="D748" s="2" t="inlineStr"/>
      <c r="E748" s="2">
        <f>IF(D748="","",IFERROR(XLOOKUP(TRIM(D748),INVENTARIO!$A$2:$A$2000,INVENTARIO!$B$2:$B$2000),"NO ENCONTRADO"))</f>
        <v/>
      </c>
      <c r="F748" s="2">
        <f>IF(D748="","",IF(E748="NO ENCONTRADO","CODIGO NO EXISTE",IF(COUNTIF($D$2:D748,D748)&gt;1,"DEVOLUCION DUPLICADA",IF(COUNTIFS(SALIDAS!$B$2:$B$1000,B748,SALIDAS!$D$2:$D$1000,D748,SALIDAS!$G$2:$G$1000,"OK*")=0,"NO FIGURA EN SALIDA","OK"))))</f>
        <v/>
      </c>
    </row>
    <row r="749">
      <c r="A749" s="9" t="inlineStr"/>
      <c r="B749" s="2" t="inlineStr"/>
      <c r="C749" s="2" t="inlineStr"/>
      <c r="D749" s="2" t="inlineStr"/>
      <c r="E749" s="2">
        <f>IF(D749="","",IFERROR(XLOOKUP(TRIM(D749),INVENTARIO!$A$2:$A$2000,INVENTARIO!$B$2:$B$2000),"NO ENCONTRADO"))</f>
        <v/>
      </c>
      <c r="F749" s="2">
        <f>IF(D749="","",IF(E749="NO ENCONTRADO","CODIGO NO EXISTE",IF(COUNTIF($D$2:D749,D749)&gt;1,"DEVOLUCION DUPLICADA",IF(COUNTIFS(SALIDAS!$B$2:$B$1000,B749,SALIDAS!$D$2:$D$1000,D749,SALIDAS!$G$2:$G$1000,"OK*")=0,"NO FIGURA EN SALIDA","OK"))))</f>
        <v/>
      </c>
    </row>
    <row r="750">
      <c r="A750" s="9" t="inlineStr"/>
      <c r="B750" s="2" t="inlineStr"/>
      <c r="C750" s="2" t="inlineStr"/>
      <c r="D750" s="2" t="inlineStr"/>
      <c r="E750" s="2">
        <f>IF(D750="","",IFERROR(XLOOKUP(TRIM(D750),INVENTARIO!$A$2:$A$2000,INVENTARIO!$B$2:$B$2000),"NO ENCONTRADO"))</f>
        <v/>
      </c>
      <c r="F750" s="2">
        <f>IF(D750="","",IF(E750="NO ENCONTRADO","CODIGO NO EXISTE",IF(COUNTIF($D$2:D750,D750)&gt;1,"DEVOLUCION DUPLICADA",IF(COUNTIFS(SALIDAS!$B$2:$B$1000,B750,SALIDAS!$D$2:$D$1000,D750,SALIDAS!$G$2:$G$1000,"OK*")=0,"NO FIGURA EN SALIDA","OK"))))</f>
        <v/>
      </c>
    </row>
    <row r="751">
      <c r="A751" s="9" t="inlineStr"/>
      <c r="B751" s="2" t="inlineStr"/>
      <c r="C751" s="2" t="inlineStr"/>
      <c r="D751" s="2" t="inlineStr"/>
      <c r="E751" s="2">
        <f>IF(D751="","",IFERROR(XLOOKUP(TRIM(D751),INVENTARIO!$A$2:$A$2000,INVENTARIO!$B$2:$B$2000),"NO ENCONTRADO"))</f>
        <v/>
      </c>
      <c r="F751" s="2">
        <f>IF(D751="","",IF(E751="NO ENCONTRADO","CODIGO NO EXISTE",IF(COUNTIF($D$2:D751,D751)&gt;1,"DEVOLUCION DUPLICADA",IF(COUNTIFS(SALIDAS!$B$2:$B$1000,B751,SALIDAS!$D$2:$D$1000,D751,SALIDAS!$G$2:$G$1000,"OK*")=0,"NO FIGURA EN SALIDA","OK"))))</f>
        <v/>
      </c>
    </row>
    <row r="752">
      <c r="A752" s="9" t="inlineStr"/>
      <c r="B752" s="2" t="inlineStr"/>
      <c r="C752" s="2" t="inlineStr"/>
      <c r="D752" s="2" t="inlineStr"/>
      <c r="E752" s="2">
        <f>IF(D752="","",IFERROR(XLOOKUP(TRIM(D752),INVENTARIO!$A$2:$A$2000,INVENTARIO!$B$2:$B$2000),"NO ENCONTRADO"))</f>
        <v/>
      </c>
      <c r="F752" s="2">
        <f>IF(D752="","",IF(E752="NO ENCONTRADO","CODIGO NO EXISTE",IF(COUNTIF($D$2:D752,D752)&gt;1,"DEVOLUCION DUPLICADA",IF(COUNTIFS(SALIDAS!$B$2:$B$1000,B752,SALIDAS!$D$2:$D$1000,D752,SALIDAS!$G$2:$G$1000,"OK*")=0,"NO FIGURA EN SALIDA","OK"))))</f>
        <v/>
      </c>
    </row>
    <row r="753">
      <c r="A753" s="9" t="inlineStr"/>
      <c r="B753" s="2" t="inlineStr"/>
      <c r="C753" s="2" t="inlineStr"/>
      <c r="D753" s="2" t="inlineStr"/>
      <c r="E753" s="2">
        <f>IF(D753="","",IFERROR(XLOOKUP(TRIM(D753),INVENTARIO!$A$2:$A$2000,INVENTARIO!$B$2:$B$2000),"NO ENCONTRADO"))</f>
        <v/>
      </c>
      <c r="F753" s="2">
        <f>IF(D753="","",IF(E753="NO ENCONTRADO","CODIGO NO EXISTE",IF(COUNTIF($D$2:D753,D753)&gt;1,"DEVOLUCION DUPLICADA",IF(COUNTIFS(SALIDAS!$B$2:$B$1000,B753,SALIDAS!$D$2:$D$1000,D753,SALIDAS!$G$2:$G$1000,"OK*")=0,"NO FIGURA EN SALIDA","OK"))))</f>
        <v/>
      </c>
    </row>
    <row r="754">
      <c r="A754" s="9" t="inlineStr"/>
      <c r="B754" s="2" t="inlineStr"/>
      <c r="C754" s="2" t="inlineStr"/>
      <c r="D754" s="2" t="inlineStr"/>
      <c r="E754" s="2">
        <f>IF(D754="","",IFERROR(XLOOKUP(TRIM(D754),INVENTARIO!$A$2:$A$2000,INVENTARIO!$B$2:$B$2000),"NO ENCONTRADO"))</f>
        <v/>
      </c>
      <c r="F754" s="2">
        <f>IF(D754="","",IF(E754="NO ENCONTRADO","CODIGO NO EXISTE",IF(COUNTIF($D$2:D754,D754)&gt;1,"DEVOLUCION DUPLICADA",IF(COUNTIFS(SALIDAS!$B$2:$B$1000,B754,SALIDAS!$D$2:$D$1000,D754,SALIDAS!$G$2:$G$1000,"OK*")=0,"NO FIGURA EN SALIDA","OK"))))</f>
        <v/>
      </c>
    </row>
    <row r="755">
      <c r="A755" s="9" t="inlineStr"/>
      <c r="B755" s="2" t="inlineStr"/>
      <c r="C755" s="2" t="inlineStr"/>
      <c r="D755" s="2" t="inlineStr"/>
      <c r="E755" s="2">
        <f>IF(D755="","",IFERROR(XLOOKUP(TRIM(D755),INVENTARIO!$A$2:$A$2000,INVENTARIO!$B$2:$B$2000),"NO ENCONTRADO"))</f>
        <v/>
      </c>
      <c r="F755" s="2">
        <f>IF(D755="","",IF(E755="NO ENCONTRADO","CODIGO NO EXISTE",IF(COUNTIF($D$2:D755,D755)&gt;1,"DEVOLUCION DUPLICADA",IF(COUNTIFS(SALIDAS!$B$2:$B$1000,B755,SALIDAS!$D$2:$D$1000,D755,SALIDAS!$G$2:$G$1000,"OK*")=0,"NO FIGURA EN SALIDA","OK"))))</f>
        <v/>
      </c>
    </row>
    <row r="756">
      <c r="A756" s="9" t="inlineStr"/>
      <c r="B756" s="2" t="inlineStr"/>
      <c r="C756" s="2" t="inlineStr"/>
      <c r="D756" s="2" t="inlineStr"/>
      <c r="E756" s="2">
        <f>IF(D756="","",IFERROR(XLOOKUP(TRIM(D756),INVENTARIO!$A$2:$A$2000,INVENTARIO!$B$2:$B$2000),"NO ENCONTRADO"))</f>
        <v/>
      </c>
      <c r="F756" s="2">
        <f>IF(D756="","",IF(E756="NO ENCONTRADO","CODIGO NO EXISTE",IF(COUNTIF($D$2:D756,D756)&gt;1,"DEVOLUCION DUPLICADA",IF(COUNTIFS(SALIDAS!$B$2:$B$1000,B756,SALIDAS!$D$2:$D$1000,D756,SALIDAS!$G$2:$G$1000,"OK*")=0,"NO FIGURA EN SALIDA","OK"))))</f>
        <v/>
      </c>
    </row>
    <row r="757">
      <c r="A757" s="9" t="inlineStr"/>
      <c r="B757" s="2" t="inlineStr"/>
      <c r="C757" s="2" t="inlineStr"/>
      <c r="D757" s="2" t="inlineStr"/>
      <c r="E757" s="2">
        <f>IF(D757="","",IFERROR(XLOOKUP(TRIM(D757),INVENTARIO!$A$2:$A$2000,INVENTARIO!$B$2:$B$2000),"NO ENCONTRADO"))</f>
        <v/>
      </c>
      <c r="F757" s="2">
        <f>IF(D757="","",IF(E757="NO ENCONTRADO","CODIGO NO EXISTE",IF(COUNTIF($D$2:D757,D757)&gt;1,"DEVOLUCION DUPLICADA",IF(COUNTIFS(SALIDAS!$B$2:$B$1000,B757,SALIDAS!$D$2:$D$1000,D757,SALIDAS!$G$2:$G$1000,"OK*")=0,"NO FIGURA EN SALIDA","OK"))))</f>
        <v/>
      </c>
    </row>
    <row r="758">
      <c r="A758" s="9" t="inlineStr"/>
      <c r="B758" s="2" t="inlineStr"/>
      <c r="C758" s="2" t="inlineStr"/>
      <c r="D758" s="2" t="inlineStr"/>
      <c r="E758" s="2">
        <f>IF(D758="","",IFERROR(XLOOKUP(TRIM(D758),INVENTARIO!$A$2:$A$2000,INVENTARIO!$B$2:$B$2000),"NO ENCONTRADO"))</f>
        <v/>
      </c>
      <c r="F758" s="2">
        <f>IF(D758="","",IF(E758="NO ENCONTRADO","CODIGO NO EXISTE",IF(COUNTIF($D$2:D758,D758)&gt;1,"DEVOLUCION DUPLICADA",IF(COUNTIFS(SALIDAS!$B$2:$B$1000,B758,SALIDAS!$D$2:$D$1000,D758,SALIDAS!$G$2:$G$1000,"OK*")=0,"NO FIGURA EN SALIDA","OK"))))</f>
        <v/>
      </c>
    </row>
    <row r="759">
      <c r="A759" s="9" t="inlineStr"/>
      <c r="B759" s="2" t="inlineStr"/>
      <c r="C759" s="2" t="inlineStr"/>
      <c r="D759" s="2" t="inlineStr"/>
      <c r="E759" s="2">
        <f>IF(D759="","",IFERROR(XLOOKUP(TRIM(D759),INVENTARIO!$A$2:$A$2000,INVENTARIO!$B$2:$B$2000),"NO ENCONTRADO"))</f>
        <v/>
      </c>
      <c r="F759" s="2">
        <f>IF(D759="","",IF(E759="NO ENCONTRADO","CODIGO NO EXISTE",IF(COUNTIF($D$2:D759,D759)&gt;1,"DEVOLUCION DUPLICADA",IF(COUNTIFS(SALIDAS!$B$2:$B$1000,B759,SALIDAS!$D$2:$D$1000,D759,SALIDAS!$G$2:$G$1000,"OK*")=0,"NO FIGURA EN SALIDA","OK"))))</f>
        <v/>
      </c>
    </row>
    <row r="760">
      <c r="A760" s="9" t="inlineStr"/>
      <c r="B760" s="2" t="inlineStr"/>
      <c r="C760" s="2" t="inlineStr"/>
      <c r="D760" s="2" t="inlineStr"/>
      <c r="E760" s="2">
        <f>IF(D760="","",IFERROR(XLOOKUP(TRIM(D760),INVENTARIO!$A$2:$A$2000,INVENTARIO!$B$2:$B$2000),"NO ENCONTRADO"))</f>
        <v/>
      </c>
      <c r="F760" s="2">
        <f>IF(D760="","",IF(E760="NO ENCONTRADO","CODIGO NO EXISTE",IF(COUNTIF($D$2:D760,D760)&gt;1,"DEVOLUCION DUPLICADA",IF(COUNTIFS(SALIDAS!$B$2:$B$1000,B760,SALIDAS!$D$2:$D$1000,D760,SALIDAS!$G$2:$G$1000,"OK*")=0,"NO FIGURA EN SALIDA","OK"))))</f>
        <v/>
      </c>
    </row>
    <row r="761">
      <c r="A761" s="9" t="inlineStr"/>
      <c r="B761" s="2" t="inlineStr"/>
      <c r="C761" s="2" t="inlineStr"/>
      <c r="D761" s="2" t="inlineStr"/>
      <c r="E761" s="2">
        <f>IF(D761="","",IFERROR(XLOOKUP(TRIM(D761),INVENTARIO!$A$2:$A$2000,INVENTARIO!$B$2:$B$2000),"NO ENCONTRADO"))</f>
        <v/>
      </c>
      <c r="F761" s="2">
        <f>IF(D761="","",IF(E761="NO ENCONTRADO","CODIGO NO EXISTE",IF(COUNTIF($D$2:D761,D761)&gt;1,"DEVOLUCION DUPLICADA",IF(COUNTIFS(SALIDAS!$B$2:$B$1000,B761,SALIDAS!$D$2:$D$1000,D761,SALIDAS!$G$2:$G$1000,"OK*")=0,"NO FIGURA EN SALIDA","OK"))))</f>
        <v/>
      </c>
    </row>
    <row r="762">
      <c r="A762" s="9" t="inlineStr"/>
      <c r="B762" s="2" t="inlineStr"/>
      <c r="C762" s="2" t="inlineStr"/>
      <c r="D762" s="2" t="inlineStr"/>
      <c r="E762" s="2">
        <f>IF(D762="","",IFERROR(XLOOKUP(TRIM(D762),INVENTARIO!$A$2:$A$2000,INVENTARIO!$B$2:$B$2000),"NO ENCONTRADO"))</f>
        <v/>
      </c>
      <c r="F762" s="2">
        <f>IF(D762="","",IF(E762="NO ENCONTRADO","CODIGO NO EXISTE",IF(COUNTIF($D$2:D762,D762)&gt;1,"DEVOLUCION DUPLICADA",IF(COUNTIFS(SALIDAS!$B$2:$B$1000,B762,SALIDAS!$D$2:$D$1000,D762,SALIDAS!$G$2:$G$1000,"OK*")=0,"NO FIGURA EN SALIDA","OK"))))</f>
        <v/>
      </c>
    </row>
    <row r="763">
      <c r="A763" s="9" t="inlineStr"/>
      <c r="B763" s="2" t="inlineStr"/>
      <c r="C763" s="2" t="inlineStr"/>
      <c r="D763" s="2" t="inlineStr"/>
      <c r="E763" s="2">
        <f>IF(D763="","",IFERROR(XLOOKUP(TRIM(D763),INVENTARIO!$A$2:$A$2000,INVENTARIO!$B$2:$B$2000),"NO ENCONTRADO"))</f>
        <v/>
      </c>
      <c r="F763" s="2">
        <f>IF(D763="","",IF(E763="NO ENCONTRADO","CODIGO NO EXISTE",IF(COUNTIF($D$2:D763,D763)&gt;1,"DEVOLUCION DUPLICADA",IF(COUNTIFS(SALIDAS!$B$2:$B$1000,B763,SALIDAS!$D$2:$D$1000,D763,SALIDAS!$G$2:$G$1000,"OK*")=0,"NO FIGURA EN SALIDA","OK"))))</f>
        <v/>
      </c>
    </row>
    <row r="764">
      <c r="A764" s="9" t="inlineStr"/>
      <c r="B764" s="2" t="inlineStr"/>
      <c r="C764" s="2" t="inlineStr"/>
      <c r="D764" s="2" t="inlineStr"/>
      <c r="E764" s="2">
        <f>IF(D764="","",IFERROR(XLOOKUP(TRIM(D764),INVENTARIO!$A$2:$A$2000,INVENTARIO!$B$2:$B$2000),"NO ENCONTRADO"))</f>
        <v/>
      </c>
      <c r="F764" s="2">
        <f>IF(D764="","",IF(E764="NO ENCONTRADO","CODIGO NO EXISTE",IF(COUNTIF($D$2:D764,D764)&gt;1,"DEVOLUCION DUPLICADA",IF(COUNTIFS(SALIDAS!$B$2:$B$1000,B764,SALIDAS!$D$2:$D$1000,D764,SALIDAS!$G$2:$G$1000,"OK*")=0,"NO FIGURA EN SALIDA","OK"))))</f>
        <v/>
      </c>
    </row>
    <row r="765">
      <c r="A765" s="9" t="inlineStr"/>
      <c r="B765" s="2" t="inlineStr"/>
      <c r="C765" s="2" t="inlineStr"/>
      <c r="D765" s="2" t="inlineStr"/>
      <c r="E765" s="2">
        <f>IF(D765="","",IFERROR(XLOOKUP(TRIM(D765),INVENTARIO!$A$2:$A$2000,INVENTARIO!$B$2:$B$2000),"NO ENCONTRADO"))</f>
        <v/>
      </c>
      <c r="F765" s="2">
        <f>IF(D765="","",IF(E765="NO ENCONTRADO","CODIGO NO EXISTE",IF(COUNTIF($D$2:D765,D765)&gt;1,"DEVOLUCION DUPLICADA",IF(COUNTIFS(SALIDAS!$B$2:$B$1000,B765,SALIDAS!$D$2:$D$1000,D765,SALIDAS!$G$2:$G$1000,"OK*")=0,"NO FIGURA EN SALIDA","OK"))))</f>
        <v/>
      </c>
    </row>
    <row r="766">
      <c r="A766" s="9" t="inlineStr"/>
      <c r="B766" s="2" t="inlineStr"/>
      <c r="C766" s="2" t="inlineStr"/>
      <c r="D766" s="2" t="inlineStr"/>
      <c r="E766" s="2">
        <f>IF(D766="","",IFERROR(XLOOKUP(TRIM(D766),INVENTARIO!$A$2:$A$2000,INVENTARIO!$B$2:$B$2000),"NO ENCONTRADO"))</f>
        <v/>
      </c>
      <c r="F766" s="2">
        <f>IF(D766="","",IF(E766="NO ENCONTRADO","CODIGO NO EXISTE",IF(COUNTIF($D$2:D766,D766)&gt;1,"DEVOLUCION DUPLICADA",IF(COUNTIFS(SALIDAS!$B$2:$B$1000,B766,SALIDAS!$D$2:$D$1000,D766,SALIDAS!$G$2:$G$1000,"OK*")=0,"NO FIGURA EN SALIDA","OK"))))</f>
        <v/>
      </c>
    </row>
    <row r="767">
      <c r="A767" s="9" t="inlineStr"/>
      <c r="B767" s="2" t="inlineStr"/>
      <c r="C767" s="2" t="inlineStr"/>
      <c r="D767" s="2" t="inlineStr"/>
      <c r="E767" s="2">
        <f>IF(D767="","",IFERROR(XLOOKUP(TRIM(D767),INVENTARIO!$A$2:$A$2000,INVENTARIO!$B$2:$B$2000),"NO ENCONTRADO"))</f>
        <v/>
      </c>
      <c r="F767" s="2">
        <f>IF(D767="","",IF(E767="NO ENCONTRADO","CODIGO NO EXISTE",IF(COUNTIF($D$2:D767,D767)&gt;1,"DEVOLUCION DUPLICADA",IF(COUNTIFS(SALIDAS!$B$2:$B$1000,B767,SALIDAS!$D$2:$D$1000,D767,SALIDAS!$G$2:$G$1000,"OK*")=0,"NO FIGURA EN SALIDA","OK"))))</f>
        <v/>
      </c>
    </row>
    <row r="768">
      <c r="A768" s="9" t="inlineStr"/>
      <c r="B768" s="2" t="inlineStr"/>
      <c r="C768" s="2" t="inlineStr"/>
      <c r="D768" s="2" t="inlineStr"/>
      <c r="E768" s="2">
        <f>IF(D768="","",IFERROR(XLOOKUP(TRIM(D768),INVENTARIO!$A$2:$A$2000,INVENTARIO!$B$2:$B$2000),"NO ENCONTRADO"))</f>
        <v/>
      </c>
      <c r="F768" s="2">
        <f>IF(D768="","",IF(E768="NO ENCONTRADO","CODIGO NO EXISTE",IF(COUNTIF($D$2:D768,D768)&gt;1,"DEVOLUCION DUPLICADA",IF(COUNTIFS(SALIDAS!$B$2:$B$1000,B768,SALIDAS!$D$2:$D$1000,D768,SALIDAS!$G$2:$G$1000,"OK*")=0,"NO FIGURA EN SALIDA","OK"))))</f>
        <v/>
      </c>
    </row>
    <row r="769">
      <c r="A769" s="9" t="inlineStr"/>
      <c r="B769" s="2" t="inlineStr"/>
      <c r="C769" s="2" t="inlineStr"/>
      <c r="D769" s="2" t="inlineStr"/>
      <c r="E769" s="2">
        <f>IF(D769="","",IFERROR(XLOOKUP(TRIM(D769),INVENTARIO!$A$2:$A$2000,INVENTARIO!$B$2:$B$2000),"NO ENCONTRADO"))</f>
        <v/>
      </c>
      <c r="F769" s="2">
        <f>IF(D769="","",IF(E769="NO ENCONTRADO","CODIGO NO EXISTE",IF(COUNTIF($D$2:D769,D769)&gt;1,"DEVOLUCION DUPLICADA",IF(COUNTIFS(SALIDAS!$B$2:$B$1000,B769,SALIDAS!$D$2:$D$1000,D769,SALIDAS!$G$2:$G$1000,"OK*")=0,"NO FIGURA EN SALIDA","OK"))))</f>
        <v/>
      </c>
    </row>
    <row r="770">
      <c r="A770" s="9" t="inlineStr"/>
      <c r="B770" s="2" t="inlineStr"/>
      <c r="C770" s="2" t="inlineStr"/>
      <c r="D770" s="2" t="inlineStr"/>
      <c r="E770" s="2">
        <f>IF(D770="","",IFERROR(XLOOKUP(TRIM(D770),INVENTARIO!$A$2:$A$2000,INVENTARIO!$B$2:$B$2000),"NO ENCONTRADO"))</f>
        <v/>
      </c>
      <c r="F770" s="2">
        <f>IF(D770="","",IF(E770="NO ENCONTRADO","CODIGO NO EXISTE",IF(COUNTIF($D$2:D770,D770)&gt;1,"DEVOLUCION DUPLICADA",IF(COUNTIFS(SALIDAS!$B$2:$B$1000,B770,SALIDAS!$D$2:$D$1000,D770,SALIDAS!$G$2:$G$1000,"OK*")=0,"NO FIGURA EN SALIDA","OK"))))</f>
        <v/>
      </c>
    </row>
    <row r="771">
      <c r="A771" s="9" t="inlineStr"/>
      <c r="B771" s="2" t="inlineStr"/>
      <c r="C771" s="2" t="inlineStr"/>
      <c r="D771" s="2" t="inlineStr"/>
      <c r="E771" s="2">
        <f>IF(D771="","",IFERROR(XLOOKUP(TRIM(D771),INVENTARIO!$A$2:$A$2000,INVENTARIO!$B$2:$B$2000),"NO ENCONTRADO"))</f>
        <v/>
      </c>
      <c r="F771" s="2">
        <f>IF(D771="","",IF(E771="NO ENCONTRADO","CODIGO NO EXISTE",IF(COUNTIF($D$2:D771,D771)&gt;1,"DEVOLUCION DUPLICADA",IF(COUNTIFS(SALIDAS!$B$2:$B$1000,B771,SALIDAS!$D$2:$D$1000,D771,SALIDAS!$G$2:$G$1000,"OK*")=0,"NO FIGURA EN SALIDA","OK"))))</f>
        <v/>
      </c>
    </row>
    <row r="772">
      <c r="A772" s="9" t="inlineStr"/>
      <c r="B772" s="2" t="inlineStr"/>
      <c r="C772" s="2" t="inlineStr"/>
      <c r="D772" s="2" t="inlineStr"/>
      <c r="E772" s="2">
        <f>IF(D772="","",IFERROR(XLOOKUP(TRIM(D772),INVENTARIO!$A$2:$A$2000,INVENTARIO!$B$2:$B$2000),"NO ENCONTRADO"))</f>
        <v/>
      </c>
      <c r="F772" s="2">
        <f>IF(D772="","",IF(E772="NO ENCONTRADO","CODIGO NO EXISTE",IF(COUNTIF($D$2:D772,D772)&gt;1,"DEVOLUCION DUPLICADA",IF(COUNTIFS(SALIDAS!$B$2:$B$1000,B772,SALIDAS!$D$2:$D$1000,D772,SALIDAS!$G$2:$G$1000,"OK*")=0,"NO FIGURA EN SALIDA","OK"))))</f>
        <v/>
      </c>
    </row>
    <row r="773">
      <c r="A773" s="9" t="inlineStr"/>
      <c r="B773" s="2" t="inlineStr"/>
      <c r="C773" s="2" t="inlineStr"/>
      <c r="D773" s="2" t="inlineStr"/>
      <c r="E773" s="2">
        <f>IF(D773="","",IFERROR(XLOOKUP(TRIM(D773),INVENTARIO!$A$2:$A$2000,INVENTARIO!$B$2:$B$2000),"NO ENCONTRADO"))</f>
        <v/>
      </c>
      <c r="F773" s="2">
        <f>IF(D773="","",IF(E773="NO ENCONTRADO","CODIGO NO EXISTE",IF(COUNTIF($D$2:D773,D773)&gt;1,"DEVOLUCION DUPLICADA",IF(COUNTIFS(SALIDAS!$B$2:$B$1000,B773,SALIDAS!$D$2:$D$1000,D773,SALIDAS!$G$2:$G$1000,"OK*")=0,"NO FIGURA EN SALIDA","OK"))))</f>
        <v/>
      </c>
    </row>
    <row r="774">
      <c r="A774" s="9" t="inlineStr"/>
      <c r="B774" s="2" t="inlineStr"/>
      <c r="C774" s="2" t="inlineStr"/>
      <c r="D774" s="2" t="inlineStr"/>
      <c r="E774" s="2">
        <f>IF(D774="","",IFERROR(XLOOKUP(TRIM(D774),INVENTARIO!$A$2:$A$2000,INVENTARIO!$B$2:$B$2000),"NO ENCONTRADO"))</f>
        <v/>
      </c>
      <c r="F774" s="2">
        <f>IF(D774="","",IF(E774="NO ENCONTRADO","CODIGO NO EXISTE",IF(COUNTIF($D$2:D774,D774)&gt;1,"DEVOLUCION DUPLICADA",IF(COUNTIFS(SALIDAS!$B$2:$B$1000,B774,SALIDAS!$D$2:$D$1000,D774,SALIDAS!$G$2:$G$1000,"OK*")=0,"NO FIGURA EN SALIDA","OK"))))</f>
        <v/>
      </c>
    </row>
    <row r="775">
      <c r="A775" s="9" t="inlineStr"/>
      <c r="B775" s="2" t="inlineStr"/>
      <c r="C775" s="2" t="inlineStr"/>
      <c r="D775" s="2" t="inlineStr"/>
      <c r="E775" s="2">
        <f>IF(D775="","",IFERROR(XLOOKUP(TRIM(D775),INVENTARIO!$A$2:$A$2000,INVENTARIO!$B$2:$B$2000),"NO ENCONTRADO"))</f>
        <v/>
      </c>
      <c r="F775" s="2">
        <f>IF(D775="","",IF(E775="NO ENCONTRADO","CODIGO NO EXISTE",IF(COUNTIF($D$2:D775,D775)&gt;1,"DEVOLUCION DUPLICADA",IF(COUNTIFS(SALIDAS!$B$2:$B$1000,B775,SALIDAS!$D$2:$D$1000,D775,SALIDAS!$G$2:$G$1000,"OK*")=0,"NO FIGURA EN SALIDA","OK"))))</f>
        <v/>
      </c>
    </row>
    <row r="776">
      <c r="A776" s="9" t="inlineStr"/>
      <c r="B776" s="2" t="inlineStr"/>
      <c r="C776" s="2" t="inlineStr"/>
      <c r="D776" s="2" t="inlineStr"/>
      <c r="E776" s="2">
        <f>IF(D776="","",IFERROR(XLOOKUP(TRIM(D776),INVENTARIO!$A$2:$A$2000,INVENTARIO!$B$2:$B$2000),"NO ENCONTRADO"))</f>
        <v/>
      </c>
      <c r="F776" s="2">
        <f>IF(D776="","",IF(E776="NO ENCONTRADO","CODIGO NO EXISTE",IF(COUNTIF($D$2:D776,D776)&gt;1,"DEVOLUCION DUPLICADA",IF(COUNTIFS(SALIDAS!$B$2:$B$1000,B776,SALIDAS!$D$2:$D$1000,D776,SALIDAS!$G$2:$G$1000,"OK*")=0,"NO FIGURA EN SALIDA","OK"))))</f>
        <v/>
      </c>
    </row>
    <row r="777">
      <c r="A777" s="9" t="inlineStr"/>
      <c r="B777" s="2" t="inlineStr"/>
      <c r="C777" s="2" t="inlineStr"/>
      <c r="D777" s="2" t="inlineStr"/>
      <c r="E777" s="2">
        <f>IF(D777="","",IFERROR(XLOOKUP(TRIM(D777),INVENTARIO!$A$2:$A$2000,INVENTARIO!$B$2:$B$2000),"NO ENCONTRADO"))</f>
        <v/>
      </c>
      <c r="F777" s="2">
        <f>IF(D777="","",IF(E777="NO ENCONTRADO","CODIGO NO EXISTE",IF(COUNTIF($D$2:D777,D777)&gt;1,"DEVOLUCION DUPLICADA",IF(COUNTIFS(SALIDAS!$B$2:$B$1000,B777,SALIDAS!$D$2:$D$1000,D777,SALIDAS!$G$2:$G$1000,"OK*")=0,"NO FIGURA EN SALIDA","OK"))))</f>
        <v/>
      </c>
    </row>
    <row r="778">
      <c r="A778" s="9" t="inlineStr"/>
      <c r="B778" s="2" t="inlineStr"/>
      <c r="C778" s="2" t="inlineStr"/>
      <c r="D778" s="2" t="inlineStr"/>
      <c r="E778" s="2">
        <f>IF(D778="","",IFERROR(XLOOKUP(TRIM(D778),INVENTARIO!$A$2:$A$2000,INVENTARIO!$B$2:$B$2000),"NO ENCONTRADO"))</f>
        <v/>
      </c>
      <c r="F778" s="2">
        <f>IF(D778="","",IF(E778="NO ENCONTRADO","CODIGO NO EXISTE",IF(COUNTIF($D$2:D778,D778)&gt;1,"DEVOLUCION DUPLICADA",IF(COUNTIFS(SALIDAS!$B$2:$B$1000,B778,SALIDAS!$D$2:$D$1000,D778,SALIDAS!$G$2:$G$1000,"OK*")=0,"NO FIGURA EN SALIDA","OK"))))</f>
        <v/>
      </c>
    </row>
    <row r="779">
      <c r="A779" s="9" t="inlineStr"/>
      <c r="B779" s="2" t="inlineStr"/>
      <c r="C779" s="2" t="inlineStr"/>
      <c r="D779" s="2" t="inlineStr"/>
      <c r="E779" s="2">
        <f>IF(D779="","",IFERROR(XLOOKUP(TRIM(D779),INVENTARIO!$A$2:$A$2000,INVENTARIO!$B$2:$B$2000),"NO ENCONTRADO"))</f>
        <v/>
      </c>
      <c r="F779" s="2">
        <f>IF(D779="","",IF(E779="NO ENCONTRADO","CODIGO NO EXISTE",IF(COUNTIF($D$2:D779,D779)&gt;1,"DEVOLUCION DUPLICADA",IF(COUNTIFS(SALIDAS!$B$2:$B$1000,B779,SALIDAS!$D$2:$D$1000,D779,SALIDAS!$G$2:$G$1000,"OK*")=0,"NO FIGURA EN SALIDA","OK"))))</f>
        <v/>
      </c>
    </row>
    <row r="780">
      <c r="A780" s="9" t="inlineStr"/>
      <c r="B780" s="2" t="inlineStr"/>
      <c r="C780" s="2" t="inlineStr"/>
      <c r="D780" s="2" t="inlineStr"/>
      <c r="E780" s="2">
        <f>IF(D780="","",IFERROR(XLOOKUP(TRIM(D780),INVENTARIO!$A$2:$A$2000,INVENTARIO!$B$2:$B$2000),"NO ENCONTRADO"))</f>
        <v/>
      </c>
      <c r="F780" s="2">
        <f>IF(D780="","",IF(E780="NO ENCONTRADO","CODIGO NO EXISTE",IF(COUNTIF($D$2:D780,D780)&gt;1,"DEVOLUCION DUPLICADA",IF(COUNTIFS(SALIDAS!$B$2:$B$1000,B780,SALIDAS!$D$2:$D$1000,D780,SALIDAS!$G$2:$G$1000,"OK*")=0,"NO FIGURA EN SALIDA","OK"))))</f>
        <v/>
      </c>
    </row>
    <row r="781">
      <c r="A781" s="9" t="inlineStr"/>
      <c r="B781" s="2" t="inlineStr"/>
      <c r="C781" s="2" t="inlineStr"/>
      <c r="D781" s="2" t="inlineStr"/>
      <c r="E781" s="2">
        <f>IF(D781="","",IFERROR(XLOOKUP(TRIM(D781),INVENTARIO!$A$2:$A$2000,INVENTARIO!$B$2:$B$2000),"NO ENCONTRADO"))</f>
        <v/>
      </c>
      <c r="F781" s="2">
        <f>IF(D781="","",IF(E781="NO ENCONTRADO","CODIGO NO EXISTE",IF(COUNTIF($D$2:D781,D781)&gt;1,"DEVOLUCION DUPLICADA",IF(COUNTIFS(SALIDAS!$B$2:$B$1000,B781,SALIDAS!$D$2:$D$1000,D781,SALIDAS!$G$2:$G$1000,"OK*")=0,"NO FIGURA EN SALIDA","OK"))))</f>
        <v/>
      </c>
    </row>
    <row r="782">
      <c r="A782" s="9" t="inlineStr"/>
      <c r="B782" s="2" t="inlineStr"/>
      <c r="C782" s="2" t="inlineStr"/>
      <c r="D782" s="2" t="inlineStr"/>
      <c r="E782" s="2">
        <f>IF(D782="","",IFERROR(XLOOKUP(TRIM(D782),INVENTARIO!$A$2:$A$2000,INVENTARIO!$B$2:$B$2000),"NO ENCONTRADO"))</f>
        <v/>
      </c>
      <c r="F782" s="2">
        <f>IF(D782="","",IF(E782="NO ENCONTRADO","CODIGO NO EXISTE",IF(COUNTIF($D$2:D782,D782)&gt;1,"DEVOLUCION DUPLICADA",IF(COUNTIFS(SALIDAS!$B$2:$B$1000,B782,SALIDAS!$D$2:$D$1000,D782,SALIDAS!$G$2:$G$1000,"OK*")=0,"NO FIGURA EN SALIDA","OK"))))</f>
        <v/>
      </c>
    </row>
    <row r="783">
      <c r="A783" s="9" t="inlineStr"/>
      <c r="B783" s="2" t="inlineStr"/>
      <c r="C783" s="2" t="inlineStr"/>
      <c r="D783" s="2" t="inlineStr"/>
      <c r="E783" s="2">
        <f>IF(D783="","",IFERROR(XLOOKUP(TRIM(D783),INVENTARIO!$A$2:$A$2000,INVENTARIO!$B$2:$B$2000),"NO ENCONTRADO"))</f>
        <v/>
      </c>
      <c r="F783" s="2">
        <f>IF(D783="","",IF(E783="NO ENCONTRADO","CODIGO NO EXISTE",IF(COUNTIF($D$2:D783,D783)&gt;1,"DEVOLUCION DUPLICADA",IF(COUNTIFS(SALIDAS!$B$2:$B$1000,B783,SALIDAS!$D$2:$D$1000,D783,SALIDAS!$G$2:$G$1000,"OK*")=0,"NO FIGURA EN SALIDA","OK"))))</f>
        <v/>
      </c>
    </row>
    <row r="784">
      <c r="A784" s="9" t="inlineStr"/>
      <c r="B784" s="2" t="inlineStr"/>
      <c r="C784" s="2" t="inlineStr"/>
      <c r="D784" s="2" t="inlineStr"/>
      <c r="E784" s="2">
        <f>IF(D784="","",IFERROR(XLOOKUP(TRIM(D784),INVENTARIO!$A$2:$A$2000,INVENTARIO!$B$2:$B$2000),"NO ENCONTRADO"))</f>
        <v/>
      </c>
      <c r="F784" s="2">
        <f>IF(D784="","",IF(E784="NO ENCONTRADO","CODIGO NO EXISTE",IF(COUNTIF($D$2:D784,D784)&gt;1,"DEVOLUCION DUPLICADA",IF(COUNTIFS(SALIDAS!$B$2:$B$1000,B784,SALIDAS!$D$2:$D$1000,D784,SALIDAS!$G$2:$G$1000,"OK*")=0,"NO FIGURA EN SALIDA","OK"))))</f>
        <v/>
      </c>
    </row>
    <row r="785">
      <c r="A785" s="9" t="inlineStr"/>
      <c r="B785" s="2" t="inlineStr"/>
      <c r="C785" s="2" t="inlineStr"/>
      <c r="D785" s="2" t="inlineStr"/>
      <c r="E785" s="2">
        <f>IF(D785="","",IFERROR(XLOOKUP(TRIM(D785),INVENTARIO!$A$2:$A$2000,INVENTARIO!$B$2:$B$2000),"NO ENCONTRADO"))</f>
        <v/>
      </c>
      <c r="F785" s="2">
        <f>IF(D785="","",IF(E785="NO ENCONTRADO","CODIGO NO EXISTE",IF(COUNTIF($D$2:D785,D785)&gt;1,"DEVOLUCION DUPLICADA",IF(COUNTIFS(SALIDAS!$B$2:$B$1000,B785,SALIDAS!$D$2:$D$1000,D785,SALIDAS!$G$2:$G$1000,"OK*")=0,"NO FIGURA EN SALIDA","OK"))))</f>
        <v/>
      </c>
    </row>
    <row r="786">
      <c r="A786" s="9" t="inlineStr"/>
      <c r="B786" s="2" t="inlineStr"/>
      <c r="C786" s="2" t="inlineStr"/>
      <c r="D786" s="2" t="inlineStr"/>
      <c r="E786" s="2">
        <f>IF(D786="","",IFERROR(XLOOKUP(TRIM(D786),INVENTARIO!$A$2:$A$2000,INVENTARIO!$B$2:$B$2000),"NO ENCONTRADO"))</f>
        <v/>
      </c>
      <c r="F786" s="2">
        <f>IF(D786="","",IF(E786="NO ENCONTRADO","CODIGO NO EXISTE",IF(COUNTIF($D$2:D786,D786)&gt;1,"DEVOLUCION DUPLICADA",IF(COUNTIFS(SALIDAS!$B$2:$B$1000,B786,SALIDAS!$D$2:$D$1000,D786,SALIDAS!$G$2:$G$1000,"OK*")=0,"NO FIGURA EN SALIDA","OK"))))</f>
        <v/>
      </c>
    </row>
    <row r="787">
      <c r="A787" s="9" t="inlineStr"/>
      <c r="B787" s="2" t="inlineStr"/>
      <c r="C787" s="2" t="inlineStr"/>
      <c r="D787" s="2" t="inlineStr"/>
      <c r="E787" s="2">
        <f>IF(D787="","",IFERROR(XLOOKUP(TRIM(D787),INVENTARIO!$A$2:$A$2000,INVENTARIO!$B$2:$B$2000),"NO ENCONTRADO"))</f>
        <v/>
      </c>
      <c r="F787" s="2">
        <f>IF(D787="","",IF(E787="NO ENCONTRADO","CODIGO NO EXISTE",IF(COUNTIF($D$2:D787,D787)&gt;1,"DEVOLUCION DUPLICADA",IF(COUNTIFS(SALIDAS!$B$2:$B$1000,B787,SALIDAS!$D$2:$D$1000,D787,SALIDAS!$G$2:$G$1000,"OK*")=0,"NO FIGURA EN SALIDA","OK"))))</f>
        <v/>
      </c>
    </row>
    <row r="788">
      <c r="A788" s="9" t="inlineStr"/>
      <c r="B788" s="2" t="inlineStr"/>
      <c r="C788" s="2" t="inlineStr"/>
      <c r="D788" s="2" t="inlineStr"/>
      <c r="E788" s="2">
        <f>IF(D788="","",IFERROR(XLOOKUP(TRIM(D788),INVENTARIO!$A$2:$A$2000,INVENTARIO!$B$2:$B$2000),"NO ENCONTRADO"))</f>
        <v/>
      </c>
      <c r="F788" s="2">
        <f>IF(D788="","",IF(E788="NO ENCONTRADO","CODIGO NO EXISTE",IF(COUNTIF($D$2:D788,D788)&gt;1,"DEVOLUCION DUPLICADA",IF(COUNTIFS(SALIDAS!$B$2:$B$1000,B788,SALIDAS!$D$2:$D$1000,D788,SALIDAS!$G$2:$G$1000,"OK*")=0,"NO FIGURA EN SALIDA","OK"))))</f>
        <v/>
      </c>
    </row>
    <row r="789">
      <c r="A789" s="9" t="inlineStr"/>
      <c r="B789" s="2" t="inlineStr"/>
      <c r="C789" s="2" t="inlineStr"/>
      <c r="D789" s="2" t="inlineStr"/>
      <c r="E789" s="2">
        <f>IF(D789="","",IFERROR(XLOOKUP(TRIM(D789),INVENTARIO!$A$2:$A$2000,INVENTARIO!$B$2:$B$2000),"NO ENCONTRADO"))</f>
        <v/>
      </c>
      <c r="F789" s="2">
        <f>IF(D789="","",IF(E789="NO ENCONTRADO","CODIGO NO EXISTE",IF(COUNTIF($D$2:D789,D789)&gt;1,"DEVOLUCION DUPLICADA",IF(COUNTIFS(SALIDAS!$B$2:$B$1000,B789,SALIDAS!$D$2:$D$1000,D789,SALIDAS!$G$2:$G$1000,"OK*")=0,"NO FIGURA EN SALIDA","OK"))))</f>
        <v/>
      </c>
    </row>
    <row r="790">
      <c r="A790" s="9" t="inlineStr"/>
      <c r="B790" s="2" t="inlineStr"/>
      <c r="C790" s="2" t="inlineStr"/>
      <c r="D790" s="2" t="inlineStr"/>
      <c r="E790" s="2">
        <f>IF(D790="","",IFERROR(XLOOKUP(TRIM(D790),INVENTARIO!$A$2:$A$2000,INVENTARIO!$B$2:$B$2000),"NO ENCONTRADO"))</f>
        <v/>
      </c>
      <c r="F790" s="2">
        <f>IF(D790="","",IF(E790="NO ENCONTRADO","CODIGO NO EXISTE",IF(COUNTIF($D$2:D790,D790)&gt;1,"DEVOLUCION DUPLICADA",IF(COUNTIFS(SALIDAS!$B$2:$B$1000,B790,SALIDAS!$D$2:$D$1000,D790,SALIDAS!$G$2:$G$1000,"OK*")=0,"NO FIGURA EN SALIDA","OK"))))</f>
        <v/>
      </c>
    </row>
    <row r="791">
      <c r="A791" s="9" t="inlineStr"/>
      <c r="B791" s="2" t="inlineStr"/>
      <c r="C791" s="2" t="inlineStr"/>
      <c r="D791" s="2" t="inlineStr"/>
      <c r="E791" s="2">
        <f>IF(D791="","",IFERROR(XLOOKUP(TRIM(D791),INVENTARIO!$A$2:$A$2000,INVENTARIO!$B$2:$B$2000),"NO ENCONTRADO"))</f>
        <v/>
      </c>
      <c r="F791" s="2">
        <f>IF(D791="","",IF(E791="NO ENCONTRADO","CODIGO NO EXISTE",IF(COUNTIF($D$2:D791,D791)&gt;1,"DEVOLUCION DUPLICADA",IF(COUNTIFS(SALIDAS!$B$2:$B$1000,B791,SALIDAS!$D$2:$D$1000,D791,SALIDAS!$G$2:$G$1000,"OK*")=0,"NO FIGURA EN SALIDA","OK"))))</f>
        <v/>
      </c>
    </row>
    <row r="792">
      <c r="A792" s="9" t="inlineStr"/>
      <c r="B792" s="2" t="inlineStr"/>
      <c r="C792" s="2" t="inlineStr"/>
      <c r="D792" s="2" t="inlineStr"/>
      <c r="E792" s="2">
        <f>IF(D792="","",IFERROR(XLOOKUP(TRIM(D792),INVENTARIO!$A$2:$A$2000,INVENTARIO!$B$2:$B$2000),"NO ENCONTRADO"))</f>
        <v/>
      </c>
      <c r="F792" s="2">
        <f>IF(D792="","",IF(E792="NO ENCONTRADO","CODIGO NO EXISTE",IF(COUNTIF($D$2:D792,D792)&gt;1,"DEVOLUCION DUPLICADA",IF(COUNTIFS(SALIDAS!$B$2:$B$1000,B792,SALIDAS!$D$2:$D$1000,D792,SALIDAS!$G$2:$G$1000,"OK*")=0,"NO FIGURA EN SALIDA","OK"))))</f>
        <v/>
      </c>
    </row>
    <row r="793">
      <c r="A793" s="9" t="inlineStr"/>
      <c r="B793" s="2" t="inlineStr"/>
      <c r="C793" s="2" t="inlineStr"/>
      <c r="D793" s="2" t="inlineStr"/>
      <c r="E793" s="2">
        <f>IF(D793="","",IFERROR(XLOOKUP(TRIM(D793),INVENTARIO!$A$2:$A$2000,INVENTARIO!$B$2:$B$2000),"NO ENCONTRADO"))</f>
        <v/>
      </c>
      <c r="F793" s="2">
        <f>IF(D793="","",IF(E793="NO ENCONTRADO","CODIGO NO EXISTE",IF(COUNTIF($D$2:D793,D793)&gt;1,"DEVOLUCION DUPLICADA",IF(COUNTIFS(SALIDAS!$B$2:$B$1000,B793,SALIDAS!$D$2:$D$1000,D793,SALIDAS!$G$2:$G$1000,"OK*")=0,"NO FIGURA EN SALIDA","OK"))))</f>
        <v/>
      </c>
    </row>
    <row r="794">
      <c r="A794" s="9" t="inlineStr"/>
      <c r="B794" s="2" t="inlineStr"/>
      <c r="C794" s="2" t="inlineStr"/>
      <c r="D794" s="2" t="inlineStr"/>
      <c r="E794" s="2">
        <f>IF(D794="","",IFERROR(XLOOKUP(TRIM(D794),INVENTARIO!$A$2:$A$2000,INVENTARIO!$B$2:$B$2000),"NO ENCONTRADO"))</f>
        <v/>
      </c>
      <c r="F794" s="2">
        <f>IF(D794="","",IF(E794="NO ENCONTRADO","CODIGO NO EXISTE",IF(COUNTIF($D$2:D794,D794)&gt;1,"DEVOLUCION DUPLICADA",IF(COUNTIFS(SALIDAS!$B$2:$B$1000,B794,SALIDAS!$D$2:$D$1000,D794,SALIDAS!$G$2:$G$1000,"OK*")=0,"NO FIGURA EN SALIDA","OK"))))</f>
        <v/>
      </c>
    </row>
    <row r="795">
      <c r="A795" s="9" t="inlineStr"/>
      <c r="B795" s="2" t="inlineStr"/>
      <c r="C795" s="2" t="inlineStr"/>
      <c r="D795" s="2" t="inlineStr"/>
      <c r="E795" s="2">
        <f>IF(D795="","",IFERROR(XLOOKUP(TRIM(D795),INVENTARIO!$A$2:$A$2000,INVENTARIO!$B$2:$B$2000),"NO ENCONTRADO"))</f>
        <v/>
      </c>
      <c r="F795" s="2">
        <f>IF(D795="","",IF(E795="NO ENCONTRADO","CODIGO NO EXISTE",IF(COUNTIF($D$2:D795,D795)&gt;1,"DEVOLUCION DUPLICADA",IF(COUNTIFS(SALIDAS!$B$2:$B$1000,B795,SALIDAS!$D$2:$D$1000,D795,SALIDAS!$G$2:$G$1000,"OK*")=0,"NO FIGURA EN SALIDA","OK"))))</f>
        <v/>
      </c>
    </row>
    <row r="796">
      <c r="A796" s="9" t="inlineStr"/>
      <c r="B796" s="2" t="inlineStr"/>
      <c r="C796" s="2" t="inlineStr"/>
      <c r="D796" s="2" t="inlineStr"/>
      <c r="E796" s="2">
        <f>IF(D796="","",IFERROR(XLOOKUP(TRIM(D796),INVENTARIO!$A$2:$A$2000,INVENTARIO!$B$2:$B$2000),"NO ENCONTRADO"))</f>
        <v/>
      </c>
      <c r="F796" s="2">
        <f>IF(D796="","",IF(E796="NO ENCONTRADO","CODIGO NO EXISTE",IF(COUNTIF($D$2:D796,D796)&gt;1,"DEVOLUCION DUPLICADA",IF(COUNTIFS(SALIDAS!$B$2:$B$1000,B796,SALIDAS!$D$2:$D$1000,D796,SALIDAS!$G$2:$G$1000,"OK*")=0,"NO FIGURA EN SALIDA","OK"))))</f>
        <v/>
      </c>
    </row>
    <row r="797">
      <c r="A797" s="9" t="inlineStr"/>
      <c r="B797" s="2" t="inlineStr"/>
      <c r="C797" s="2" t="inlineStr"/>
      <c r="D797" s="2" t="inlineStr"/>
      <c r="E797" s="2">
        <f>IF(D797="","",IFERROR(XLOOKUP(TRIM(D797),INVENTARIO!$A$2:$A$2000,INVENTARIO!$B$2:$B$2000),"NO ENCONTRADO"))</f>
        <v/>
      </c>
      <c r="F797" s="2">
        <f>IF(D797="","",IF(E797="NO ENCONTRADO","CODIGO NO EXISTE",IF(COUNTIF($D$2:D797,D797)&gt;1,"DEVOLUCION DUPLICADA",IF(COUNTIFS(SALIDAS!$B$2:$B$1000,B797,SALIDAS!$D$2:$D$1000,D797,SALIDAS!$G$2:$G$1000,"OK*")=0,"NO FIGURA EN SALIDA","OK"))))</f>
        <v/>
      </c>
    </row>
    <row r="798">
      <c r="A798" s="9" t="inlineStr"/>
      <c r="B798" s="2" t="inlineStr"/>
      <c r="C798" s="2" t="inlineStr"/>
      <c r="D798" s="2" t="inlineStr"/>
      <c r="E798" s="2">
        <f>IF(D798="","",IFERROR(XLOOKUP(TRIM(D798),INVENTARIO!$A$2:$A$2000,INVENTARIO!$B$2:$B$2000),"NO ENCONTRADO"))</f>
        <v/>
      </c>
      <c r="F798" s="2">
        <f>IF(D798="","",IF(E798="NO ENCONTRADO","CODIGO NO EXISTE",IF(COUNTIF($D$2:D798,D798)&gt;1,"DEVOLUCION DUPLICADA",IF(COUNTIFS(SALIDAS!$B$2:$B$1000,B798,SALIDAS!$D$2:$D$1000,D798,SALIDAS!$G$2:$G$1000,"OK*")=0,"NO FIGURA EN SALIDA","OK"))))</f>
        <v/>
      </c>
    </row>
    <row r="799">
      <c r="A799" s="9" t="inlineStr"/>
      <c r="B799" s="2" t="inlineStr"/>
      <c r="C799" s="2" t="inlineStr"/>
      <c r="D799" s="2" t="inlineStr"/>
      <c r="E799" s="2">
        <f>IF(D799="","",IFERROR(XLOOKUP(TRIM(D799),INVENTARIO!$A$2:$A$2000,INVENTARIO!$B$2:$B$2000),"NO ENCONTRADO"))</f>
        <v/>
      </c>
      <c r="F799" s="2">
        <f>IF(D799="","",IF(E799="NO ENCONTRADO","CODIGO NO EXISTE",IF(COUNTIF($D$2:D799,D799)&gt;1,"DEVOLUCION DUPLICADA",IF(COUNTIFS(SALIDAS!$B$2:$B$1000,B799,SALIDAS!$D$2:$D$1000,D799,SALIDAS!$G$2:$G$1000,"OK*")=0,"NO FIGURA EN SALIDA","OK"))))</f>
        <v/>
      </c>
    </row>
    <row r="800">
      <c r="A800" s="9" t="inlineStr"/>
      <c r="B800" s="2" t="inlineStr"/>
      <c r="C800" s="2" t="inlineStr"/>
      <c r="D800" s="2" t="inlineStr"/>
      <c r="E800" s="2">
        <f>IF(D800="","",IFERROR(XLOOKUP(TRIM(D800),INVENTARIO!$A$2:$A$2000,INVENTARIO!$B$2:$B$2000),"NO ENCONTRADO"))</f>
        <v/>
      </c>
      <c r="F800" s="2">
        <f>IF(D800="","",IF(E800="NO ENCONTRADO","CODIGO NO EXISTE",IF(COUNTIF($D$2:D800,D800)&gt;1,"DEVOLUCION DUPLICADA",IF(COUNTIFS(SALIDAS!$B$2:$B$1000,B800,SALIDAS!$D$2:$D$1000,D800,SALIDAS!$G$2:$G$1000,"OK*")=0,"NO FIGURA EN SALIDA","OK"))))</f>
        <v/>
      </c>
    </row>
    <row r="801">
      <c r="A801" s="9" t="inlineStr"/>
      <c r="B801" s="2" t="inlineStr"/>
      <c r="C801" s="2" t="inlineStr"/>
      <c r="D801" s="2" t="inlineStr"/>
      <c r="E801" s="2">
        <f>IF(D801="","",IFERROR(XLOOKUP(TRIM(D801),INVENTARIO!$A$2:$A$2000,INVENTARIO!$B$2:$B$2000),"NO ENCONTRADO"))</f>
        <v/>
      </c>
      <c r="F801" s="2">
        <f>IF(D801="","",IF(E801="NO ENCONTRADO","CODIGO NO EXISTE",IF(COUNTIF($D$2:D801,D801)&gt;1,"DEVOLUCION DUPLICADA",IF(COUNTIFS(SALIDAS!$B$2:$B$1000,B801,SALIDAS!$D$2:$D$1000,D801,SALIDAS!$G$2:$G$1000,"OK*")=0,"NO FIGURA EN SALIDA","OK"))))</f>
        <v/>
      </c>
    </row>
    <row r="802">
      <c r="A802" s="9" t="inlineStr"/>
      <c r="B802" s="2" t="inlineStr"/>
      <c r="C802" s="2" t="inlineStr"/>
      <c r="D802" s="2" t="inlineStr"/>
      <c r="E802" s="2">
        <f>IF(D802="","",IFERROR(XLOOKUP(TRIM(D802),INVENTARIO!$A$2:$A$2000,INVENTARIO!$B$2:$B$2000),"NO ENCONTRADO"))</f>
        <v/>
      </c>
      <c r="F802" s="2">
        <f>IF(D802="","",IF(E802="NO ENCONTRADO","CODIGO NO EXISTE",IF(COUNTIF($D$2:D802,D802)&gt;1,"DEVOLUCION DUPLICADA",IF(COUNTIFS(SALIDAS!$B$2:$B$1000,B802,SALIDAS!$D$2:$D$1000,D802,SALIDAS!$G$2:$G$1000,"OK*")=0,"NO FIGURA EN SALIDA","OK"))))</f>
        <v/>
      </c>
    </row>
    <row r="803">
      <c r="A803" s="9" t="inlineStr"/>
      <c r="B803" s="2" t="inlineStr"/>
      <c r="C803" s="2" t="inlineStr"/>
      <c r="D803" s="2" t="inlineStr"/>
      <c r="E803" s="2">
        <f>IF(D803="","",IFERROR(XLOOKUP(TRIM(D803),INVENTARIO!$A$2:$A$2000,INVENTARIO!$B$2:$B$2000),"NO ENCONTRADO"))</f>
        <v/>
      </c>
      <c r="F803" s="2">
        <f>IF(D803="","",IF(E803="NO ENCONTRADO","CODIGO NO EXISTE",IF(COUNTIF($D$2:D803,D803)&gt;1,"DEVOLUCION DUPLICADA",IF(COUNTIFS(SALIDAS!$B$2:$B$1000,B803,SALIDAS!$D$2:$D$1000,D803,SALIDAS!$G$2:$G$1000,"OK*")=0,"NO FIGURA EN SALIDA","OK"))))</f>
        <v/>
      </c>
    </row>
    <row r="804">
      <c r="A804" s="9" t="inlineStr"/>
      <c r="B804" s="2" t="inlineStr"/>
      <c r="C804" s="2" t="inlineStr"/>
      <c r="D804" s="2" t="inlineStr"/>
      <c r="E804" s="2">
        <f>IF(D804="","",IFERROR(XLOOKUP(TRIM(D804),INVENTARIO!$A$2:$A$2000,INVENTARIO!$B$2:$B$2000),"NO ENCONTRADO"))</f>
        <v/>
      </c>
      <c r="F804" s="2">
        <f>IF(D804="","",IF(E804="NO ENCONTRADO","CODIGO NO EXISTE",IF(COUNTIF($D$2:D804,D804)&gt;1,"DEVOLUCION DUPLICADA",IF(COUNTIFS(SALIDAS!$B$2:$B$1000,B804,SALIDAS!$D$2:$D$1000,D804,SALIDAS!$G$2:$G$1000,"OK*")=0,"NO FIGURA EN SALIDA","OK"))))</f>
        <v/>
      </c>
    </row>
    <row r="805">
      <c r="A805" s="9" t="inlineStr"/>
      <c r="B805" s="2" t="inlineStr"/>
      <c r="C805" s="2" t="inlineStr"/>
      <c r="D805" s="2" t="inlineStr"/>
      <c r="E805" s="2">
        <f>IF(D805="","",IFERROR(XLOOKUP(TRIM(D805),INVENTARIO!$A$2:$A$2000,INVENTARIO!$B$2:$B$2000),"NO ENCONTRADO"))</f>
        <v/>
      </c>
      <c r="F805" s="2">
        <f>IF(D805="","",IF(E805="NO ENCONTRADO","CODIGO NO EXISTE",IF(COUNTIF($D$2:D805,D805)&gt;1,"DEVOLUCION DUPLICADA",IF(COUNTIFS(SALIDAS!$B$2:$B$1000,B805,SALIDAS!$D$2:$D$1000,D805,SALIDAS!$G$2:$G$1000,"OK*")=0,"NO FIGURA EN SALIDA","OK"))))</f>
        <v/>
      </c>
    </row>
    <row r="806">
      <c r="A806" s="9" t="inlineStr"/>
      <c r="B806" s="2" t="inlineStr"/>
      <c r="C806" s="2" t="inlineStr"/>
      <c r="D806" s="2" t="inlineStr"/>
      <c r="E806" s="2">
        <f>IF(D806="","",IFERROR(XLOOKUP(TRIM(D806),INVENTARIO!$A$2:$A$2000,INVENTARIO!$B$2:$B$2000),"NO ENCONTRADO"))</f>
        <v/>
      </c>
      <c r="F806" s="2">
        <f>IF(D806="","",IF(E806="NO ENCONTRADO","CODIGO NO EXISTE",IF(COUNTIF($D$2:D806,D806)&gt;1,"DEVOLUCION DUPLICADA",IF(COUNTIFS(SALIDAS!$B$2:$B$1000,B806,SALIDAS!$D$2:$D$1000,D806,SALIDAS!$G$2:$G$1000,"OK*")=0,"NO FIGURA EN SALIDA","OK"))))</f>
        <v/>
      </c>
    </row>
    <row r="807">
      <c r="A807" s="9" t="inlineStr"/>
      <c r="B807" s="2" t="inlineStr"/>
      <c r="C807" s="2" t="inlineStr"/>
      <c r="D807" s="2" t="inlineStr"/>
      <c r="E807" s="2">
        <f>IF(D807="","",IFERROR(XLOOKUP(TRIM(D807),INVENTARIO!$A$2:$A$2000,INVENTARIO!$B$2:$B$2000),"NO ENCONTRADO"))</f>
        <v/>
      </c>
      <c r="F807" s="2">
        <f>IF(D807="","",IF(E807="NO ENCONTRADO","CODIGO NO EXISTE",IF(COUNTIF($D$2:D807,D807)&gt;1,"DEVOLUCION DUPLICADA",IF(COUNTIFS(SALIDAS!$B$2:$B$1000,B807,SALIDAS!$D$2:$D$1000,D807,SALIDAS!$G$2:$G$1000,"OK*")=0,"NO FIGURA EN SALIDA","OK"))))</f>
        <v/>
      </c>
    </row>
    <row r="808">
      <c r="A808" s="9" t="inlineStr"/>
      <c r="B808" s="2" t="inlineStr"/>
      <c r="C808" s="2" t="inlineStr"/>
      <c r="D808" s="2" t="inlineStr"/>
      <c r="E808" s="2">
        <f>IF(D808="","",IFERROR(XLOOKUP(TRIM(D808),INVENTARIO!$A$2:$A$2000,INVENTARIO!$B$2:$B$2000),"NO ENCONTRADO"))</f>
        <v/>
      </c>
      <c r="F808" s="2">
        <f>IF(D808="","",IF(E808="NO ENCONTRADO","CODIGO NO EXISTE",IF(COUNTIF($D$2:D808,D808)&gt;1,"DEVOLUCION DUPLICADA",IF(COUNTIFS(SALIDAS!$B$2:$B$1000,B808,SALIDAS!$D$2:$D$1000,D808,SALIDAS!$G$2:$G$1000,"OK*")=0,"NO FIGURA EN SALIDA","OK"))))</f>
        <v/>
      </c>
    </row>
    <row r="809">
      <c r="A809" s="9" t="inlineStr"/>
      <c r="B809" s="2" t="inlineStr"/>
      <c r="C809" s="2" t="inlineStr"/>
      <c r="D809" s="2" t="inlineStr"/>
      <c r="E809" s="2">
        <f>IF(D809="","",IFERROR(XLOOKUP(TRIM(D809),INVENTARIO!$A$2:$A$2000,INVENTARIO!$B$2:$B$2000),"NO ENCONTRADO"))</f>
        <v/>
      </c>
      <c r="F809" s="2">
        <f>IF(D809="","",IF(E809="NO ENCONTRADO","CODIGO NO EXISTE",IF(COUNTIF($D$2:D809,D809)&gt;1,"DEVOLUCION DUPLICADA",IF(COUNTIFS(SALIDAS!$B$2:$B$1000,B809,SALIDAS!$D$2:$D$1000,D809,SALIDAS!$G$2:$G$1000,"OK*")=0,"NO FIGURA EN SALIDA","OK"))))</f>
        <v/>
      </c>
    </row>
    <row r="810">
      <c r="A810" s="9" t="inlineStr"/>
      <c r="B810" s="2" t="inlineStr"/>
      <c r="C810" s="2" t="inlineStr"/>
      <c r="D810" s="2" t="inlineStr"/>
      <c r="E810" s="2">
        <f>IF(D810="","",IFERROR(XLOOKUP(TRIM(D810),INVENTARIO!$A$2:$A$2000,INVENTARIO!$B$2:$B$2000),"NO ENCONTRADO"))</f>
        <v/>
      </c>
      <c r="F810" s="2">
        <f>IF(D810="","",IF(E810="NO ENCONTRADO","CODIGO NO EXISTE",IF(COUNTIF($D$2:D810,D810)&gt;1,"DEVOLUCION DUPLICADA",IF(COUNTIFS(SALIDAS!$B$2:$B$1000,B810,SALIDAS!$D$2:$D$1000,D810,SALIDAS!$G$2:$G$1000,"OK*")=0,"NO FIGURA EN SALIDA","OK"))))</f>
        <v/>
      </c>
    </row>
    <row r="811">
      <c r="A811" s="9" t="inlineStr"/>
      <c r="B811" s="2" t="inlineStr"/>
      <c r="C811" s="2" t="inlineStr"/>
      <c r="D811" s="2" t="inlineStr"/>
      <c r="E811" s="2">
        <f>IF(D811="","",IFERROR(XLOOKUP(TRIM(D811),INVENTARIO!$A$2:$A$2000,INVENTARIO!$B$2:$B$2000),"NO ENCONTRADO"))</f>
        <v/>
      </c>
      <c r="F811" s="2">
        <f>IF(D811="","",IF(E811="NO ENCONTRADO","CODIGO NO EXISTE",IF(COUNTIF($D$2:D811,D811)&gt;1,"DEVOLUCION DUPLICADA",IF(COUNTIFS(SALIDAS!$B$2:$B$1000,B811,SALIDAS!$D$2:$D$1000,D811,SALIDAS!$G$2:$G$1000,"OK*")=0,"NO FIGURA EN SALIDA","OK"))))</f>
        <v/>
      </c>
    </row>
    <row r="812">
      <c r="A812" s="9" t="inlineStr"/>
      <c r="B812" s="2" t="inlineStr"/>
      <c r="C812" s="2" t="inlineStr"/>
      <c r="D812" s="2" t="inlineStr"/>
      <c r="E812" s="2">
        <f>IF(D812="","",IFERROR(XLOOKUP(TRIM(D812),INVENTARIO!$A$2:$A$2000,INVENTARIO!$B$2:$B$2000),"NO ENCONTRADO"))</f>
        <v/>
      </c>
      <c r="F812" s="2">
        <f>IF(D812="","",IF(E812="NO ENCONTRADO","CODIGO NO EXISTE",IF(COUNTIF($D$2:D812,D812)&gt;1,"DEVOLUCION DUPLICADA",IF(COUNTIFS(SALIDAS!$B$2:$B$1000,B812,SALIDAS!$D$2:$D$1000,D812,SALIDAS!$G$2:$G$1000,"OK*")=0,"NO FIGURA EN SALIDA","OK"))))</f>
        <v/>
      </c>
    </row>
    <row r="813">
      <c r="A813" s="9" t="inlineStr"/>
      <c r="B813" s="2" t="inlineStr"/>
      <c r="C813" s="2" t="inlineStr"/>
      <c r="D813" s="2" t="inlineStr"/>
      <c r="E813" s="2">
        <f>IF(D813="","",IFERROR(XLOOKUP(TRIM(D813),INVENTARIO!$A$2:$A$2000,INVENTARIO!$B$2:$B$2000),"NO ENCONTRADO"))</f>
        <v/>
      </c>
      <c r="F813" s="2">
        <f>IF(D813="","",IF(E813="NO ENCONTRADO","CODIGO NO EXISTE",IF(COUNTIF($D$2:D813,D813)&gt;1,"DEVOLUCION DUPLICADA",IF(COUNTIFS(SALIDAS!$B$2:$B$1000,B813,SALIDAS!$D$2:$D$1000,D813,SALIDAS!$G$2:$G$1000,"OK*")=0,"NO FIGURA EN SALIDA","OK"))))</f>
        <v/>
      </c>
    </row>
    <row r="814">
      <c r="A814" s="9" t="inlineStr"/>
      <c r="B814" s="2" t="inlineStr"/>
      <c r="C814" s="2" t="inlineStr"/>
      <c r="D814" s="2" t="inlineStr"/>
      <c r="E814" s="2">
        <f>IF(D814="","",IFERROR(XLOOKUP(TRIM(D814),INVENTARIO!$A$2:$A$2000,INVENTARIO!$B$2:$B$2000),"NO ENCONTRADO"))</f>
        <v/>
      </c>
      <c r="F814" s="2">
        <f>IF(D814="","",IF(E814="NO ENCONTRADO","CODIGO NO EXISTE",IF(COUNTIF($D$2:D814,D814)&gt;1,"DEVOLUCION DUPLICADA",IF(COUNTIFS(SALIDAS!$B$2:$B$1000,B814,SALIDAS!$D$2:$D$1000,D814,SALIDAS!$G$2:$G$1000,"OK*")=0,"NO FIGURA EN SALIDA","OK"))))</f>
        <v/>
      </c>
    </row>
    <row r="815">
      <c r="A815" s="9" t="inlineStr"/>
      <c r="B815" s="2" t="inlineStr"/>
      <c r="C815" s="2" t="inlineStr"/>
      <c r="D815" s="2" t="inlineStr"/>
      <c r="E815" s="2">
        <f>IF(D815="","",IFERROR(XLOOKUP(TRIM(D815),INVENTARIO!$A$2:$A$2000,INVENTARIO!$B$2:$B$2000),"NO ENCONTRADO"))</f>
        <v/>
      </c>
      <c r="F815" s="2">
        <f>IF(D815="","",IF(E815="NO ENCONTRADO","CODIGO NO EXISTE",IF(COUNTIF($D$2:D815,D815)&gt;1,"DEVOLUCION DUPLICADA",IF(COUNTIFS(SALIDAS!$B$2:$B$1000,B815,SALIDAS!$D$2:$D$1000,D815,SALIDAS!$G$2:$G$1000,"OK*")=0,"NO FIGURA EN SALIDA","OK"))))</f>
        <v/>
      </c>
    </row>
    <row r="816">
      <c r="A816" s="9" t="inlineStr"/>
      <c r="B816" s="2" t="inlineStr"/>
      <c r="C816" s="2" t="inlineStr"/>
      <c r="D816" s="2" t="inlineStr"/>
      <c r="E816" s="2">
        <f>IF(D816="","",IFERROR(XLOOKUP(TRIM(D816),INVENTARIO!$A$2:$A$2000,INVENTARIO!$B$2:$B$2000),"NO ENCONTRADO"))</f>
        <v/>
      </c>
      <c r="F816" s="2">
        <f>IF(D816="","",IF(E816="NO ENCONTRADO","CODIGO NO EXISTE",IF(COUNTIF($D$2:D816,D816)&gt;1,"DEVOLUCION DUPLICADA",IF(COUNTIFS(SALIDAS!$B$2:$B$1000,B816,SALIDAS!$D$2:$D$1000,D816,SALIDAS!$G$2:$G$1000,"OK*")=0,"NO FIGURA EN SALIDA","OK"))))</f>
        <v/>
      </c>
    </row>
    <row r="817">
      <c r="A817" s="9" t="inlineStr"/>
      <c r="B817" s="2" t="inlineStr"/>
      <c r="C817" s="2" t="inlineStr"/>
      <c r="D817" s="2" t="inlineStr"/>
      <c r="E817" s="2">
        <f>IF(D817="","",IFERROR(XLOOKUP(TRIM(D817),INVENTARIO!$A$2:$A$2000,INVENTARIO!$B$2:$B$2000),"NO ENCONTRADO"))</f>
        <v/>
      </c>
      <c r="F817" s="2">
        <f>IF(D817="","",IF(E817="NO ENCONTRADO","CODIGO NO EXISTE",IF(COUNTIF($D$2:D817,D817)&gt;1,"DEVOLUCION DUPLICADA",IF(COUNTIFS(SALIDAS!$B$2:$B$1000,B817,SALIDAS!$D$2:$D$1000,D817,SALIDAS!$G$2:$G$1000,"OK*")=0,"NO FIGURA EN SALIDA","OK"))))</f>
        <v/>
      </c>
    </row>
    <row r="818">
      <c r="A818" s="9" t="inlineStr"/>
      <c r="B818" s="2" t="inlineStr"/>
      <c r="C818" s="2" t="inlineStr"/>
      <c r="D818" s="2" t="inlineStr"/>
      <c r="E818" s="2">
        <f>IF(D818="","",IFERROR(XLOOKUP(TRIM(D818),INVENTARIO!$A$2:$A$2000,INVENTARIO!$B$2:$B$2000),"NO ENCONTRADO"))</f>
        <v/>
      </c>
      <c r="F818" s="2">
        <f>IF(D818="","",IF(E818="NO ENCONTRADO","CODIGO NO EXISTE",IF(COUNTIF($D$2:D818,D818)&gt;1,"DEVOLUCION DUPLICADA",IF(COUNTIFS(SALIDAS!$B$2:$B$1000,B818,SALIDAS!$D$2:$D$1000,D818,SALIDAS!$G$2:$G$1000,"OK*")=0,"NO FIGURA EN SALIDA","OK"))))</f>
        <v/>
      </c>
    </row>
    <row r="819">
      <c r="A819" s="9" t="inlineStr"/>
      <c r="B819" s="2" t="inlineStr"/>
      <c r="C819" s="2" t="inlineStr"/>
      <c r="D819" s="2" t="inlineStr"/>
      <c r="E819" s="2">
        <f>IF(D819="","",IFERROR(XLOOKUP(TRIM(D819),INVENTARIO!$A$2:$A$2000,INVENTARIO!$B$2:$B$2000),"NO ENCONTRADO"))</f>
        <v/>
      </c>
      <c r="F819" s="2">
        <f>IF(D819="","",IF(E819="NO ENCONTRADO","CODIGO NO EXISTE",IF(COUNTIF($D$2:D819,D819)&gt;1,"DEVOLUCION DUPLICADA",IF(COUNTIFS(SALIDAS!$B$2:$B$1000,B819,SALIDAS!$D$2:$D$1000,D819,SALIDAS!$G$2:$G$1000,"OK*")=0,"NO FIGURA EN SALIDA","OK"))))</f>
        <v/>
      </c>
    </row>
    <row r="820">
      <c r="A820" s="9" t="inlineStr"/>
      <c r="B820" s="2" t="inlineStr"/>
      <c r="C820" s="2" t="inlineStr"/>
      <c r="D820" s="2" t="inlineStr"/>
      <c r="E820" s="2">
        <f>IF(D820="","",IFERROR(XLOOKUP(TRIM(D820),INVENTARIO!$A$2:$A$2000,INVENTARIO!$B$2:$B$2000),"NO ENCONTRADO"))</f>
        <v/>
      </c>
      <c r="F820" s="2">
        <f>IF(D820="","",IF(E820="NO ENCONTRADO","CODIGO NO EXISTE",IF(COUNTIF($D$2:D820,D820)&gt;1,"DEVOLUCION DUPLICADA",IF(COUNTIFS(SALIDAS!$B$2:$B$1000,B820,SALIDAS!$D$2:$D$1000,D820,SALIDAS!$G$2:$G$1000,"OK*")=0,"NO FIGURA EN SALIDA","OK"))))</f>
        <v/>
      </c>
    </row>
    <row r="821">
      <c r="A821" s="9" t="inlineStr"/>
      <c r="B821" s="2" t="inlineStr"/>
      <c r="C821" s="2" t="inlineStr"/>
      <c r="D821" s="2" t="inlineStr"/>
      <c r="E821" s="2">
        <f>IF(D821="","",IFERROR(XLOOKUP(TRIM(D821),INVENTARIO!$A$2:$A$2000,INVENTARIO!$B$2:$B$2000),"NO ENCONTRADO"))</f>
        <v/>
      </c>
      <c r="F821" s="2">
        <f>IF(D821="","",IF(E821="NO ENCONTRADO","CODIGO NO EXISTE",IF(COUNTIF($D$2:D821,D821)&gt;1,"DEVOLUCION DUPLICADA",IF(COUNTIFS(SALIDAS!$B$2:$B$1000,B821,SALIDAS!$D$2:$D$1000,D821,SALIDAS!$G$2:$G$1000,"OK*")=0,"NO FIGURA EN SALIDA","OK"))))</f>
        <v/>
      </c>
    </row>
    <row r="822">
      <c r="A822" s="9" t="inlineStr"/>
      <c r="B822" s="2" t="inlineStr"/>
      <c r="C822" s="2" t="inlineStr"/>
      <c r="D822" s="2" t="inlineStr"/>
      <c r="E822" s="2">
        <f>IF(D822="","",IFERROR(XLOOKUP(TRIM(D822),INVENTARIO!$A$2:$A$2000,INVENTARIO!$B$2:$B$2000),"NO ENCONTRADO"))</f>
        <v/>
      </c>
      <c r="F822" s="2">
        <f>IF(D822="","",IF(E822="NO ENCONTRADO","CODIGO NO EXISTE",IF(COUNTIF($D$2:D822,D822)&gt;1,"DEVOLUCION DUPLICADA",IF(COUNTIFS(SALIDAS!$B$2:$B$1000,B822,SALIDAS!$D$2:$D$1000,D822,SALIDAS!$G$2:$G$1000,"OK*")=0,"NO FIGURA EN SALIDA","OK"))))</f>
        <v/>
      </c>
    </row>
    <row r="823">
      <c r="A823" s="9" t="inlineStr"/>
      <c r="B823" s="2" t="inlineStr"/>
      <c r="C823" s="2" t="inlineStr"/>
      <c r="D823" s="2" t="inlineStr"/>
      <c r="E823" s="2">
        <f>IF(D823="","",IFERROR(XLOOKUP(TRIM(D823),INVENTARIO!$A$2:$A$2000,INVENTARIO!$B$2:$B$2000),"NO ENCONTRADO"))</f>
        <v/>
      </c>
      <c r="F823" s="2">
        <f>IF(D823="","",IF(E823="NO ENCONTRADO","CODIGO NO EXISTE",IF(COUNTIF($D$2:D823,D823)&gt;1,"DEVOLUCION DUPLICADA",IF(COUNTIFS(SALIDAS!$B$2:$B$1000,B823,SALIDAS!$D$2:$D$1000,D823,SALIDAS!$G$2:$G$1000,"OK*")=0,"NO FIGURA EN SALIDA","OK"))))</f>
        <v/>
      </c>
    </row>
    <row r="824">
      <c r="A824" s="9" t="inlineStr"/>
      <c r="B824" s="2" t="inlineStr"/>
      <c r="C824" s="2" t="inlineStr"/>
      <c r="D824" s="2" t="inlineStr"/>
      <c r="E824" s="2">
        <f>IF(D824="","",IFERROR(XLOOKUP(TRIM(D824),INVENTARIO!$A$2:$A$2000,INVENTARIO!$B$2:$B$2000),"NO ENCONTRADO"))</f>
        <v/>
      </c>
      <c r="F824" s="2">
        <f>IF(D824="","",IF(E824="NO ENCONTRADO","CODIGO NO EXISTE",IF(COUNTIF($D$2:D824,D824)&gt;1,"DEVOLUCION DUPLICADA",IF(COUNTIFS(SALIDAS!$B$2:$B$1000,B824,SALIDAS!$D$2:$D$1000,D824,SALIDAS!$G$2:$G$1000,"OK*")=0,"NO FIGURA EN SALIDA","OK"))))</f>
        <v/>
      </c>
    </row>
    <row r="825">
      <c r="A825" s="9" t="inlineStr"/>
      <c r="B825" s="2" t="inlineStr"/>
      <c r="C825" s="2" t="inlineStr"/>
      <c r="D825" s="2" t="inlineStr"/>
      <c r="E825" s="2">
        <f>IF(D825="","",IFERROR(XLOOKUP(TRIM(D825),INVENTARIO!$A$2:$A$2000,INVENTARIO!$B$2:$B$2000),"NO ENCONTRADO"))</f>
        <v/>
      </c>
      <c r="F825" s="2">
        <f>IF(D825="","",IF(E825="NO ENCONTRADO","CODIGO NO EXISTE",IF(COUNTIF($D$2:D825,D825)&gt;1,"DEVOLUCION DUPLICADA",IF(COUNTIFS(SALIDAS!$B$2:$B$1000,B825,SALIDAS!$D$2:$D$1000,D825,SALIDAS!$G$2:$G$1000,"OK*")=0,"NO FIGURA EN SALIDA","OK"))))</f>
        <v/>
      </c>
    </row>
    <row r="826">
      <c r="A826" s="9" t="inlineStr"/>
      <c r="B826" s="2" t="inlineStr"/>
      <c r="C826" s="2" t="inlineStr"/>
      <c r="D826" s="2" t="inlineStr"/>
      <c r="E826" s="2">
        <f>IF(D826="","",IFERROR(XLOOKUP(TRIM(D826),INVENTARIO!$A$2:$A$2000,INVENTARIO!$B$2:$B$2000),"NO ENCONTRADO"))</f>
        <v/>
      </c>
      <c r="F826" s="2">
        <f>IF(D826="","",IF(E826="NO ENCONTRADO","CODIGO NO EXISTE",IF(COUNTIF($D$2:D826,D826)&gt;1,"DEVOLUCION DUPLICADA",IF(COUNTIFS(SALIDAS!$B$2:$B$1000,B826,SALIDAS!$D$2:$D$1000,D826,SALIDAS!$G$2:$G$1000,"OK*")=0,"NO FIGURA EN SALIDA","OK"))))</f>
        <v/>
      </c>
    </row>
    <row r="827">
      <c r="A827" s="9" t="inlineStr"/>
      <c r="B827" s="2" t="inlineStr"/>
      <c r="C827" s="2" t="inlineStr"/>
      <c r="D827" s="2" t="inlineStr"/>
      <c r="E827" s="2">
        <f>IF(D827="","",IFERROR(XLOOKUP(TRIM(D827),INVENTARIO!$A$2:$A$2000,INVENTARIO!$B$2:$B$2000),"NO ENCONTRADO"))</f>
        <v/>
      </c>
      <c r="F827" s="2">
        <f>IF(D827="","",IF(E827="NO ENCONTRADO","CODIGO NO EXISTE",IF(COUNTIF($D$2:D827,D827)&gt;1,"DEVOLUCION DUPLICADA",IF(COUNTIFS(SALIDAS!$B$2:$B$1000,B827,SALIDAS!$D$2:$D$1000,D827,SALIDAS!$G$2:$G$1000,"OK*")=0,"NO FIGURA EN SALIDA","OK"))))</f>
        <v/>
      </c>
    </row>
    <row r="828">
      <c r="A828" s="9" t="inlineStr"/>
      <c r="B828" s="2" t="inlineStr"/>
      <c r="C828" s="2" t="inlineStr"/>
      <c r="D828" s="2" t="inlineStr"/>
      <c r="E828" s="2">
        <f>IF(D828="","",IFERROR(XLOOKUP(TRIM(D828),INVENTARIO!$A$2:$A$2000,INVENTARIO!$B$2:$B$2000),"NO ENCONTRADO"))</f>
        <v/>
      </c>
      <c r="F828" s="2">
        <f>IF(D828="","",IF(E828="NO ENCONTRADO","CODIGO NO EXISTE",IF(COUNTIF($D$2:D828,D828)&gt;1,"DEVOLUCION DUPLICADA",IF(COUNTIFS(SALIDAS!$B$2:$B$1000,B828,SALIDAS!$D$2:$D$1000,D828,SALIDAS!$G$2:$G$1000,"OK*")=0,"NO FIGURA EN SALIDA","OK"))))</f>
        <v/>
      </c>
    </row>
    <row r="829">
      <c r="A829" s="9" t="inlineStr"/>
      <c r="B829" s="2" t="inlineStr"/>
      <c r="C829" s="2" t="inlineStr"/>
      <c r="D829" s="2" t="inlineStr"/>
      <c r="E829" s="2">
        <f>IF(D829="","",IFERROR(XLOOKUP(TRIM(D829),INVENTARIO!$A$2:$A$2000,INVENTARIO!$B$2:$B$2000),"NO ENCONTRADO"))</f>
        <v/>
      </c>
      <c r="F829" s="2">
        <f>IF(D829="","",IF(E829="NO ENCONTRADO","CODIGO NO EXISTE",IF(COUNTIF($D$2:D829,D829)&gt;1,"DEVOLUCION DUPLICADA",IF(COUNTIFS(SALIDAS!$B$2:$B$1000,B829,SALIDAS!$D$2:$D$1000,D829,SALIDAS!$G$2:$G$1000,"OK*")=0,"NO FIGURA EN SALIDA","OK"))))</f>
        <v/>
      </c>
    </row>
    <row r="830">
      <c r="A830" s="9" t="inlineStr"/>
      <c r="B830" s="2" t="inlineStr"/>
      <c r="C830" s="2" t="inlineStr"/>
      <c r="D830" s="2" t="inlineStr"/>
      <c r="E830" s="2">
        <f>IF(D830="","",IFERROR(XLOOKUP(TRIM(D830),INVENTARIO!$A$2:$A$2000,INVENTARIO!$B$2:$B$2000),"NO ENCONTRADO"))</f>
        <v/>
      </c>
      <c r="F830" s="2">
        <f>IF(D830="","",IF(E830="NO ENCONTRADO","CODIGO NO EXISTE",IF(COUNTIF($D$2:D830,D830)&gt;1,"DEVOLUCION DUPLICADA",IF(COUNTIFS(SALIDAS!$B$2:$B$1000,B830,SALIDAS!$D$2:$D$1000,D830,SALIDAS!$G$2:$G$1000,"OK*")=0,"NO FIGURA EN SALIDA","OK"))))</f>
        <v/>
      </c>
    </row>
    <row r="831">
      <c r="A831" s="9" t="inlineStr"/>
      <c r="B831" s="2" t="inlineStr"/>
      <c r="C831" s="2" t="inlineStr"/>
      <c r="D831" s="2" t="inlineStr"/>
      <c r="E831" s="2">
        <f>IF(D831="","",IFERROR(XLOOKUP(TRIM(D831),INVENTARIO!$A$2:$A$2000,INVENTARIO!$B$2:$B$2000),"NO ENCONTRADO"))</f>
        <v/>
      </c>
      <c r="F831" s="2">
        <f>IF(D831="","",IF(E831="NO ENCONTRADO","CODIGO NO EXISTE",IF(COUNTIF($D$2:D831,D831)&gt;1,"DEVOLUCION DUPLICADA",IF(COUNTIFS(SALIDAS!$B$2:$B$1000,B831,SALIDAS!$D$2:$D$1000,D831,SALIDAS!$G$2:$G$1000,"OK*")=0,"NO FIGURA EN SALIDA","OK"))))</f>
        <v/>
      </c>
    </row>
    <row r="832">
      <c r="A832" s="9" t="inlineStr"/>
      <c r="B832" s="2" t="inlineStr"/>
      <c r="C832" s="2" t="inlineStr"/>
      <c r="D832" s="2" t="inlineStr"/>
      <c r="E832" s="2">
        <f>IF(D832="","",IFERROR(XLOOKUP(TRIM(D832),INVENTARIO!$A$2:$A$2000,INVENTARIO!$B$2:$B$2000),"NO ENCONTRADO"))</f>
        <v/>
      </c>
      <c r="F832" s="2">
        <f>IF(D832="","",IF(E832="NO ENCONTRADO","CODIGO NO EXISTE",IF(COUNTIF($D$2:D832,D832)&gt;1,"DEVOLUCION DUPLICADA",IF(COUNTIFS(SALIDAS!$B$2:$B$1000,B832,SALIDAS!$D$2:$D$1000,D832,SALIDAS!$G$2:$G$1000,"OK*")=0,"NO FIGURA EN SALIDA","OK"))))</f>
        <v/>
      </c>
    </row>
    <row r="833">
      <c r="A833" s="9" t="inlineStr"/>
      <c r="B833" s="2" t="inlineStr"/>
      <c r="C833" s="2" t="inlineStr"/>
      <c r="D833" s="2" t="inlineStr"/>
      <c r="E833" s="2">
        <f>IF(D833="","",IFERROR(XLOOKUP(TRIM(D833),INVENTARIO!$A$2:$A$2000,INVENTARIO!$B$2:$B$2000),"NO ENCONTRADO"))</f>
        <v/>
      </c>
      <c r="F833" s="2">
        <f>IF(D833="","",IF(E833="NO ENCONTRADO","CODIGO NO EXISTE",IF(COUNTIF($D$2:D833,D833)&gt;1,"DEVOLUCION DUPLICADA",IF(COUNTIFS(SALIDAS!$B$2:$B$1000,B833,SALIDAS!$D$2:$D$1000,D833,SALIDAS!$G$2:$G$1000,"OK*")=0,"NO FIGURA EN SALIDA","OK"))))</f>
        <v/>
      </c>
    </row>
    <row r="834">
      <c r="A834" s="9" t="inlineStr"/>
      <c r="B834" s="2" t="inlineStr"/>
      <c r="C834" s="2" t="inlineStr"/>
      <c r="D834" s="2" t="inlineStr"/>
      <c r="E834" s="2">
        <f>IF(D834="","",IFERROR(XLOOKUP(TRIM(D834),INVENTARIO!$A$2:$A$2000,INVENTARIO!$B$2:$B$2000),"NO ENCONTRADO"))</f>
        <v/>
      </c>
      <c r="F834" s="2">
        <f>IF(D834="","",IF(E834="NO ENCONTRADO","CODIGO NO EXISTE",IF(COUNTIF($D$2:D834,D834)&gt;1,"DEVOLUCION DUPLICADA",IF(COUNTIFS(SALIDAS!$B$2:$B$1000,B834,SALIDAS!$D$2:$D$1000,D834,SALIDAS!$G$2:$G$1000,"OK*")=0,"NO FIGURA EN SALIDA","OK"))))</f>
        <v/>
      </c>
    </row>
    <row r="835">
      <c r="A835" s="9" t="inlineStr"/>
      <c r="B835" s="2" t="inlineStr"/>
      <c r="C835" s="2" t="inlineStr"/>
      <c r="D835" s="2" t="inlineStr"/>
      <c r="E835" s="2">
        <f>IF(D835="","",IFERROR(XLOOKUP(TRIM(D835),INVENTARIO!$A$2:$A$2000,INVENTARIO!$B$2:$B$2000),"NO ENCONTRADO"))</f>
        <v/>
      </c>
      <c r="F835" s="2">
        <f>IF(D835="","",IF(E835="NO ENCONTRADO","CODIGO NO EXISTE",IF(COUNTIF($D$2:D835,D835)&gt;1,"DEVOLUCION DUPLICADA",IF(COUNTIFS(SALIDAS!$B$2:$B$1000,B835,SALIDAS!$D$2:$D$1000,D835,SALIDAS!$G$2:$G$1000,"OK*")=0,"NO FIGURA EN SALIDA","OK"))))</f>
        <v/>
      </c>
    </row>
    <row r="836">
      <c r="A836" s="9" t="inlineStr"/>
      <c r="B836" s="2" t="inlineStr"/>
      <c r="C836" s="2" t="inlineStr"/>
      <c r="D836" s="2" t="inlineStr"/>
      <c r="E836" s="2">
        <f>IF(D836="","",IFERROR(XLOOKUP(TRIM(D836),INVENTARIO!$A$2:$A$2000,INVENTARIO!$B$2:$B$2000),"NO ENCONTRADO"))</f>
        <v/>
      </c>
      <c r="F836" s="2">
        <f>IF(D836="","",IF(E836="NO ENCONTRADO","CODIGO NO EXISTE",IF(COUNTIF($D$2:D836,D836)&gt;1,"DEVOLUCION DUPLICADA",IF(COUNTIFS(SALIDAS!$B$2:$B$1000,B836,SALIDAS!$D$2:$D$1000,D836,SALIDAS!$G$2:$G$1000,"OK*")=0,"NO FIGURA EN SALIDA","OK"))))</f>
        <v/>
      </c>
    </row>
    <row r="837">
      <c r="A837" s="9" t="inlineStr"/>
      <c r="B837" s="2" t="inlineStr"/>
      <c r="C837" s="2" t="inlineStr"/>
      <c r="D837" s="2" t="inlineStr"/>
      <c r="E837" s="2">
        <f>IF(D837="","",IFERROR(XLOOKUP(TRIM(D837),INVENTARIO!$A$2:$A$2000,INVENTARIO!$B$2:$B$2000),"NO ENCONTRADO"))</f>
        <v/>
      </c>
      <c r="F837" s="2">
        <f>IF(D837="","",IF(E837="NO ENCONTRADO","CODIGO NO EXISTE",IF(COUNTIF($D$2:D837,D837)&gt;1,"DEVOLUCION DUPLICADA",IF(COUNTIFS(SALIDAS!$B$2:$B$1000,B837,SALIDAS!$D$2:$D$1000,D837,SALIDAS!$G$2:$G$1000,"OK*")=0,"NO FIGURA EN SALIDA","OK"))))</f>
        <v/>
      </c>
    </row>
    <row r="838">
      <c r="A838" s="9" t="inlineStr"/>
      <c r="B838" s="2" t="inlineStr"/>
      <c r="C838" s="2" t="inlineStr"/>
      <c r="D838" s="2" t="inlineStr"/>
      <c r="E838" s="2">
        <f>IF(D838="","",IFERROR(XLOOKUP(TRIM(D838),INVENTARIO!$A$2:$A$2000,INVENTARIO!$B$2:$B$2000),"NO ENCONTRADO"))</f>
        <v/>
      </c>
      <c r="F838" s="2">
        <f>IF(D838="","",IF(E838="NO ENCONTRADO","CODIGO NO EXISTE",IF(COUNTIF($D$2:D838,D838)&gt;1,"DEVOLUCION DUPLICADA",IF(COUNTIFS(SALIDAS!$B$2:$B$1000,B838,SALIDAS!$D$2:$D$1000,D838,SALIDAS!$G$2:$G$1000,"OK*")=0,"NO FIGURA EN SALIDA","OK"))))</f>
        <v/>
      </c>
    </row>
    <row r="839">
      <c r="A839" s="9" t="inlineStr"/>
      <c r="B839" s="2" t="inlineStr"/>
      <c r="C839" s="2" t="inlineStr"/>
      <c r="D839" s="2" t="inlineStr"/>
      <c r="E839" s="2">
        <f>IF(D839="","",IFERROR(XLOOKUP(TRIM(D839),INVENTARIO!$A$2:$A$2000,INVENTARIO!$B$2:$B$2000),"NO ENCONTRADO"))</f>
        <v/>
      </c>
      <c r="F839" s="2">
        <f>IF(D839="","",IF(E839="NO ENCONTRADO","CODIGO NO EXISTE",IF(COUNTIF($D$2:D839,D839)&gt;1,"DEVOLUCION DUPLICADA",IF(COUNTIFS(SALIDAS!$B$2:$B$1000,B839,SALIDAS!$D$2:$D$1000,D839,SALIDAS!$G$2:$G$1000,"OK*")=0,"NO FIGURA EN SALIDA","OK"))))</f>
        <v/>
      </c>
    </row>
    <row r="840">
      <c r="A840" s="9" t="inlineStr"/>
      <c r="B840" s="2" t="inlineStr"/>
      <c r="C840" s="2" t="inlineStr"/>
      <c r="D840" s="2" t="inlineStr"/>
      <c r="E840" s="2">
        <f>IF(D840="","",IFERROR(XLOOKUP(TRIM(D840),INVENTARIO!$A$2:$A$2000,INVENTARIO!$B$2:$B$2000),"NO ENCONTRADO"))</f>
        <v/>
      </c>
      <c r="F840" s="2">
        <f>IF(D840="","",IF(E840="NO ENCONTRADO","CODIGO NO EXISTE",IF(COUNTIF($D$2:D840,D840)&gt;1,"DEVOLUCION DUPLICADA",IF(COUNTIFS(SALIDAS!$B$2:$B$1000,B840,SALIDAS!$D$2:$D$1000,D840,SALIDAS!$G$2:$G$1000,"OK*")=0,"NO FIGURA EN SALIDA","OK"))))</f>
        <v/>
      </c>
    </row>
    <row r="841">
      <c r="A841" s="9" t="inlineStr"/>
      <c r="B841" s="2" t="inlineStr"/>
      <c r="C841" s="2" t="inlineStr"/>
      <c r="D841" s="2" t="inlineStr"/>
      <c r="E841" s="2">
        <f>IF(D841="","",IFERROR(XLOOKUP(TRIM(D841),INVENTARIO!$A$2:$A$2000,INVENTARIO!$B$2:$B$2000),"NO ENCONTRADO"))</f>
        <v/>
      </c>
      <c r="F841" s="2">
        <f>IF(D841="","",IF(E841="NO ENCONTRADO","CODIGO NO EXISTE",IF(COUNTIF($D$2:D841,D841)&gt;1,"DEVOLUCION DUPLICADA",IF(COUNTIFS(SALIDAS!$B$2:$B$1000,B841,SALIDAS!$D$2:$D$1000,D841,SALIDAS!$G$2:$G$1000,"OK*")=0,"NO FIGURA EN SALIDA","OK"))))</f>
        <v/>
      </c>
    </row>
    <row r="842">
      <c r="A842" s="9" t="inlineStr"/>
      <c r="B842" s="2" t="inlineStr"/>
      <c r="C842" s="2" t="inlineStr"/>
      <c r="D842" s="2" t="inlineStr"/>
      <c r="E842" s="2">
        <f>IF(D842="","",IFERROR(XLOOKUP(TRIM(D842),INVENTARIO!$A$2:$A$2000,INVENTARIO!$B$2:$B$2000),"NO ENCONTRADO"))</f>
        <v/>
      </c>
      <c r="F842" s="2">
        <f>IF(D842="","",IF(E842="NO ENCONTRADO","CODIGO NO EXISTE",IF(COUNTIF($D$2:D842,D842)&gt;1,"DEVOLUCION DUPLICADA",IF(COUNTIFS(SALIDAS!$B$2:$B$1000,B842,SALIDAS!$D$2:$D$1000,D842,SALIDAS!$G$2:$G$1000,"OK*")=0,"NO FIGURA EN SALIDA","OK"))))</f>
        <v/>
      </c>
    </row>
    <row r="843">
      <c r="A843" s="9" t="inlineStr"/>
      <c r="B843" s="2" t="inlineStr"/>
      <c r="C843" s="2" t="inlineStr"/>
      <c r="D843" s="2" t="inlineStr"/>
      <c r="E843" s="2">
        <f>IF(D843="","",IFERROR(XLOOKUP(TRIM(D843),INVENTARIO!$A$2:$A$2000,INVENTARIO!$B$2:$B$2000),"NO ENCONTRADO"))</f>
        <v/>
      </c>
      <c r="F843" s="2">
        <f>IF(D843="","",IF(E843="NO ENCONTRADO","CODIGO NO EXISTE",IF(COUNTIF($D$2:D843,D843)&gt;1,"DEVOLUCION DUPLICADA",IF(COUNTIFS(SALIDAS!$B$2:$B$1000,B843,SALIDAS!$D$2:$D$1000,D843,SALIDAS!$G$2:$G$1000,"OK*")=0,"NO FIGURA EN SALIDA","OK"))))</f>
        <v/>
      </c>
    </row>
    <row r="844">
      <c r="A844" s="9" t="inlineStr"/>
      <c r="B844" s="2" t="inlineStr"/>
      <c r="C844" s="2" t="inlineStr"/>
      <c r="D844" s="2" t="inlineStr"/>
      <c r="E844" s="2">
        <f>IF(D844="","",IFERROR(XLOOKUP(TRIM(D844),INVENTARIO!$A$2:$A$2000,INVENTARIO!$B$2:$B$2000),"NO ENCONTRADO"))</f>
        <v/>
      </c>
      <c r="F844" s="2">
        <f>IF(D844="","",IF(E844="NO ENCONTRADO","CODIGO NO EXISTE",IF(COUNTIF($D$2:D844,D844)&gt;1,"DEVOLUCION DUPLICADA",IF(COUNTIFS(SALIDAS!$B$2:$B$1000,B844,SALIDAS!$D$2:$D$1000,D844,SALIDAS!$G$2:$G$1000,"OK*")=0,"NO FIGURA EN SALIDA","OK"))))</f>
        <v/>
      </c>
    </row>
    <row r="845">
      <c r="A845" s="9" t="inlineStr"/>
      <c r="B845" s="2" t="inlineStr"/>
      <c r="C845" s="2" t="inlineStr"/>
      <c r="D845" s="2" t="inlineStr"/>
      <c r="E845" s="2">
        <f>IF(D845="","",IFERROR(XLOOKUP(TRIM(D845),INVENTARIO!$A$2:$A$2000,INVENTARIO!$B$2:$B$2000),"NO ENCONTRADO"))</f>
        <v/>
      </c>
      <c r="F845" s="2">
        <f>IF(D845="","",IF(E845="NO ENCONTRADO","CODIGO NO EXISTE",IF(COUNTIF($D$2:D845,D845)&gt;1,"DEVOLUCION DUPLICADA",IF(COUNTIFS(SALIDAS!$B$2:$B$1000,B845,SALIDAS!$D$2:$D$1000,D845,SALIDAS!$G$2:$G$1000,"OK*")=0,"NO FIGURA EN SALIDA","OK"))))</f>
        <v/>
      </c>
    </row>
    <row r="846">
      <c r="A846" s="9" t="inlineStr"/>
      <c r="B846" s="2" t="inlineStr"/>
      <c r="C846" s="2" t="inlineStr"/>
      <c r="D846" s="2" t="inlineStr"/>
      <c r="E846" s="2">
        <f>IF(D846="","",IFERROR(XLOOKUP(TRIM(D846),INVENTARIO!$A$2:$A$2000,INVENTARIO!$B$2:$B$2000),"NO ENCONTRADO"))</f>
        <v/>
      </c>
      <c r="F846" s="2">
        <f>IF(D846="","",IF(E846="NO ENCONTRADO","CODIGO NO EXISTE",IF(COUNTIF($D$2:D846,D846)&gt;1,"DEVOLUCION DUPLICADA",IF(COUNTIFS(SALIDAS!$B$2:$B$1000,B846,SALIDAS!$D$2:$D$1000,D846,SALIDAS!$G$2:$G$1000,"OK*")=0,"NO FIGURA EN SALIDA","OK"))))</f>
        <v/>
      </c>
    </row>
    <row r="847">
      <c r="A847" s="9" t="inlineStr"/>
      <c r="B847" s="2" t="inlineStr"/>
      <c r="C847" s="2" t="inlineStr"/>
      <c r="D847" s="2" t="inlineStr"/>
      <c r="E847" s="2">
        <f>IF(D847="","",IFERROR(XLOOKUP(TRIM(D847),INVENTARIO!$A$2:$A$2000,INVENTARIO!$B$2:$B$2000),"NO ENCONTRADO"))</f>
        <v/>
      </c>
      <c r="F847" s="2">
        <f>IF(D847="","",IF(E847="NO ENCONTRADO","CODIGO NO EXISTE",IF(COUNTIF($D$2:D847,D847)&gt;1,"DEVOLUCION DUPLICADA",IF(COUNTIFS(SALIDAS!$B$2:$B$1000,B847,SALIDAS!$D$2:$D$1000,D847,SALIDAS!$G$2:$G$1000,"OK*")=0,"NO FIGURA EN SALIDA","OK"))))</f>
        <v/>
      </c>
    </row>
    <row r="848">
      <c r="A848" s="9" t="inlineStr"/>
      <c r="B848" s="2" t="inlineStr"/>
      <c r="C848" s="2" t="inlineStr"/>
      <c r="D848" s="2" t="inlineStr"/>
      <c r="E848" s="2">
        <f>IF(D848="","",IFERROR(XLOOKUP(TRIM(D848),INVENTARIO!$A$2:$A$2000,INVENTARIO!$B$2:$B$2000),"NO ENCONTRADO"))</f>
        <v/>
      </c>
      <c r="F848" s="2">
        <f>IF(D848="","",IF(E848="NO ENCONTRADO","CODIGO NO EXISTE",IF(COUNTIF($D$2:D848,D848)&gt;1,"DEVOLUCION DUPLICADA",IF(COUNTIFS(SALIDAS!$B$2:$B$1000,B848,SALIDAS!$D$2:$D$1000,D848,SALIDAS!$G$2:$G$1000,"OK*")=0,"NO FIGURA EN SALIDA","OK"))))</f>
        <v/>
      </c>
    </row>
    <row r="849">
      <c r="A849" s="9" t="inlineStr"/>
      <c r="B849" s="2" t="inlineStr"/>
      <c r="C849" s="2" t="inlineStr"/>
      <c r="D849" s="2" t="inlineStr"/>
      <c r="E849" s="2">
        <f>IF(D849="","",IFERROR(XLOOKUP(TRIM(D849),INVENTARIO!$A$2:$A$2000,INVENTARIO!$B$2:$B$2000),"NO ENCONTRADO"))</f>
        <v/>
      </c>
      <c r="F849" s="2">
        <f>IF(D849="","",IF(E849="NO ENCONTRADO","CODIGO NO EXISTE",IF(COUNTIF($D$2:D849,D849)&gt;1,"DEVOLUCION DUPLICADA",IF(COUNTIFS(SALIDAS!$B$2:$B$1000,B849,SALIDAS!$D$2:$D$1000,D849,SALIDAS!$G$2:$G$1000,"OK*")=0,"NO FIGURA EN SALIDA","OK"))))</f>
        <v/>
      </c>
    </row>
    <row r="850">
      <c r="A850" s="9" t="inlineStr"/>
      <c r="B850" s="2" t="inlineStr"/>
      <c r="C850" s="2" t="inlineStr"/>
      <c r="D850" s="2" t="inlineStr"/>
      <c r="E850" s="2">
        <f>IF(D850="","",IFERROR(XLOOKUP(TRIM(D850),INVENTARIO!$A$2:$A$2000,INVENTARIO!$B$2:$B$2000),"NO ENCONTRADO"))</f>
        <v/>
      </c>
      <c r="F850" s="2">
        <f>IF(D850="","",IF(E850="NO ENCONTRADO","CODIGO NO EXISTE",IF(COUNTIF($D$2:D850,D850)&gt;1,"DEVOLUCION DUPLICADA",IF(COUNTIFS(SALIDAS!$B$2:$B$1000,B850,SALIDAS!$D$2:$D$1000,D850,SALIDAS!$G$2:$G$1000,"OK*")=0,"NO FIGURA EN SALIDA","OK"))))</f>
        <v/>
      </c>
    </row>
    <row r="851">
      <c r="A851" s="9" t="inlineStr"/>
      <c r="B851" s="2" t="inlineStr"/>
      <c r="C851" s="2" t="inlineStr"/>
      <c r="D851" s="2" t="inlineStr"/>
      <c r="E851" s="2">
        <f>IF(D851="","",IFERROR(XLOOKUP(TRIM(D851),INVENTARIO!$A$2:$A$2000,INVENTARIO!$B$2:$B$2000),"NO ENCONTRADO"))</f>
        <v/>
      </c>
      <c r="F851" s="2">
        <f>IF(D851="","",IF(E851="NO ENCONTRADO","CODIGO NO EXISTE",IF(COUNTIF($D$2:D851,D851)&gt;1,"DEVOLUCION DUPLICADA",IF(COUNTIFS(SALIDAS!$B$2:$B$1000,B851,SALIDAS!$D$2:$D$1000,D851,SALIDAS!$G$2:$G$1000,"OK*")=0,"NO FIGURA EN SALIDA","OK"))))</f>
        <v/>
      </c>
    </row>
    <row r="852">
      <c r="A852" s="9" t="inlineStr"/>
      <c r="B852" s="2" t="inlineStr"/>
      <c r="C852" s="2" t="inlineStr"/>
      <c r="D852" s="2" t="inlineStr"/>
      <c r="E852" s="2">
        <f>IF(D852="","",IFERROR(XLOOKUP(TRIM(D852),INVENTARIO!$A$2:$A$2000,INVENTARIO!$B$2:$B$2000),"NO ENCONTRADO"))</f>
        <v/>
      </c>
      <c r="F852" s="2">
        <f>IF(D852="","",IF(E852="NO ENCONTRADO","CODIGO NO EXISTE",IF(COUNTIF($D$2:D852,D852)&gt;1,"DEVOLUCION DUPLICADA",IF(COUNTIFS(SALIDAS!$B$2:$B$1000,B852,SALIDAS!$D$2:$D$1000,D852,SALIDAS!$G$2:$G$1000,"OK*")=0,"NO FIGURA EN SALIDA","OK"))))</f>
        <v/>
      </c>
    </row>
    <row r="853">
      <c r="A853" s="9" t="inlineStr"/>
      <c r="B853" s="2" t="inlineStr"/>
      <c r="C853" s="2" t="inlineStr"/>
      <c r="D853" s="2" t="inlineStr"/>
      <c r="E853" s="2">
        <f>IF(D853="","",IFERROR(XLOOKUP(TRIM(D853),INVENTARIO!$A$2:$A$2000,INVENTARIO!$B$2:$B$2000),"NO ENCONTRADO"))</f>
        <v/>
      </c>
      <c r="F853" s="2">
        <f>IF(D853="","",IF(E853="NO ENCONTRADO","CODIGO NO EXISTE",IF(COUNTIF($D$2:D853,D853)&gt;1,"DEVOLUCION DUPLICADA",IF(COUNTIFS(SALIDAS!$B$2:$B$1000,B853,SALIDAS!$D$2:$D$1000,D853,SALIDAS!$G$2:$G$1000,"OK*")=0,"NO FIGURA EN SALIDA","OK"))))</f>
        <v/>
      </c>
    </row>
    <row r="854">
      <c r="A854" s="9" t="inlineStr"/>
      <c r="B854" s="2" t="inlineStr"/>
      <c r="C854" s="2" t="inlineStr"/>
      <c r="D854" s="2" t="inlineStr"/>
      <c r="E854" s="2">
        <f>IF(D854="","",IFERROR(XLOOKUP(TRIM(D854),INVENTARIO!$A$2:$A$2000,INVENTARIO!$B$2:$B$2000),"NO ENCONTRADO"))</f>
        <v/>
      </c>
      <c r="F854" s="2">
        <f>IF(D854="","",IF(E854="NO ENCONTRADO","CODIGO NO EXISTE",IF(COUNTIF($D$2:D854,D854)&gt;1,"DEVOLUCION DUPLICADA",IF(COUNTIFS(SALIDAS!$B$2:$B$1000,B854,SALIDAS!$D$2:$D$1000,D854,SALIDAS!$G$2:$G$1000,"OK*")=0,"NO FIGURA EN SALIDA","OK"))))</f>
        <v/>
      </c>
    </row>
    <row r="855">
      <c r="A855" s="9" t="inlineStr"/>
      <c r="B855" s="2" t="inlineStr"/>
      <c r="C855" s="2" t="inlineStr"/>
      <c r="D855" s="2" t="inlineStr"/>
      <c r="E855" s="2">
        <f>IF(D855="","",IFERROR(XLOOKUP(TRIM(D855),INVENTARIO!$A$2:$A$2000,INVENTARIO!$B$2:$B$2000),"NO ENCONTRADO"))</f>
        <v/>
      </c>
      <c r="F855" s="2">
        <f>IF(D855="","",IF(E855="NO ENCONTRADO","CODIGO NO EXISTE",IF(COUNTIF($D$2:D855,D855)&gt;1,"DEVOLUCION DUPLICADA",IF(COUNTIFS(SALIDAS!$B$2:$B$1000,B855,SALIDAS!$D$2:$D$1000,D855,SALIDAS!$G$2:$G$1000,"OK*")=0,"NO FIGURA EN SALIDA","OK"))))</f>
        <v/>
      </c>
    </row>
    <row r="856">
      <c r="A856" s="9" t="inlineStr"/>
      <c r="B856" s="2" t="inlineStr"/>
      <c r="C856" s="2" t="inlineStr"/>
      <c r="D856" s="2" t="inlineStr"/>
      <c r="E856" s="2">
        <f>IF(D856="","",IFERROR(XLOOKUP(TRIM(D856),INVENTARIO!$A$2:$A$2000,INVENTARIO!$B$2:$B$2000),"NO ENCONTRADO"))</f>
        <v/>
      </c>
      <c r="F856" s="2">
        <f>IF(D856="","",IF(E856="NO ENCONTRADO","CODIGO NO EXISTE",IF(COUNTIF($D$2:D856,D856)&gt;1,"DEVOLUCION DUPLICADA",IF(COUNTIFS(SALIDAS!$B$2:$B$1000,B856,SALIDAS!$D$2:$D$1000,D856,SALIDAS!$G$2:$G$1000,"OK*")=0,"NO FIGURA EN SALIDA","OK"))))</f>
        <v/>
      </c>
    </row>
    <row r="857">
      <c r="A857" s="9" t="inlineStr"/>
      <c r="B857" s="2" t="inlineStr"/>
      <c r="C857" s="2" t="inlineStr"/>
      <c r="D857" s="2" t="inlineStr"/>
      <c r="E857" s="2">
        <f>IF(D857="","",IFERROR(XLOOKUP(TRIM(D857),INVENTARIO!$A$2:$A$2000,INVENTARIO!$B$2:$B$2000),"NO ENCONTRADO"))</f>
        <v/>
      </c>
      <c r="F857" s="2">
        <f>IF(D857="","",IF(E857="NO ENCONTRADO","CODIGO NO EXISTE",IF(COUNTIF($D$2:D857,D857)&gt;1,"DEVOLUCION DUPLICADA",IF(COUNTIFS(SALIDAS!$B$2:$B$1000,B857,SALIDAS!$D$2:$D$1000,D857,SALIDAS!$G$2:$G$1000,"OK*")=0,"NO FIGURA EN SALIDA","OK"))))</f>
        <v/>
      </c>
    </row>
    <row r="858">
      <c r="A858" s="9" t="inlineStr"/>
      <c r="B858" s="2" t="inlineStr"/>
      <c r="C858" s="2" t="inlineStr"/>
      <c r="D858" s="2" t="inlineStr"/>
      <c r="E858" s="2">
        <f>IF(D858="","",IFERROR(XLOOKUP(TRIM(D858),INVENTARIO!$A$2:$A$2000,INVENTARIO!$B$2:$B$2000),"NO ENCONTRADO"))</f>
        <v/>
      </c>
      <c r="F858" s="2">
        <f>IF(D858="","",IF(E858="NO ENCONTRADO","CODIGO NO EXISTE",IF(COUNTIF($D$2:D858,D858)&gt;1,"DEVOLUCION DUPLICADA",IF(COUNTIFS(SALIDAS!$B$2:$B$1000,B858,SALIDAS!$D$2:$D$1000,D858,SALIDAS!$G$2:$G$1000,"OK*")=0,"NO FIGURA EN SALIDA","OK"))))</f>
        <v/>
      </c>
    </row>
    <row r="859">
      <c r="A859" s="9" t="inlineStr"/>
      <c r="B859" s="2" t="inlineStr"/>
      <c r="C859" s="2" t="inlineStr"/>
      <c r="D859" s="2" t="inlineStr"/>
      <c r="E859" s="2">
        <f>IF(D859="","",IFERROR(XLOOKUP(TRIM(D859),INVENTARIO!$A$2:$A$2000,INVENTARIO!$B$2:$B$2000),"NO ENCONTRADO"))</f>
        <v/>
      </c>
      <c r="F859" s="2">
        <f>IF(D859="","",IF(E859="NO ENCONTRADO","CODIGO NO EXISTE",IF(COUNTIF($D$2:D859,D859)&gt;1,"DEVOLUCION DUPLICADA",IF(COUNTIFS(SALIDAS!$B$2:$B$1000,B859,SALIDAS!$D$2:$D$1000,D859,SALIDAS!$G$2:$G$1000,"OK*")=0,"NO FIGURA EN SALIDA","OK"))))</f>
        <v/>
      </c>
    </row>
    <row r="860">
      <c r="A860" s="9" t="inlineStr"/>
      <c r="B860" s="2" t="inlineStr"/>
      <c r="C860" s="2" t="inlineStr"/>
      <c r="D860" s="2" t="inlineStr"/>
      <c r="E860" s="2">
        <f>IF(D860="","",IFERROR(XLOOKUP(TRIM(D860),INVENTARIO!$A$2:$A$2000,INVENTARIO!$B$2:$B$2000),"NO ENCONTRADO"))</f>
        <v/>
      </c>
      <c r="F860" s="2">
        <f>IF(D860="","",IF(E860="NO ENCONTRADO","CODIGO NO EXISTE",IF(COUNTIF($D$2:D860,D860)&gt;1,"DEVOLUCION DUPLICADA",IF(COUNTIFS(SALIDAS!$B$2:$B$1000,B860,SALIDAS!$D$2:$D$1000,D860,SALIDAS!$G$2:$G$1000,"OK*")=0,"NO FIGURA EN SALIDA","OK"))))</f>
        <v/>
      </c>
    </row>
    <row r="861">
      <c r="A861" s="9" t="inlineStr"/>
      <c r="B861" s="2" t="inlineStr"/>
      <c r="C861" s="2" t="inlineStr"/>
      <c r="D861" s="2" t="inlineStr"/>
      <c r="E861" s="2">
        <f>IF(D861="","",IFERROR(XLOOKUP(TRIM(D861),INVENTARIO!$A$2:$A$2000,INVENTARIO!$B$2:$B$2000),"NO ENCONTRADO"))</f>
        <v/>
      </c>
      <c r="F861" s="2">
        <f>IF(D861="","",IF(E861="NO ENCONTRADO","CODIGO NO EXISTE",IF(COUNTIF($D$2:D861,D861)&gt;1,"DEVOLUCION DUPLICADA",IF(COUNTIFS(SALIDAS!$B$2:$B$1000,B861,SALIDAS!$D$2:$D$1000,D861,SALIDAS!$G$2:$G$1000,"OK*")=0,"NO FIGURA EN SALIDA","OK"))))</f>
        <v/>
      </c>
    </row>
    <row r="862">
      <c r="A862" s="9" t="inlineStr"/>
      <c r="B862" s="2" t="inlineStr"/>
      <c r="C862" s="2" t="inlineStr"/>
      <c r="D862" s="2" t="inlineStr"/>
      <c r="E862" s="2">
        <f>IF(D862="","",IFERROR(XLOOKUP(TRIM(D862),INVENTARIO!$A$2:$A$2000,INVENTARIO!$B$2:$B$2000),"NO ENCONTRADO"))</f>
        <v/>
      </c>
      <c r="F862" s="2">
        <f>IF(D862="","",IF(E862="NO ENCONTRADO","CODIGO NO EXISTE",IF(COUNTIF($D$2:D862,D862)&gt;1,"DEVOLUCION DUPLICADA",IF(COUNTIFS(SALIDAS!$B$2:$B$1000,B862,SALIDAS!$D$2:$D$1000,D862,SALIDAS!$G$2:$G$1000,"OK*")=0,"NO FIGURA EN SALIDA","OK"))))</f>
        <v/>
      </c>
    </row>
    <row r="863">
      <c r="A863" s="9" t="inlineStr"/>
      <c r="B863" s="2" t="inlineStr"/>
      <c r="C863" s="2" t="inlineStr"/>
      <c r="D863" s="2" t="inlineStr"/>
      <c r="E863" s="2">
        <f>IF(D863="","",IFERROR(XLOOKUP(TRIM(D863),INVENTARIO!$A$2:$A$2000,INVENTARIO!$B$2:$B$2000),"NO ENCONTRADO"))</f>
        <v/>
      </c>
      <c r="F863" s="2">
        <f>IF(D863="","",IF(E863="NO ENCONTRADO","CODIGO NO EXISTE",IF(COUNTIF($D$2:D863,D863)&gt;1,"DEVOLUCION DUPLICADA",IF(COUNTIFS(SALIDAS!$B$2:$B$1000,B863,SALIDAS!$D$2:$D$1000,D863,SALIDAS!$G$2:$G$1000,"OK*")=0,"NO FIGURA EN SALIDA","OK"))))</f>
        <v/>
      </c>
    </row>
    <row r="864">
      <c r="A864" s="9" t="inlineStr"/>
      <c r="B864" s="2" t="inlineStr"/>
      <c r="C864" s="2" t="inlineStr"/>
      <c r="D864" s="2" t="inlineStr"/>
      <c r="E864" s="2">
        <f>IF(D864="","",IFERROR(XLOOKUP(TRIM(D864),INVENTARIO!$A$2:$A$2000,INVENTARIO!$B$2:$B$2000),"NO ENCONTRADO"))</f>
        <v/>
      </c>
      <c r="F864" s="2">
        <f>IF(D864="","",IF(E864="NO ENCONTRADO","CODIGO NO EXISTE",IF(COUNTIF($D$2:D864,D864)&gt;1,"DEVOLUCION DUPLICADA",IF(COUNTIFS(SALIDAS!$B$2:$B$1000,B864,SALIDAS!$D$2:$D$1000,D864,SALIDAS!$G$2:$G$1000,"OK*")=0,"NO FIGURA EN SALIDA","OK"))))</f>
        <v/>
      </c>
    </row>
    <row r="865">
      <c r="A865" s="9" t="inlineStr"/>
      <c r="B865" s="2" t="inlineStr"/>
      <c r="C865" s="2" t="inlineStr"/>
      <c r="D865" s="2" t="inlineStr"/>
      <c r="E865" s="2">
        <f>IF(D865="","",IFERROR(XLOOKUP(TRIM(D865),INVENTARIO!$A$2:$A$2000,INVENTARIO!$B$2:$B$2000),"NO ENCONTRADO"))</f>
        <v/>
      </c>
      <c r="F865" s="2">
        <f>IF(D865="","",IF(E865="NO ENCONTRADO","CODIGO NO EXISTE",IF(COUNTIF($D$2:D865,D865)&gt;1,"DEVOLUCION DUPLICADA",IF(COUNTIFS(SALIDAS!$B$2:$B$1000,B865,SALIDAS!$D$2:$D$1000,D865,SALIDAS!$G$2:$G$1000,"OK*")=0,"NO FIGURA EN SALIDA","OK"))))</f>
        <v/>
      </c>
    </row>
    <row r="866">
      <c r="A866" s="9" t="inlineStr"/>
      <c r="B866" s="2" t="inlineStr"/>
      <c r="C866" s="2" t="inlineStr"/>
      <c r="D866" s="2" t="inlineStr"/>
      <c r="E866" s="2">
        <f>IF(D866="","",IFERROR(XLOOKUP(TRIM(D866),INVENTARIO!$A$2:$A$2000,INVENTARIO!$B$2:$B$2000),"NO ENCONTRADO"))</f>
        <v/>
      </c>
      <c r="F866" s="2">
        <f>IF(D866="","",IF(E866="NO ENCONTRADO","CODIGO NO EXISTE",IF(COUNTIF($D$2:D866,D866)&gt;1,"DEVOLUCION DUPLICADA",IF(COUNTIFS(SALIDAS!$B$2:$B$1000,B866,SALIDAS!$D$2:$D$1000,D866,SALIDAS!$G$2:$G$1000,"OK*")=0,"NO FIGURA EN SALIDA","OK"))))</f>
        <v/>
      </c>
    </row>
    <row r="867">
      <c r="A867" s="9" t="inlineStr"/>
      <c r="B867" s="2" t="inlineStr"/>
      <c r="C867" s="2" t="inlineStr"/>
      <c r="D867" s="2" t="inlineStr"/>
      <c r="E867" s="2">
        <f>IF(D867="","",IFERROR(XLOOKUP(TRIM(D867),INVENTARIO!$A$2:$A$2000,INVENTARIO!$B$2:$B$2000),"NO ENCONTRADO"))</f>
        <v/>
      </c>
      <c r="F867" s="2">
        <f>IF(D867="","",IF(E867="NO ENCONTRADO","CODIGO NO EXISTE",IF(COUNTIF($D$2:D867,D867)&gt;1,"DEVOLUCION DUPLICADA",IF(COUNTIFS(SALIDAS!$B$2:$B$1000,B867,SALIDAS!$D$2:$D$1000,D867,SALIDAS!$G$2:$G$1000,"OK*")=0,"NO FIGURA EN SALIDA","OK"))))</f>
        <v/>
      </c>
    </row>
    <row r="868">
      <c r="A868" s="9" t="inlineStr"/>
      <c r="B868" s="2" t="inlineStr"/>
      <c r="C868" s="2" t="inlineStr"/>
      <c r="D868" s="2" t="inlineStr"/>
      <c r="E868" s="2">
        <f>IF(D868="","",IFERROR(XLOOKUP(TRIM(D868),INVENTARIO!$A$2:$A$2000,INVENTARIO!$B$2:$B$2000),"NO ENCONTRADO"))</f>
        <v/>
      </c>
      <c r="F868" s="2">
        <f>IF(D868="","",IF(E868="NO ENCONTRADO","CODIGO NO EXISTE",IF(COUNTIF($D$2:D868,D868)&gt;1,"DEVOLUCION DUPLICADA",IF(COUNTIFS(SALIDAS!$B$2:$B$1000,B868,SALIDAS!$D$2:$D$1000,D868,SALIDAS!$G$2:$G$1000,"OK*")=0,"NO FIGURA EN SALIDA","OK"))))</f>
        <v/>
      </c>
    </row>
    <row r="869">
      <c r="A869" s="9" t="inlineStr"/>
      <c r="B869" s="2" t="inlineStr"/>
      <c r="C869" s="2" t="inlineStr"/>
      <c r="D869" s="2" t="inlineStr"/>
      <c r="E869" s="2">
        <f>IF(D869="","",IFERROR(XLOOKUP(TRIM(D869),INVENTARIO!$A$2:$A$2000,INVENTARIO!$B$2:$B$2000),"NO ENCONTRADO"))</f>
        <v/>
      </c>
      <c r="F869" s="2">
        <f>IF(D869="","",IF(E869="NO ENCONTRADO","CODIGO NO EXISTE",IF(COUNTIF($D$2:D869,D869)&gt;1,"DEVOLUCION DUPLICADA",IF(COUNTIFS(SALIDAS!$B$2:$B$1000,B869,SALIDAS!$D$2:$D$1000,D869,SALIDAS!$G$2:$G$1000,"OK*")=0,"NO FIGURA EN SALIDA","OK"))))</f>
        <v/>
      </c>
    </row>
    <row r="870">
      <c r="A870" s="9" t="inlineStr"/>
      <c r="B870" s="2" t="inlineStr"/>
      <c r="C870" s="2" t="inlineStr"/>
      <c r="D870" s="2" t="inlineStr"/>
      <c r="E870" s="2">
        <f>IF(D870="","",IFERROR(XLOOKUP(TRIM(D870),INVENTARIO!$A$2:$A$2000,INVENTARIO!$B$2:$B$2000),"NO ENCONTRADO"))</f>
        <v/>
      </c>
      <c r="F870" s="2">
        <f>IF(D870="","",IF(E870="NO ENCONTRADO","CODIGO NO EXISTE",IF(COUNTIF($D$2:D870,D870)&gt;1,"DEVOLUCION DUPLICADA",IF(COUNTIFS(SALIDAS!$B$2:$B$1000,B870,SALIDAS!$D$2:$D$1000,D870,SALIDAS!$G$2:$G$1000,"OK*")=0,"NO FIGURA EN SALIDA","OK"))))</f>
        <v/>
      </c>
    </row>
    <row r="871">
      <c r="A871" s="9" t="inlineStr"/>
      <c r="B871" s="2" t="inlineStr"/>
      <c r="C871" s="2" t="inlineStr"/>
      <c r="D871" s="2" t="inlineStr"/>
      <c r="E871" s="2">
        <f>IF(D871="","",IFERROR(XLOOKUP(TRIM(D871),INVENTARIO!$A$2:$A$2000,INVENTARIO!$B$2:$B$2000),"NO ENCONTRADO"))</f>
        <v/>
      </c>
      <c r="F871" s="2">
        <f>IF(D871="","",IF(E871="NO ENCONTRADO","CODIGO NO EXISTE",IF(COUNTIF($D$2:D871,D871)&gt;1,"DEVOLUCION DUPLICADA",IF(COUNTIFS(SALIDAS!$B$2:$B$1000,B871,SALIDAS!$D$2:$D$1000,D871,SALIDAS!$G$2:$G$1000,"OK*")=0,"NO FIGURA EN SALIDA","OK"))))</f>
        <v/>
      </c>
    </row>
    <row r="872">
      <c r="A872" s="9" t="inlineStr"/>
      <c r="B872" s="2" t="inlineStr"/>
      <c r="C872" s="2" t="inlineStr"/>
      <c r="D872" s="2" t="inlineStr"/>
      <c r="E872" s="2">
        <f>IF(D872="","",IFERROR(XLOOKUP(TRIM(D872),INVENTARIO!$A$2:$A$2000,INVENTARIO!$B$2:$B$2000),"NO ENCONTRADO"))</f>
        <v/>
      </c>
      <c r="F872" s="2">
        <f>IF(D872="","",IF(E872="NO ENCONTRADO","CODIGO NO EXISTE",IF(COUNTIF($D$2:D872,D872)&gt;1,"DEVOLUCION DUPLICADA",IF(COUNTIFS(SALIDAS!$B$2:$B$1000,B872,SALIDAS!$D$2:$D$1000,D872,SALIDAS!$G$2:$G$1000,"OK*")=0,"NO FIGURA EN SALIDA","OK"))))</f>
        <v/>
      </c>
    </row>
    <row r="873">
      <c r="A873" s="9" t="inlineStr"/>
      <c r="B873" s="2" t="inlineStr"/>
      <c r="C873" s="2" t="inlineStr"/>
      <c r="D873" s="2" t="inlineStr"/>
      <c r="E873" s="2">
        <f>IF(D873="","",IFERROR(XLOOKUP(TRIM(D873),INVENTARIO!$A$2:$A$2000,INVENTARIO!$B$2:$B$2000),"NO ENCONTRADO"))</f>
        <v/>
      </c>
      <c r="F873" s="2">
        <f>IF(D873="","",IF(E873="NO ENCONTRADO","CODIGO NO EXISTE",IF(COUNTIF($D$2:D873,D873)&gt;1,"DEVOLUCION DUPLICADA",IF(COUNTIFS(SALIDAS!$B$2:$B$1000,B873,SALIDAS!$D$2:$D$1000,D873,SALIDAS!$G$2:$G$1000,"OK*")=0,"NO FIGURA EN SALIDA","OK"))))</f>
        <v/>
      </c>
    </row>
    <row r="874">
      <c r="A874" s="9" t="inlineStr"/>
      <c r="B874" s="2" t="inlineStr"/>
      <c r="C874" s="2" t="inlineStr"/>
      <c r="D874" s="2" t="inlineStr"/>
      <c r="E874" s="2">
        <f>IF(D874="","",IFERROR(XLOOKUP(TRIM(D874),INVENTARIO!$A$2:$A$2000,INVENTARIO!$B$2:$B$2000),"NO ENCONTRADO"))</f>
        <v/>
      </c>
      <c r="F874" s="2">
        <f>IF(D874="","",IF(E874="NO ENCONTRADO","CODIGO NO EXISTE",IF(COUNTIF($D$2:D874,D874)&gt;1,"DEVOLUCION DUPLICADA",IF(COUNTIFS(SALIDAS!$B$2:$B$1000,B874,SALIDAS!$D$2:$D$1000,D874,SALIDAS!$G$2:$G$1000,"OK*")=0,"NO FIGURA EN SALIDA","OK"))))</f>
        <v/>
      </c>
    </row>
    <row r="875">
      <c r="A875" s="9" t="inlineStr"/>
      <c r="B875" s="2" t="inlineStr"/>
      <c r="C875" s="2" t="inlineStr"/>
      <c r="D875" s="2" t="inlineStr"/>
      <c r="E875" s="2">
        <f>IF(D875="","",IFERROR(XLOOKUP(TRIM(D875),INVENTARIO!$A$2:$A$2000,INVENTARIO!$B$2:$B$2000),"NO ENCONTRADO"))</f>
        <v/>
      </c>
      <c r="F875" s="2">
        <f>IF(D875="","",IF(E875="NO ENCONTRADO","CODIGO NO EXISTE",IF(COUNTIF($D$2:D875,D875)&gt;1,"DEVOLUCION DUPLICADA",IF(COUNTIFS(SALIDAS!$B$2:$B$1000,B875,SALIDAS!$D$2:$D$1000,D875,SALIDAS!$G$2:$G$1000,"OK*")=0,"NO FIGURA EN SALIDA","OK"))))</f>
        <v/>
      </c>
    </row>
    <row r="876">
      <c r="A876" s="9" t="inlineStr"/>
      <c r="B876" s="2" t="inlineStr"/>
      <c r="C876" s="2" t="inlineStr"/>
      <c r="D876" s="2" t="inlineStr"/>
      <c r="E876" s="2">
        <f>IF(D876="","",IFERROR(XLOOKUP(TRIM(D876),INVENTARIO!$A$2:$A$2000,INVENTARIO!$B$2:$B$2000),"NO ENCONTRADO"))</f>
        <v/>
      </c>
      <c r="F876" s="2">
        <f>IF(D876="","",IF(E876="NO ENCONTRADO","CODIGO NO EXISTE",IF(COUNTIF($D$2:D876,D876)&gt;1,"DEVOLUCION DUPLICADA",IF(COUNTIFS(SALIDAS!$B$2:$B$1000,B876,SALIDAS!$D$2:$D$1000,D876,SALIDAS!$G$2:$G$1000,"OK*")=0,"NO FIGURA EN SALIDA","OK"))))</f>
        <v/>
      </c>
    </row>
    <row r="877">
      <c r="A877" s="9" t="inlineStr"/>
      <c r="B877" s="2" t="inlineStr"/>
      <c r="C877" s="2" t="inlineStr"/>
      <c r="D877" s="2" t="inlineStr"/>
      <c r="E877" s="2">
        <f>IF(D877="","",IFERROR(XLOOKUP(TRIM(D877),INVENTARIO!$A$2:$A$2000,INVENTARIO!$B$2:$B$2000),"NO ENCONTRADO"))</f>
        <v/>
      </c>
      <c r="F877" s="2">
        <f>IF(D877="","",IF(E877="NO ENCONTRADO","CODIGO NO EXISTE",IF(COUNTIF($D$2:D877,D877)&gt;1,"DEVOLUCION DUPLICADA",IF(COUNTIFS(SALIDAS!$B$2:$B$1000,B877,SALIDAS!$D$2:$D$1000,D877,SALIDAS!$G$2:$G$1000,"OK*")=0,"NO FIGURA EN SALIDA","OK"))))</f>
        <v/>
      </c>
    </row>
    <row r="878">
      <c r="A878" s="9" t="inlineStr"/>
      <c r="B878" s="2" t="inlineStr"/>
      <c r="C878" s="2" t="inlineStr"/>
      <c r="D878" s="2" t="inlineStr"/>
      <c r="E878" s="2">
        <f>IF(D878="","",IFERROR(XLOOKUP(TRIM(D878),INVENTARIO!$A$2:$A$2000,INVENTARIO!$B$2:$B$2000),"NO ENCONTRADO"))</f>
        <v/>
      </c>
      <c r="F878" s="2">
        <f>IF(D878="","",IF(E878="NO ENCONTRADO","CODIGO NO EXISTE",IF(COUNTIF($D$2:D878,D878)&gt;1,"DEVOLUCION DUPLICADA",IF(COUNTIFS(SALIDAS!$B$2:$B$1000,B878,SALIDAS!$D$2:$D$1000,D878,SALIDAS!$G$2:$G$1000,"OK*")=0,"NO FIGURA EN SALIDA","OK"))))</f>
        <v/>
      </c>
    </row>
    <row r="879">
      <c r="A879" s="9" t="inlineStr"/>
      <c r="B879" s="2" t="inlineStr"/>
      <c r="C879" s="2" t="inlineStr"/>
      <c r="D879" s="2" t="inlineStr"/>
      <c r="E879" s="2">
        <f>IF(D879="","",IFERROR(XLOOKUP(TRIM(D879),INVENTARIO!$A$2:$A$2000,INVENTARIO!$B$2:$B$2000),"NO ENCONTRADO"))</f>
        <v/>
      </c>
      <c r="F879" s="2">
        <f>IF(D879="","",IF(E879="NO ENCONTRADO","CODIGO NO EXISTE",IF(COUNTIF($D$2:D879,D879)&gt;1,"DEVOLUCION DUPLICADA",IF(COUNTIFS(SALIDAS!$B$2:$B$1000,B879,SALIDAS!$D$2:$D$1000,D879,SALIDAS!$G$2:$G$1000,"OK*")=0,"NO FIGURA EN SALIDA","OK"))))</f>
        <v/>
      </c>
    </row>
    <row r="880">
      <c r="A880" s="9" t="inlineStr"/>
      <c r="B880" s="2" t="inlineStr"/>
      <c r="C880" s="2" t="inlineStr"/>
      <c r="D880" s="2" t="inlineStr"/>
      <c r="E880" s="2">
        <f>IF(D880="","",IFERROR(XLOOKUP(TRIM(D880),INVENTARIO!$A$2:$A$2000,INVENTARIO!$B$2:$B$2000),"NO ENCONTRADO"))</f>
        <v/>
      </c>
      <c r="F880" s="2">
        <f>IF(D880="","",IF(E880="NO ENCONTRADO","CODIGO NO EXISTE",IF(COUNTIF($D$2:D880,D880)&gt;1,"DEVOLUCION DUPLICADA",IF(COUNTIFS(SALIDAS!$B$2:$B$1000,B880,SALIDAS!$D$2:$D$1000,D880,SALIDAS!$G$2:$G$1000,"OK*")=0,"NO FIGURA EN SALIDA","OK"))))</f>
        <v/>
      </c>
    </row>
    <row r="881">
      <c r="A881" s="9" t="inlineStr"/>
      <c r="B881" s="2" t="inlineStr"/>
      <c r="C881" s="2" t="inlineStr"/>
      <c r="D881" s="2" t="inlineStr"/>
      <c r="E881" s="2">
        <f>IF(D881="","",IFERROR(XLOOKUP(TRIM(D881),INVENTARIO!$A$2:$A$2000,INVENTARIO!$B$2:$B$2000),"NO ENCONTRADO"))</f>
        <v/>
      </c>
      <c r="F881" s="2">
        <f>IF(D881="","",IF(E881="NO ENCONTRADO","CODIGO NO EXISTE",IF(COUNTIF($D$2:D881,D881)&gt;1,"DEVOLUCION DUPLICADA",IF(COUNTIFS(SALIDAS!$B$2:$B$1000,B881,SALIDAS!$D$2:$D$1000,D881,SALIDAS!$G$2:$G$1000,"OK*")=0,"NO FIGURA EN SALIDA","OK"))))</f>
        <v/>
      </c>
    </row>
    <row r="882">
      <c r="A882" s="9" t="inlineStr"/>
      <c r="B882" s="2" t="inlineStr"/>
      <c r="C882" s="2" t="inlineStr"/>
      <c r="D882" s="2" t="inlineStr"/>
      <c r="E882" s="2">
        <f>IF(D882="","",IFERROR(XLOOKUP(TRIM(D882),INVENTARIO!$A$2:$A$2000,INVENTARIO!$B$2:$B$2000),"NO ENCONTRADO"))</f>
        <v/>
      </c>
      <c r="F882" s="2">
        <f>IF(D882="","",IF(E882="NO ENCONTRADO","CODIGO NO EXISTE",IF(COUNTIF($D$2:D882,D882)&gt;1,"DEVOLUCION DUPLICADA",IF(COUNTIFS(SALIDAS!$B$2:$B$1000,B882,SALIDAS!$D$2:$D$1000,D882,SALIDAS!$G$2:$G$1000,"OK*")=0,"NO FIGURA EN SALIDA","OK"))))</f>
        <v/>
      </c>
    </row>
    <row r="883">
      <c r="A883" s="9" t="inlineStr"/>
      <c r="B883" s="2" t="inlineStr"/>
      <c r="C883" s="2" t="inlineStr"/>
      <c r="D883" s="2" t="inlineStr"/>
      <c r="E883" s="2">
        <f>IF(D883="","",IFERROR(XLOOKUP(TRIM(D883),INVENTARIO!$A$2:$A$2000,INVENTARIO!$B$2:$B$2000),"NO ENCONTRADO"))</f>
        <v/>
      </c>
      <c r="F883" s="2">
        <f>IF(D883="","",IF(E883="NO ENCONTRADO","CODIGO NO EXISTE",IF(COUNTIF($D$2:D883,D883)&gt;1,"DEVOLUCION DUPLICADA",IF(COUNTIFS(SALIDAS!$B$2:$B$1000,B883,SALIDAS!$D$2:$D$1000,D883,SALIDAS!$G$2:$G$1000,"OK*")=0,"NO FIGURA EN SALIDA","OK"))))</f>
        <v/>
      </c>
    </row>
    <row r="884">
      <c r="A884" s="9" t="inlineStr"/>
      <c r="B884" s="2" t="inlineStr"/>
      <c r="C884" s="2" t="inlineStr"/>
      <c r="D884" s="2" t="inlineStr"/>
      <c r="E884" s="2">
        <f>IF(D884="","",IFERROR(XLOOKUP(TRIM(D884),INVENTARIO!$A$2:$A$2000,INVENTARIO!$B$2:$B$2000),"NO ENCONTRADO"))</f>
        <v/>
      </c>
      <c r="F884" s="2">
        <f>IF(D884="","",IF(E884="NO ENCONTRADO","CODIGO NO EXISTE",IF(COUNTIF($D$2:D884,D884)&gt;1,"DEVOLUCION DUPLICADA",IF(COUNTIFS(SALIDAS!$B$2:$B$1000,B884,SALIDAS!$D$2:$D$1000,D884,SALIDAS!$G$2:$G$1000,"OK*")=0,"NO FIGURA EN SALIDA","OK"))))</f>
        <v/>
      </c>
    </row>
    <row r="885">
      <c r="A885" s="9" t="inlineStr"/>
      <c r="B885" s="2" t="inlineStr"/>
      <c r="C885" s="2" t="inlineStr"/>
      <c r="D885" s="2" t="inlineStr"/>
      <c r="E885" s="2">
        <f>IF(D885="","",IFERROR(XLOOKUP(TRIM(D885),INVENTARIO!$A$2:$A$2000,INVENTARIO!$B$2:$B$2000),"NO ENCONTRADO"))</f>
        <v/>
      </c>
      <c r="F885" s="2">
        <f>IF(D885="","",IF(E885="NO ENCONTRADO","CODIGO NO EXISTE",IF(COUNTIF($D$2:D885,D885)&gt;1,"DEVOLUCION DUPLICADA",IF(COUNTIFS(SALIDAS!$B$2:$B$1000,B885,SALIDAS!$D$2:$D$1000,D885,SALIDAS!$G$2:$G$1000,"OK*")=0,"NO FIGURA EN SALIDA","OK"))))</f>
        <v/>
      </c>
    </row>
    <row r="886">
      <c r="A886" s="9" t="inlineStr"/>
      <c r="B886" s="2" t="inlineStr"/>
      <c r="C886" s="2" t="inlineStr"/>
      <c r="D886" s="2" t="inlineStr"/>
      <c r="E886" s="2">
        <f>IF(D886="","",IFERROR(XLOOKUP(TRIM(D886),INVENTARIO!$A$2:$A$2000,INVENTARIO!$B$2:$B$2000),"NO ENCONTRADO"))</f>
        <v/>
      </c>
      <c r="F886" s="2">
        <f>IF(D886="","",IF(E886="NO ENCONTRADO","CODIGO NO EXISTE",IF(COUNTIF($D$2:D886,D886)&gt;1,"DEVOLUCION DUPLICADA",IF(COUNTIFS(SALIDAS!$B$2:$B$1000,B886,SALIDAS!$D$2:$D$1000,D886,SALIDAS!$G$2:$G$1000,"OK*")=0,"NO FIGURA EN SALIDA","OK"))))</f>
        <v/>
      </c>
    </row>
    <row r="887">
      <c r="A887" s="9" t="inlineStr"/>
      <c r="B887" s="2" t="inlineStr"/>
      <c r="C887" s="2" t="inlineStr"/>
      <c r="D887" s="2" t="inlineStr"/>
      <c r="E887" s="2">
        <f>IF(D887="","",IFERROR(XLOOKUP(TRIM(D887),INVENTARIO!$A$2:$A$2000,INVENTARIO!$B$2:$B$2000),"NO ENCONTRADO"))</f>
        <v/>
      </c>
      <c r="F887" s="2">
        <f>IF(D887="","",IF(E887="NO ENCONTRADO","CODIGO NO EXISTE",IF(COUNTIF($D$2:D887,D887)&gt;1,"DEVOLUCION DUPLICADA",IF(COUNTIFS(SALIDAS!$B$2:$B$1000,B887,SALIDAS!$D$2:$D$1000,D887,SALIDAS!$G$2:$G$1000,"OK*")=0,"NO FIGURA EN SALIDA","OK"))))</f>
        <v/>
      </c>
    </row>
    <row r="888">
      <c r="A888" s="9" t="inlineStr"/>
      <c r="B888" s="2" t="inlineStr"/>
      <c r="C888" s="2" t="inlineStr"/>
      <c r="D888" s="2" t="inlineStr"/>
      <c r="E888" s="2">
        <f>IF(D888="","",IFERROR(XLOOKUP(TRIM(D888),INVENTARIO!$A$2:$A$2000,INVENTARIO!$B$2:$B$2000),"NO ENCONTRADO"))</f>
        <v/>
      </c>
      <c r="F888" s="2">
        <f>IF(D888="","",IF(E888="NO ENCONTRADO","CODIGO NO EXISTE",IF(COUNTIF($D$2:D888,D888)&gt;1,"DEVOLUCION DUPLICADA",IF(COUNTIFS(SALIDAS!$B$2:$B$1000,B888,SALIDAS!$D$2:$D$1000,D888,SALIDAS!$G$2:$G$1000,"OK*")=0,"NO FIGURA EN SALIDA","OK"))))</f>
        <v/>
      </c>
    </row>
    <row r="889">
      <c r="A889" s="9" t="inlineStr"/>
      <c r="B889" s="2" t="inlineStr"/>
      <c r="C889" s="2" t="inlineStr"/>
      <c r="D889" s="2" t="inlineStr"/>
      <c r="E889" s="2">
        <f>IF(D889="","",IFERROR(XLOOKUP(TRIM(D889),INVENTARIO!$A$2:$A$2000,INVENTARIO!$B$2:$B$2000),"NO ENCONTRADO"))</f>
        <v/>
      </c>
      <c r="F889" s="2">
        <f>IF(D889="","",IF(E889="NO ENCONTRADO","CODIGO NO EXISTE",IF(COUNTIF($D$2:D889,D889)&gt;1,"DEVOLUCION DUPLICADA",IF(COUNTIFS(SALIDAS!$B$2:$B$1000,B889,SALIDAS!$D$2:$D$1000,D889,SALIDAS!$G$2:$G$1000,"OK*")=0,"NO FIGURA EN SALIDA","OK"))))</f>
        <v/>
      </c>
    </row>
    <row r="890">
      <c r="A890" s="9" t="inlineStr"/>
      <c r="B890" s="2" t="inlineStr"/>
      <c r="C890" s="2" t="inlineStr"/>
      <c r="D890" s="2" t="inlineStr"/>
      <c r="E890" s="2">
        <f>IF(D890="","",IFERROR(XLOOKUP(TRIM(D890),INVENTARIO!$A$2:$A$2000,INVENTARIO!$B$2:$B$2000),"NO ENCONTRADO"))</f>
        <v/>
      </c>
      <c r="F890" s="2">
        <f>IF(D890="","",IF(E890="NO ENCONTRADO","CODIGO NO EXISTE",IF(COUNTIF($D$2:D890,D890)&gt;1,"DEVOLUCION DUPLICADA",IF(COUNTIFS(SALIDAS!$B$2:$B$1000,B890,SALIDAS!$D$2:$D$1000,D890,SALIDAS!$G$2:$G$1000,"OK*")=0,"NO FIGURA EN SALIDA","OK"))))</f>
        <v/>
      </c>
    </row>
    <row r="891">
      <c r="A891" s="9" t="inlineStr"/>
      <c r="B891" s="2" t="inlineStr"/>
      <c r="C891" s="2" t="inlineStr"/>
      <c r="D891" s="2" t="inlineStr"/>
      <c r="E891" s="2">
        <f>IF(D891="","",IFERROR(XLOOKUP(TRIM(D891),INVENTARIO!$A$2:$A$2000,INVENTARIO!$B$2:$B$2000),"NO ENCONTRADO"))</f>
        <v/>
      </c>
      <c r="F891" s="2">
        <f>IF(D891="","",IF(E891="NO ENCONTRADO","CODIGO NO EXISTE",IF(COUNTIF($D$2:D891,D891)&gt;1,"DEVOLUCION DUPLICADA",IF(COUNTIFS(SALIDAS!$B$2:$B$1000,B891,SALIDAS!$D$2:$D$1000,D891,SALIDAS!$G$2:$G$1000,"OK*")=0,"NO FIGURA EN SALIDA","OK"))))</f>
        <v/>
      </c>
    </row>
    <row r="892">
      <c r="A892" s="9" t="inlineStr"/>
      <c r="B892" s="2" t="inlineStr"/>
      <c r="C892" s="2" t="inlineStr"/>
      <c r="D892" s="2" t="inlineStr"/>
      <c r="E892" s="2">
        <f>IF(D892="","",IFERROR(XLOOKUP(TRIM(D892),INVENTARIO!$A$2:$A$2000,INVENTARIO!$B$2:$B$2000),"NO ENCONTRADO"))</f>
        <v/>
      </c>
      <c r="F892" s="2">
        <f>IF(D892="","",IF(E892="NO ENCONTRADO","CODIGO NO EXISTE",IF(COUNTIF($D$2:D892,D892)&gt;1,"DEVOLUCION DUPLICADA",IF(COUNTIFS(SALIDAS!$B$2:$B$1000,B892,SALIDAS!$D$2:$D$1000,D892,SALIDAS!$G$2:$G$1000,"OK*")=0,"NO FIGURA EN SALIDA","OK"))))</f>
        <v/>
      </c>
    </row>
    <row r="893">
      <c r="A893" s="9" t="inlineStr"/>
      <c r="B893" s="2" t="inlineStr"/>
      <c r="C893" s="2" t="inlineStr"/>
      <c r="D893" s="2" t="inlineStr"/>
      <c r="E893" s="2">
        <f>IF(D893="","",IFERROR(XLOOKUP(TRIM(D893),INVENTARIO!$A$2:$A$2000,INVENTARIO!$B$2:$B$2000),"NO ENCONTRADO"))</f>
        <v/>
      </c>
      <c r="F893" s="2">
        <f>IF(D893="","",IF(E893="NO ENCONTRADO","CODIGO NO EXISTE",IF(COUNTIF($D$2:D893,D893)&gt;1,"DEVOLUCION DUPLICADA",IF(COUNTIFS(SALIDAS!$B$2:$B$1000,B893,SALIDAS!$D$2:$D$1000,D893,SALIDAS!$G$2:$G$1000,"OK*")=0,"NO FIGURA EN SALIDA","OK"))))</f>
        <v/>
      </c>
    </row>
    <row r="894">
      <c r="A894" s="9" t="inlineStr"/>
      <c r="B894" s="2" t="inlineStr"/>
      <c r="C894" s="2" t="inlineStr"/>
      <c r="D894" s="2" t="inlineStr"/>
      <c r="E894" s="2">
        <f>IF(D894="","",IFERROR(XLOOKUP(TRIM(D894),INVENTARIO!$A$2:$A$2000,INVENTARIO!$B$2:$B$2000),"NO ENCONTRADO"))</f>
        <v/>
      </c>
      <c r="F894" s="2">
        <f>IF(D894="","",IF(E894="NO ENCONTRADO","CODIGO NO EXISTE",IF(COUNTIF($D$2:D894,D894)&gt;1,"DEVOLUCION DUPLICADA",IF(COUNTIFS(SALIDAS!$B$2:$B$1000,B894,SALIDAS!$D$2:$D$1000,D894,SALIDAS!$G$2:$G$1000,"OK*")=0,"NO FIGURA EN SALIDA","OK"))))</f>
        <v/>
      </c>
    </row>
    <row r="895">
      <c r="A895" s="9" t="inlineStr"/>
      <c r="B895" s="2" t="inlineStr"/>
      <c r="C895" s="2" t="inlineStr"/>
      <c r="D895" s="2" t="inlineStr"/>
      <c r="E895" s="2">
        <f>IF(D895="","",IFERROR(XLOOKUP(TRIM(D895),INVENTARIO!$A$2:$A$2000,INVENTARIO!$B$2:$B$2000),"NO ENCONTRADO"))</f>
        <v/>
      </c>
      <c r="F895" s="2">
        <f>IF(D895="","",IF(E895="NO ENCONTRADO","CODIGO NO EXISTE",IF(COUNTIF($D$2:D895,D895)&gt;1,"DEVOLUCION DUPLICADA",IF(COUNTIFS(SALIDAS!$B$2:$B$1000,B895,SALIDAS!$D$2:$D$1000,D895,SALIDAS!$G$2:$G$1000,"OK*")=0,"NO FIGURA EN SALIDA","OK"))))</f>
        <v/>
      </c>
    </row>
    <row r="896">
      <c r="A896" s="9" t="inlineStr"/>
      <c r="B896" s="2" t="inlineStr"/>
      <c r="C896" s="2" t="inlineStr"/>
      <c r="D896" s="2" t="inlineStr"/>
      <c r="E896" s="2">
        <f>IF(D896="","",IFERROR(XLOOKUP(TRIM(D896),INVENTARIO!$A$2:$A$2000,INVENTARIO!$B$2:$B$2000),"NO ENCONTRADO"))</f>
        <v/>
      </c>
      <c r="F896" s="2">
        <f>IF(D896="","",IF(E896="NO ENCONTRADO","CODIGO NO EXISTE",IF(COUNTIF($D$2:D896,D896)&gt;1,"DEVOLUCION DUPLICADA",IF(COUNTIFS(SALIDAS!$B$2:$B$1000,B896,SALIDAS!$D$2:$D$1000,D896,SALIDAS!$G$2:$G$1000,"OK*")=0,"NO FIGURA EN SALIDA","OK"))))</f>
        <v/>
      </c>
    </row>
    <row r="897">
      <c r="A897" s="9" t="inlineStr"/>
      <c r="B897" s="2" t="inlineStr"/>
      <c r="C897" s="2" t="inlineStr"/>
      <c r="D897" s="2" t="inlineStr"/>
      <c r="E897" s="2">
        <f>IF(D897="","",IFERROR(XLOOKUP(TRIM(D897),INVENTARIO!$A$2:$A$2000,INVENTARIO!$B$2:$B$2000),"NO ENCONTRADO"))</f>
        <v/>
      </c>
      <c r="F897" s="2">
        <f>IF(D897="","",IF(E897="NO ENCONTRADO","CODIGO NO EXISTE",IF(COUNTIF($D$2:D897,D897)&gt;1,"DEVOLUCION DUPLICADA",IF(COUNTIFS(SALIDAS!$B$2:$B$1000,B897,SALIDAS!$D$2:$D$1000,D897,SALIDAS!$G$2:$G$1000,"OK*")=0,"NO FIGURA EN SALIDA","OK"))))</f>
        <v/>
      </c>
    </row>
    <row r="898">
      <c r="A898" s="9" t="inlineStr"/>
      <c r="B898" s="2" t="inlineStr"/>
      <c r="C898" s="2" t="inlineStr"/>
      <c r="D898" s="2" t="inlineStr"/>
      <c r="E898" s="2">
        <f>IF(D898="","",IFERROR(XLOOKUP(TRIM(D898),INVENTARIO!$A$2:$A$2000,INVENTARIO!$B$2:$B$2000),"NO ENCONTRADO"))</f>
        <v/>
      </c>
      <c r="F898" s="2">
        <f>IF(D898="","",IF(E898="NO ENCONTRADO","CODIGO NO EXISTE",IF(COUNTIF($D$2:D898,D898)&gt;1,"DEVOLUCION DUPLICADA",IF(COUNTIFS(SALIDAS!$B$2:$B$1000,B898,SALIDAS!$D$2:$D$1000,D898,SALIDAS!$G$2:$G$1000,"OK*")=0,"NO FIGURA EN SALIDA","OK"))))</f>
        <v/>
      </c>
    </row>
    <row r="899">
      <c r="A899" s="9" t="inlineStr"/>
      <c r="B899" s="2" t="inlineStr"/>
      <c r="C899" s="2" t="inlineStr"/>
      <c r="D899" s="2" t="inlineStr"/>
      <c r="E899" s="2">
        <f>IF(D899="","",IFERROR(XLOOKUP(TRIM(D899),INVENTARIO!$A$2:$A$2000,INVENTARIO!$B$2:$B$2000),"NO ENCONTRADO"))</f>
        <v/>
      </c>
      <c r="F899" s="2">
        <f>IF(D899="","",IF(E899="NO ENCONTRADO","CODIGO NO EXISTE",IF(COUNTIF($D$2:D899,D899)&gt;1,"DEVOLUCION DUPLICADA",IF(COUNTIFS(SALIDAS!$B$2:$B$1000,B899,SALIDAS!$D$2:$D$1000,D899,SALIDAS!$G$2:$G$1000,"OK*")=0,"NO FIGURA EN SALIDA","OK"))))</f>
        <v/>
      </c>
    </row>
    <row r="900">
      <c r="A900" s="9" t="inlineStr"/>
      <c r="B900" s="2" t="inlineStr"/>
      <c r="C900" s="2" t="inlineStr"/>
      <c r="D900" s="2" t="inlineStr"/>
      <c r="E900" s="2">
        <f>IF(D900="","",IFERROR(XLOOKUP(TRIM(D900),INVENTARIO!$A$2:$A$2000,INVENTARIO!$B$2:$B$2000),"NO ENCONTRADO"))</f>
        <v/>
      </c>
      <c r="F900" s="2">
        <f>IF(D900="","",IF(E900="NO ENCONTRADO","CODIGO NO EXISTE",IF(COUNTIF($D$2:D900,D900)&gt;1,"DEVOLUCION DUPLICADA",IF(COUNTIFS(SALIDAS!$B$2:$B$1000,B900,SALIDAS!$D$2:$D$1000,D900,SALIDAS!$G$2:$G$1000,"OK*")=0,"NO FIGURA EN SALIDA","OK"))))</f>
        <v/>
      </c>
    </row>
    <row r="901">
      <c r="A901" s="9" t="inlineStr"/>
      <c r="B901" s="2" t="inlineStr"/>
      <c r="C901" s="2" t="inlineStr"/>
      <c r="D901" s="2" t="inlineStr"/>
      <c r="E901" s="2">
        <f>IF(D901="","",IFERROR(XLOOKUP(TRIM(D901),INVENTARIO!$A$2:$A$2000,INVENTARIO!$B$2:$B$2000),"NO ENCONTRADO"))</f>
        <v/>
      </c>
      <c r="F901" s="2">
        <f>IF(D901="","",IF(E901="NO ENCONTRADO","CODIGO NO EXISTE",IF(COUNTIF($D$2:D901,D901)&gt;1,"DEVOLUCION DUPLICADA",IF(COUNTIFS(SALIDAS!$B$2:$B$1000,B901,SALIDAS!$D$2:$D$1000,D901,SALIDAS!$G$2:$G$1000,"OK*")=0,"NO FIGURA EN SALIDA","OK"))))</f>
        <v/>
      </c>
    </row>
    <row r="902">
      <c r="A902" s="9" t="inlineStr"/>
      <c r="B902" s="2" t="inlineStr"/>
      <c r="C902" s="2" t="inlineStr"/>
      <c r="D902" s="2" t="inlineStr"/>
      <c r="E902" s="2">
        <f>IF(D902="","",IFERROR(XLOOKUP(TRIM(D902),INVENTARIO!$A$2:$A$2000,INVENTARIO!$B$2:$B$2000),"NO ENCONTRADO"))</f>
        <v/>
      </c>
      <c r="F902" s="2">
        <f>IF(D902="","",IF(E902="NO ENCONTRADO","CODIGO NO EXISTE",IF(COUNTIF($D$2:D902,D902)&gt;1,"DEVOLUCION DUPLICADA",IF(COUNTIFS(SALIDAS!$B$2:$B$1000,B902,SALIDAS!$D$2:$D$1000,D902,SALIDAS!$G$2:$G$1000,"OK*")=0,"NO FIGURA EN SALIDA","OK"))))</f>
        <v/>
      </c>
    </row>
    <row r="903">
      <c r="A903" s="9" t="inlineStr"/>
      <c r="B903" s="2" t="inlineStr"/>
      <c r="C903" s="2" t="inlineStr"/>
      <c r="D903" s="2" t="inlineStr"/>
      <c r="E903" s="2">
        <f>IF(D903="","",IFERROR(XLOOKUP(TRIM(D903),INVENTARIO!$A$2:$A$2000,INVENTARIO!$B$2:$B$2000),"NO ENCONTRADO"))</f>
        <v/>
      </c>
      <c r="F903" s="2">
        <f>IF(D903="","",IF(E903="NO ENCONTRADO","CODIGO NO EXISTE",IF(COUNTIF($D$2:D903,D903)&gt;1,"DEVOLUCION DUPLICADA",IF(COUNTIFS(SALIDAS!$B$2:$B$1000,B903,SALIDAS!$D$2:$D$1000,D903,SALIDAS!$G$2:$G$1000,"OK*")=0,"NO FIGURA EN SALIDA","OK"))))</f>
        <v/>
      </c>
    </row>
    <row r="904">
      <c r="A904" s="9" t="inlineStr"/>
      <c r="B904" s="2" t="inlineStr"/>
      <c r="C904" s="2" t="inlineStr"/>
      <c r="D904" s="2" t="inlineStr"/>
      <c r="E904" s="2">
        <f>IF(D904="","",IFERROR(XLOOKUP(TRIM(D904),INVENTARIO!$A$2:$A$2000,INVENTARIO!$B$2:$B$2000),"NO ENCONTRADO"))</f>
        <v/>
      </c>
      <c r="F904" s="2">
        <f>IF(D904="","",IF(E904="NO ENCONTRADO","CODIGO NO EXISTE",IF(COUNTIF($D$2:D904,D904)&gt;1,"DEVOLUCION DUPLICADA",IF(COUNTIFS(SALIDAS!$B$2:$B$1000,B904,SALIDAS!$D$2:$D$1000,D904,SALIDAS!$G$2:$G$1000,"OK*")=0,"NO FIGURA EN SALIDA","OK"))))</f>
        <v/>
      </c>
    </row>
    <row r="905">
      <c r="A905" s="9" t="inlineStr"/>
      <c r="B905" s="2" t="inlineStr"/>
      <c r="C905" s="2" t="inlineStr"/>
      <c r="D905" s="2" t="inlineStr"/>
      <c r="E905" s="2">
        <f>IF(D905="","",IFERROR(XLOOKUP(TRIM(D905),INVENTARIO!$A$2:$A$2000,INVENTARIO!$B$2:$B$2000),"NO ENCONTRADO"))</f>
        <v/>
      </c>
      <c r="F905" s="2">
        <f>IF(D905="","",IF(E905="NO ENCONTRADO","CODIGO NO EXISTE",IF(COUNTIF($D$2:D905,D905)&gt;1,"DEVOLUCION DUPLICADA",IF(COUNTIFS(SALIDAS!$B$2:$B$1000,B905,SALIDAS!$D$2:$D$1000,D905,SALIDAS!$G$2:$G$1000,"OK*")=0,"NO FIGURA EN SALIDA","OK"))))</f>
        <v/>
      </c>
    </row>
    <row r="906">
      <c r="A906" s="9" t="inlineStr"/>
      <c r="B906" s="2" t="inlineStr"/>
      <c r="C906" s="2" t="inlineStr"/>
      <c r="D906" s="2" t="inlineStr"/>
      <c r="E906" s="2">
        <f>IF(D906="","",IFERROR(XLOOKUP(TRIM(D906),INVENTARIO!$A$2:$A$2000,INVENTARIO!$B$2:$B$2000),"NO ENCONTRADO"))</f>
        <v/>
      </c>
      <c r="F906" s="2">
        <f>IF(D906="","",IF(E906="NO ENCONTRADO","CODIGO NO EXISTE",IF(COUNTIF($D$2:D906,D906)&gt;1,"DEVOLUCION DUPLICADA",IF(COUNTIFS(SALIDAS!$B$2:$B$1000,B906,SALIDAS!$D$2:$D$1000,D906,SALIDAS!$G$2:$G$1000,"OK*")=0,"NO FIGURA EN SALIDA","OK"))))</f>
        <v/>
      </c>
    </row>
    <row r="907">
      <c r="A907" s="9" t="inlineStr"/>
      <c r="B907" s="2" t="inlineStr"/>
      <c r="C907" s="2" t="inlineStr"/>
      <c r="D907" s="2" t="inlineStr"/>
      <c r="E907" s="2">
        <f>IF(D907="","",IFERROR(XLOOKUP(TRIM(D907),INVENTARIO!$A$2:$A$2000,INVENTARIO!$B$2:$B$2000),"NO ENCONTRADO"))</f>
        <v/>
      </c>
      <c r="F907" s="2">
        <f>IF(D907="","",IF(E907="NO ENCONTRADO","CODIGO NO EXISTE",IF(COUNTIF($D$2:D907,D907)&gt;1,"DEVOLUCION DUPLICADA",IF(COUNTIFS(SALIDAS!$B$2:$B$1000,B907,SALIDAS!$D$2:$D$1000,D907,SALIDAS!$G$2:$G$1000,"OK*")=0,"NO FIGURA EN SALIDA","OK"))))</f>
        <v/>
      </c>
    </row>
    <row r="908">
      <c r="A908" s="9" t="inlineStr"/>
      <c r="B908" s="2" t="inlineStr"/>
      <c r="C908" s="2" t="inlineStr"/>
      <c r="D908" s="2" t="inlineStr"/>
      <c r="E908" s="2">
        <f>IF(D908="","",IFERROR(XLOOKUP(TRIM(D908),INVENTARIO!$A$2:$A$2000,INVENTARIO!$B$2:$B$2000),"NO ENCONTRADO"))</f>
        <v/>
      </c>
      <c r="F908" s="2">
        <f>IF(D908="","",IF(E908="NO ENCONTRADO","CODIGO NO EXISTE",IF(COUNTIF($D$2:D908,D908)&gt;1,"DEVOLUCION DUPLICADA",IF(COUNTIFS(SALIDAS!$B$2:$B$1000,B908,SALIDAS!$D$2:$D$1000,D908,SALIDAS!$G$2:$G$1000,"OK*")=0,"NO FIGURA EN SALIDA","OK"))))</f>
        <v/>
      </c>
    </row>
    <row r="909">
      <c r="A909" s="9" t="inlineStr"/>
      <c r="B909" s="2" t="inlineStr"/>
      <c r="C909" s="2" t="inlineStr"/>
      <c r="D909" s="2" t="inlineStr"/>
      <c r="E909" s="2">
        <f>IF(D909="","",IFERROR(XLOOKUP(TRIM(D909),INVENTARIO!$A$2:$A$2000,INVENTARIO!$B$2:$B$2000),"NO ENCONTRADO"))</f>
        <v/>
      </c>
      <c r="F909" s="2">
        <f>IF(D909="","",IF(E909="NO ENCONTRADO","CODIGO NO EXISTE",IF(COUNTIF($D$2:D909,D909)&gt;1,"DEVOLUCION DUPLICADA",IF(COUNTIFS(SALIDAS!$B$2:$B$1000,B909,SALIDAS!$D$2:$D$1000,D909,SALIDAS!$G$2:$G$1000,"OK*")=0,"NO FIGURA EN SALIDA","OK"))))</f>
        <v/>
      </c>
    </row>
    <row r="910">
      <c r="A910" s="9" t="inlineStr"/>
      <c r="B910" s="2" t="inlineStr"/>
      <c r="C910" s="2" t="inlineStr"/>
      <c r="D910" s="2" t="inlineStr"/>
      <c r="E910" s="2">
        <f>IF(D910="","",IFERROR(XLOOKUP(TRIM(D910),INVENTARIO!$A$2:$A$2000,INVENTARIO!$B$2:$B$2000),"NO ENCONTRADO"))</f>
        <v/>
      </c>
      <c r="F910" s="2">
        <f>IF(D910="","",IF(E910="NO ENCONTRADO","CODIGO NO EXISTE",IF(COUNTIF($D$2:D910,D910)&gt;1,"DEVOLUCION DUPLICADA",IF(COUNTIFS(SALIDAS!$B$2:$B$1000,B910,SALIDAS!$D$2:$D$1000,D910,SALIDAS!$G$2:$G$1000,"OK*")=0,"NO FIGURA EN SALIDA","OK"))))</f>
        <v/>
      </c>
    </row>
    <row r="911">
      <c r="A911" s="9" t="inlineStr"/>
      <c r="B911" s="2" t="inlineStr"/>
      <c r="C911" s="2" t="inlineStr"/>
      <c r="D911" s="2" t="inlineStr"/>
      <c r="E911" s="2">
        <f>IF(D911="","",IFERROR(XLOOKUP(TRIM(D911),INVENTARIO!$A$2:$A$2000,INVENTARIO!$B$2:$B$2000),"NO ENCONTRADO"))</f>
        <v/>
      </c>
      <c r="F911" s="2">
        <f>IF(D911="","",IF(E911="NO ENCONTRADO","CODIGO NO EXISTE",IF(COUNTIF($D$2:D911,D911)&gt;1,"DEVOLUCION DUPLICADA",IF(COUNTIFS(SALIDAS!$B$2:$B$1000,B911,SALIDAS!$D$2:$D$1000,D911,SALIDAS!$G$2:$G$1000,"OK*")=0,"NO FIGURA EN SALIDA","OK"))))</f>
        <v/>
      </c>
    </row>
    <row r="912">
      <c r="A912" s="9" t="inlineStr"/>
      <c r="B912" s="2" t="inlineStr"/>
      <c r="C912" s="2" t="inlineStr"/>
      <c r="D912" s="2" t="inlineStr"/>
      <c r="E912" s="2">
        <f>IF(D912="","",IFERROR(XLOOKUP(TRIM(D912),INVENTARIO!$A$2:$A$2000,INVENTARIO!$B$2:$B$2000),"NO ENCONTRADO"))</f>
        <v/>
      </c>
      <c r="F912" s="2">
        <f>IF(D912="","",IF(E912="NO ENCONTRADO","CODIGO NO EXISTE",IF(COUNTIF($D$2:D912,D912)&gt;1,"DEVOLUCION DUPLICADA",IF(COUNTIFS(SALIDAS!$B$2:$B$1000,B912,SALIDAS!$D$2:$D$1000,D912,SALIDAS!$G$2:$G$1000,"OK*")=0,"NO FIGURA EN SALIDA","OK"))))</f>
        <v/>
      </c>
    </row>
    <row r="913">
      <c r="A913" s="9" t="inlineStr"/>
      <c r="B913" s="2" t="inlineStr"/>
      <c r="C913" s="2" t="inlineStr"/>
      <c r="D913" s="2" t="inlineStr"/>
      <c r="E913" s="2">
        <f>IF(D913="","",IFERROR(XLOOKUP(TRIM(D913),INVENTARIO!$A$2:$A$2000,INVENTARIO!$B$2:$B$2000),"NO ENCONTRADO"))</f>
        <v/>
      </c>
      <c r="F913" s="2">
        <f>IF(D913="","",IF(E913="NO ENCONTRADO","CODIGO NO EXISTE",IF(COUNTIF($D$2:D913,D913)&gt;1,"DEVOLUCION DUPLICADA",IF(COUNTIFS(SALIDAS!$B$2:$B$1000,B913,SALIDAS!$D$2:$D$1000,D913,SALIDAS!$G$2:$G$1000,"OK*")=0,"NO FIGURA EN SALIDA","OK"))))</f>
        <v/>
      </c>
    </row>
    <row r="914">
      <c r="A914" s="9" t="inlineStr"/>
      <c r="B914" s="2" t="inlineStr"/>
      <c r="C914" s="2" t="inlineStr"/>
      <c r="D914" s="2" t="inlineStr"/>
      <c r="E914" s="2">
        <f>IF(D914="","",IFERROR(XLOOKUP(TRIM(D914),INVENTARIO!$A$2:$A$2000,INVENTARIO!$B$2:$B$2000),"NO ENCONTRADO"))</f>
        <v/>
      </c>
      <c r="F914" s="2">
        <f>IF(D914="","",IF(E914="NO ENCONTRADO","CODIGO NO EXISTE",IF(COUNTIF($D$2:D914,D914)&gt;1,"DEVOLUCION DUPLICADA",IF(COUNTIFS(SALIDAS!$B$2:$B$1000,B914,SALIDAS!$D$2:$D$1000,D914,SALIDAS!$G$2:$G$1000,"OK*")=0,"NO FIGURA EN SALIDA","OK"))))</f>
        <v/>
      </c>
    </row>
    <row r="915">
      <c r="A915" s="9" t="inlineStr"/>
      <c r="B915" s="2" t="inlineStr"/>
      <c r="C915" s="2" t="inlineStr"/>
      <c r="D915" s="2" t="inlineStr"/>
      <c r="E915" s="2">
        <f>IF(D915="","",IFERROR(XLOOKUP(TRIM(D915),INVENTARIO!$A$2:$A$2000,INVENTARIO!$B$2:$B$2000),"NO ENCONTRADO"))</f>
        <v/>
      </c>
      <c r="F915" s="2">
        <f>IF(D915="","",IF(E915="NO ENCONTRADO","CODIGO NO EXISTE",IF(COUNTIF($D$2:D915,D915)&gt;1,"DEVOLUCION DUPLICADA",IF(COUNTIFS(SALIDAS!$B$2:$B$1000,B915,SALIDAS!$D$2:$D$1000,D915,SALIDAS!$G$2:$G$1000,"OK*")=0,"NO FIGURA EN SALIDA","OK"))))</f>
        <v/>
      </c>
    </row>
    <row r="916">
      <c r="A916" s="9" t="inlineStr"/>
      <c r="B916" s="2" t="inlineStr"/>
      <c r="C916" s="2" t="inlineStr"/>
      <c r="D916" s="2" t="inlineStr"/>
      <c r="E916" s="2">
        <f>IF(D916="","",IFERROR(XLOOKUP(TRIM(D916),INVENTARIO!$A$2:$A$2000,INVENTARIO!$B$2:$B$2000),"NO ENCONTRADO"))</f>
        <v/>
      </c>
      <c r="F916" s="2">
        <f>IF(D916="","",IF(E916="NO ENCONTRADO","CODIGO NO EXISTE",IF(COUNTIF($D$2:D916,D916)&gt;1,"DEVOLUCION DUPLICADA",IF(COUNTIFS(SALIDAS!$B$2:$B$1000,B916,SALIDAS!$D$2:$D$1000,D916,SALIDAS!$G$2:$G$1000,"OK*")=0,"NO FIGURA EN SALIDA","OK"))))</f>
        <v/>
      </c>
    </row>
    <row r="917">
      <c r="A917" s="9" t="inlineStr"/>
      <c r="B917" s="2" t="inlineStr"/>
      <c r="C917" s="2" t="inlineStr"/>
      <c r="D917" s="2" t="inlineStr"/>
      <c r="E917" s="2">
        <f>IF(D917="","",IFERROR(XLOOKUP(TRIM(D917),INVENTARIO!$A$2:$A$2000,INVENTARIO!$B$2:$B$2000),"NO ENCONTRADO"))</f>
        <v/>
      </c>
      <c r="F917" s="2">
        <f>IF(D917="","",IF(E917="NO ENCONTRADO","CODIGO NO EXISTE",IF(COUNTIF($D$2:D917,D917)&gt;1,"DEVOLUCION DUPLICADA",IF(COUNTIFS(SALIDAS!$B$2:$B$1000,B917,SALIDAS!$D$2:$D$1000,D917,SALIDAS!$G$2:$G$1000,"OK*")=0,"NO FIGURA EN SALIDA","OK"))))</f>
        <v/>
      </c>
    </row>
    <row r="918">
      <c r="A918" s="9" t="inlineStr"/>
      <c r="B918" s="2" t="inlineStr"/>
      <c r="C918" s="2" t="inlineStr"/>
      <c r="D918" s="2" t="inlineStr"/>
      <c r="E918" s="2">
        <f>IF(D918="","",IFERROR(XLOOKUP(TRIM(D918),INVENTARIO!$A$2:$A$2000,INVENTARIO!$B$2:$B$2000),"NO ENCONTRADO"))</f>
        <v/>
      </c>
      <c r="F918" s="2">
        <f>IF(D918="","",IF(E918="NO ENCONTRADO","CODIGO NO EXISTE",IF(COUNTIF($D$2:D918,D918)&gt;1,"DEVOLUCION DUPLICADA",IF(COUNTIFS(SALIDAS!$B$2:$B$1000,B918,SALIDAS!$D$2:$D$1000,D918,SALIDAS!$G$2:$G$1000,"OK*")=0,"NO FIGURA EN SALIDA","OK"))))</f>
        <v/>
      </c>
    </row>
    <row r="919">
      <c r="A919" s="9" t="inlineStr"/>
      <c r="B919" s="2" t="inlineStr"/>
      <c r="C919" s="2" t="inlineStr"/>
      <c r="D919" s="2" t="inlineStr"/>
      <c r="E919" s="2">
        <f>IF(D919="","",IFERROR(XLOOKUP(TRIM(D919),INVENTARIO!$A$2:$A$2000,INVENTARIO!$B$2:$B$2000),"NO ENCONTRADO"))</f>
        <v/>
      </c>
      <c r="F919" s="2">
        <f>IF(D919="","",IF(E919="NO ENCONTRADO","CODIGO NO EXISTE",IF(COUNTIF($D$2:D919,D919)&gt;1,"DEVOLUCION DUPLICADA",IF(COUNTIFS(SALIDAS!$B$2:$B$1000,B919,SALIDAS!$D$2:$D$1000,D919,SALIDAS!$G$2:$G$1000,"OK*")=0,"NO FIGURA EN SALIDA","OK"))))</f>
        <v/>
      </c>
    </row>
    <row r="920">
      <c r="A920" s="9" t="inlineStr"/>
      <c r="B920" s="2" t="inlineStr"/>
      <c r="C920" s="2" t="inlineStr"/>
      <c r="D920" s="2" t="inlineStr"/>
      <c r="E920" s="2">
        <f>IF(D920="","",IFERROR(XLOOKUP(TRIM(D920),INVENTARIO!$A$2:$A$2000,INVENTARIO!$B$2:$B$2000),"NO ENCONTRADO"))</f>
        <v/>
      </c>
      <c r="F920" s="2">
        <f>IF(D920="","",IF(E920="NO ENCONTRADO","CODIGO NO EXISTE",IF(COUNTIF($D$2:D920,D920)&gt;1,"DEVOLUCION DUPLICADA",IF(COUNTIFS(SALIDAS!$B$2:$B$1000,B920,SALIDAS!$D$2:$D$1000,D920,SALIDAS!$G$2:$G$1000,"OK*")=0,"NO FIGURA EN SALIDA","OK"))))</f>
        <v/>
      </c>
    </row>
    <row r="921">
      <c r="A921" s="9" t="inlineStr"/>
      <c r="B921" s="2" t="inlineStr"/>
      <c r="C921" s="2" t="inlineStr"/>
      <c r="D921" s="2" t="inlineStr"/>
      <c r="E921" s="2">
        <f>IF(D921="","",IFERROR(XLOOKUP(TRIM(D921),INVENTARIO!$A$2:$A$2000,INVENTARIO!$B$2:$B$2000),"NO ENCONTRADO"))</f>
        <v/>
      </c>
      <c r="F921" s="2">
        <f>IF(D921="","",IF(E921="NO ENCONTRADO","CODIGO NO EXISTE",IF(COUNTIF($D$2:D921,D921)&gt;1,"DEVOLUCION DUPLICADA",IF(COUNTIFS(SALIDAS!$B$2:$B$1000,B921,SALIDAS!$D$2:$D$1000,D921,SALIDAS!$G$2:$G$1000,"OK*")=0,"NO FIGURA EN SALIDA","OK"))))</f>
        <v/>
      </c>
    </row>
    <row r="922">
      <c r="A922" s="9" t="inlineStr"/>
      <c r="B922" s="2" t="inlineStr"/>
      <c r="C922" s="2" t="inlineStr"/>
      <c r="D922" s="2" t="inlineStr"/>
      <c r="E922" s="2">
        <f>IF(D922="","",IFERROR(XLOOKUP(TRIM(D922),INVENTARIO!$A$2:$A$2000,INVENTARIO!$B$2:$B$2000),"NO ENCONTRADO"))</f>
        <v/>
      </c>
      <c r="F922" s="2">
        <f>IF(D922="","",IF(E922="NO ENCONTRADO","CODIGO NO EXISTE",IF(COUNTIF($D$2:D922,D922)&gt;1,"DEVOLUCION DUPLICADA",IF(COUNTIFS(SALIDAS!$B$2:$B$1000,B922,SALIDAS!$D$2:$D$1000,D922,SALIDAS!$G$2:$G$1000,"OK*")=0,"NO FIGURA EN SALIDA","OK"))))</f>
        <v/>
      </c>
    </row>
    <row r="923">
      <c r="A923" s="9" t="inlineStr"/>
      <c r="B923" s="2" t="inlineStr"/>
      <c r="C923" s="2" t="inlineStr"/>
      <c r="D923" s="2" t="inlineStr"/>
      <c r="E923" s="2">
        <f>IF(D923="","",IFERROR(XLOOKUP(TRIM(D923),INVENTARIO!$A$2:$A$2000,INVENTARIO!$B$2:$B$2000),"NO ENCONTRADO"))</f>
        <v/>
      </c>
      <c r="F923" s="2">
        <f>IF(D923="","",IF(E923="NO ENCONTRADO","CODIGO NO EXISTE",IF(COUNTIF($D$2:D923,D923)&gt;1,"DEVOLUCION DUPLICADA",IF(COUNTIFS(SALIDAS!$B$2:$B$1000,B923,SALIDAS!$D$2:$D$1000,D923,SALIDAS!$G$2:$G$1000,"OK*")=0,"NO FIGURA EN SALIDA","OK"))))</f>
        <v/>
      </c>
    </row>
    <row r="924">
      <c r="A924" s="9" t="inlineStr"/>
      <c r="B924" s="2" t="inlineStr"/>
      <c r="C924" s="2" t="inlineStr"/>
      <c r="D924" s="2" t="inlineStr"/>
      <c r="E924" s="2">
        <f>IF(D924="","",IFERROR(XLOOKUP(TRIM(D924),INVENTARIO!$A$2:$A$2000,INVENTARIO!$B$2:$B$2000),"NO ENCONTRADO"))</f>
        <v/>
      </c>
      <c r="F924" s="2">
        <f>IF(D924="","",IF(E924="NO ENCONTRADO","CODIGO NO EXISTE",IF(COUNTIF($D$2:D924,D924)&gt;1,"DEVOLUCION DUPLICADA",IF(COUNTIFS(SALIDAS!$B$2:$B$1000,B924,SALIDAS!$D$2:$D$1000,D924,SALIDAS!$G$2:$G$1000,"OK*")=0,"NO FIGURA EN SALIDA","OK"))))</f>
        <v/>
      </c>
    </row>
    <row r="925">
      <c r="A925" s="9" t="inlineStr"/>
      <c r="B925" s="2" t="inlineStr"/>
      <c r="C925" s="2" t="inlineStr"/>
      <c r="D925" s="2" t="inlineStr"/>
      <c r="E925" s="2">
        <f>IF(D925="","",IFERROR(XLOOKUP(TRIM(D925),INVENTARIO!$A$2:$A$2000,INVENTARIO!$B$2:$B$2000),"NO ENCONTRADO"))</f>
        <v/>
      </c>
      <c r="F925" s="2">
        <f>IF(D925="","",IF(E925="NO ENCONTRADO","CODIGO NO EXISTE",IF(COUNTIF($D$2:D925,D925)&gt;1,"DEVOLUCION DUPLICADA",IF(COUNTIFS(SALIDAS!$B$2:$B$1000,B925,SALIDAS!$D$2:$D$1000,D925,SALIDAS!$G$2:$G$1000,"OK*")=0,"NO FIGURA EN SALIDA","OK"))))</f>
        <v/>
      </c>
    </row>
    <row r="926">
      <c r="A926" s="9" t="inlineStr"/>
      <c r="B926" s="2" t="inlineStr"/>
      <c r="C926" s="2" t="inlineStr"/>
      <c r="D926" s="2" t="inlineStr"/>
      <c r="E926" s="2">
        <f>IF(D926="","",IFERROR(XLOOKUP(TRIM(D926),INVENTARIO!$A$2:$A$2000,INVENTARIO!$B$2:$B$2000),"NO ENCONTRADO"))</f>
        <v/>
      </c>
      <c r="F926" s="2">
        <f>IF(D926="","",IF(E926="NO ENCONTRADO","CODIGO NO EXISTE",IF(COUNTIF($D$2:D926,D926)&gt;1,"DEVOLUCION DUPLICADA",IF(COUNTIFS(SALIDAS!$B$2:$B$1000,B926,SALIDAS!$D$2:$D$1000,D926,SALIDAS!$G$2:$G$1000,"OK*")=0,"NO FIGURA EN SALIDA","OK"))))</f>
        <v/>
      </c>
    </row>
    <row r="927">
      <c r="A927" s="9" t="inlineStr"/>
      <c r="B927" s="2" t="inlineStr"/>
      <c r="C927" s="2" t="inlineStr"/>
      <c r="D927" s="2" t="inlineStr"/>
      <c r="E927" s="2">
        <f>IF(D927="","",IFERROR(XLOOKUP(TRIM(D927),INVENTARIO!$A$2:$A$2000,INVENTARIO!$B$2:$B$2000),"NO ENCONTRADO"))</f>
        <v/>
      </c>
      <c r="F927" s="2">
        <f>IF(D927="","",IF(E927="NO ENCONTRADO","CODIGO NO EXISTE",IF(COUNTIF($D$2:D927,D927)&gt;1,"DEVOLUCION DUPLICADA",IF(COUNTIFS(SALIDAS!$B$2:$B$1000,B927,SALIDAS!$D$2:$D$1000,D927,SALIDAS!$G$2:$G$1000,"OK*")=0,"NO FIGURA EN SALIDA","OK"))))</f>
        <v/>
      </c>
    </row>
    <row r="928">
      <c r="A928" s="9" t="inlineStr"/>
      <c r="B928" s="2" t="inlineStr"/>
      <c r="C928" s="2" t="inlineStr"/>
      <c r="D928" s="2" t="inlineStr"/>
      <c r="E928" s="2">
        <f>IF(D928="","",IFERROR(XLOOKUP(TRIM(D928),INVENTARIO!$A$2:$A$2000,INVENTARIO!$B$2:$B$2000),"NO ENCONTRADO"))</f>
        <v/>
      </c>
      <c r="F928" s="2">
        <f>IF(D928="","",IF(E928="NO ENCONTRADO","CODIGO NO EXISTE",IF(COUNTIF($D$2:D928,D928)&gt;1,"DEVOLUCION DUPLICADA",IF(COUNTIFS(SALIDAS!$B$2:$B$1000,B928,SALIDAS!$D$2:$D$1000,D928,SALIDAS!$G$2:$G$1000,"OK*")=0,"NO FIGURA EN SALIDA","OK"))))</f>
        <v/>
      </c>
    </row>
    <row r="929">
      <c r="A929" s="9" t="inlineStr"/>
      <c r="B929" s="2" t="inlineStr"/>
      <c r="C929" s="2" t="inlineStr"/>
      <c r="D929" s="2" t="inlineStr"/>
      <c r="E929" s="2">
        <f>IF(D929="","",IFERROR(XLOOKUP(TRIM(D929),INVENTARIO!$A$2:$A$2000,INVENTARIO!$B$2:$B$2000),"NO ENCONTRADO"))</f>
        <v/>
      </c>
      <c r="F929" s="2">
        <f>IF(D929="","",IF(E929="NO ENCONTRADO","CODIGO NO EXISTE",IF(COUNTIF($D$2:D929,D929)&gt;1,"DEVOLUCION DUPLICADA",IF(COUNTIFS(SALIDAS!$B$2:$B$1000,B929,SALIDAS!$D$2:$D$1000,D929,SALIDAS!$G$2:$G$1000,"OK*")=0,"NO FIGURA EN SALIDA","OK"))))</f>
        <v/>
      </c>
    </row>
    <row r="930">
      <c r="A930" s="9" t="inlineStr"/>
      <c r="B930" s="2" t="inlineStr"/>
      <c r="C930" s="2" t="inlineStr"/>
      <c r="D930" s="2" t="inlineStr"/>
      <c r="E930" s="2">
        <f>IF(D930="","",IFERROR(XLOOKUP(TRIM(D930),INVENTARIO!$A$2:$A$2000,INVENTARIO!$B$2:$B$2000),"NO ENCONTRADO"))</f>
        <v/>
      </c>
      <c r="F930" s="2">
        <f>IF(D930="","",IF(E930="NO ENCONTRADO","CODIGO NO EXISTE",IF(COUNTIF($D$2:D930,D930)&gt;1,"DEVOLUCION DUPLICADA",IF(COUNTIFS(SALIDAS!$B$2:$B$1000,B930,SALIDAS!$D$2:$D$1000,D930,SALIDAS!$G$2:$G$1000,"OK*")=0,"NO FIGURA EN SALIDA","OK"))))</f>
        <v/>
      </c>
    </row>
    <row r="931">
      <c r="A931" s="9" t="inlineStr"/>
      <c r="B931" s="2" t="inlineStr"/>
      <c r="C931" s="2" t="inlineStr"/>
      <c r="D931" s="2" t="inlineStr"/>
      <c r="E931" s="2">
        <f>IF(D931="","",IFERROR(XLOOKUP(TRIM(D931),INVENTARIO!$A$2:$A$2000,INVENTARIO!$B$2:$B$2000),"NO ENCONTRADO"))</f>
        <v/>
      </c>
      <c r="F931" s="2">
        <f>IF(D931="","",IF(E931="NO ENCONTRADO","CODIGO NO EXISTE",IF(COUNTIF($D$2:D931,D931)&gt;1,"DEVOLUCION DUPLICADA",IF(COUNTIFS(SALIDAS!$B$2:$B$1000,B931,SALIDAS!$D$2:$D$1000,D931,SALIDAS!$G$2:$G$1000,"OK*")=0,"NO FIGURA EN SALIDA","OK"))))</f>
        <v/>
      </c>
    </row>
    <row r="932">
      <c r="A932" s="9" t="inlineStr"/>
      <c r="B932" s="2" t="inlineStr"/>
      <c r="C932" s="2" t="inlineStr"/>
      <c r="D932" s="2" t="inlineStr"/>
      <c r="E932" s="2">
        <f>IF(D932="","",IFERROR(XLOOKUP(TRIM(D932),INVENTARIO!$A$2:$A$2000,INVENTARIO!$B$2:$B$2000),"NO ENCONTRADO"))</f>
        <v/>
      </c>
      <c r="F932" s="2">
        <f>IF(D932="","",IF(E932="NO ENCONTRADO","CODIGO NO EXISTE",IF(COUNTIF($D$2:D932,D932)&gt;1,"DEVOLUCION DUPLICADA",IF(COUNTIFS(SALIDAS!$B$2:$B$1000,B932,SALIDAS!$D$2:$D$1000,D932,SALIDAS!$G$2:$G$1000,"OK*")=0,"NO FIGURA EN SALIDA","OK"))))</f>
        <v/>
      </c>
    </row>
    <row r="933">
      <c r="A933" s="9" t="inlineStr"/>
      <c r="B933" s="2" t="inlineStr"/>
      <c r="C933" s="2" t="inlineStr"/>
      <c r="D933" s="2" t="inlineStr"/>
      <c r="E933" s="2">
        <f>IF(D933="","",IFERROR(XLOOKUP(TRIM(D933),INVENTARIO!$A$2:$A$2000,INVENTARIO!$B$2:$B$2000),"NO ENCONTRADO"))</f>
        <v/>
      </c>
      <c r="F933" s="2">
        <f>IF(D933="","",IF(E933="NO ENCONTRADO","CODIGO NO EXISTE",IF(COUNTIF($D$2:D933,D933)&gt;1,"DEVOLUCION DUPLICADA",IF(COUNTIFS(SALIDAS!$B$2:$B$1000,B933,SALIDAS!$D$2:$D$1000,D933,SALIDAS!$G$2:$G$1000,"OK*")=0,"NO FIGURA EN SALIDA","OK"))))</f>
        <v/>
      </c>
    </row>
    <row r="934">
      <c r="A934" s="9" t="inlineStr"/>
      <c r="B934" s="2" t="inlineStr"/>
      <c r="C934" s="2" t="inlineStr"/>
      <c r="D934" s="2" t="inlineStr"/>
      <c r="E934" s="2">
        <f>IF(D934="","",IFERROR(XLOOKUP(TRIM(D934),INVENTARIO!$A$2:$A$2000,INVENTARIO!$B$2:$B$2000),"NO ENCONTRADO"))</f>
        <v/>
      </c>
      <c r="F934" s="2">
        <f>IF(D934="","",IF(E934="NO ENCONTRADO","CODIGO NO EXISTE",IF(COUNTIF($D$2:D934,D934)&gt;1,"DEVOLUCION DUPLICADA",IF(COUNTIFS(SALIDAS!$B$2:$B$1000,B934,SALIDAS!$D$2:$D$1000,D934,SALIDAS!$G$2:$G$1000,"OK*")=0,"NO FIGURA EN SALIDA","OK"))))</f>
        <v/>
      </c>
    </row>
    <row r="935">
      <c r="A935" s="9" t="inlineStr"/>
      <c r="B935" s="2" t="inlineStr"/>
      <c r="C935" s="2" t="inlineStr"/>
      <c r="D935" s="2" t="inlineStr"/>
      <c r="E935" s="2">
        <f>IF(D935="","",IFERROR(XLOOKUP(TRIM(D935),INVENTARIO!$A$2:$A$2000,INVENTARIO!$B$2:$B$2000),"NO ENCONTRADO"))</f>
        <v/>
      </c>
      <c r="F935" s="2">
        <f>IF(D935="","",IF(E935="NO ENCONTRADO","CODIGO NO EXISTE",IF(COUNTIF($D$2:D935,D935)&gt;1,"DEVOLUCION DUPLICADA",IF(COUNTIFS(SALIDAS!$B$2:$B$1000,B935,SALIDAS!$D$2:$D$1000,D935,SALIDAS!$G$2:$G$1000,"OK*")=0,"NO FIGURA EN SALIDA","OK"))))</f>
        <v/>
      </c>
    </row>
    <row r="936">
      <c r="A936" s="9" t="inlineStr"/>
      <c r="B936" s="2" t="inlineStr"/>
      <c r="C936" s="2" t="inlineStr"/>
      <c r="D936" s="2" t="inlineStr"/>
      <c r="E936" s="2">
        <f>IF(D936="","",IFERROR(XLOOKUP(TRIM(D936),INVENTARIO!$A$2:$A$2000,INVENTARIO!$B$2:$B$2000),"NO ENCONTRADO"))</f>
        <v/>
      </c>
      <c r="F936" s="2">
        <f>IF(D936="","",IF(E936="NO ENCONTRADO","CODIGO NO EXISTE",IF(COUNTIF($D$2:D936,D936)&gt;1,"DEVOLUCION DUPLICADA",IF(COUNTIFS(SALIDAS!$B$2:$B$1000,B936,SALIDAS!$D$2:$D$1000,D936,SALIDAS!$G$2:$G$1000,"OK*")=0,"NO FIGURA EN SALIDA","OK"))))</f>
        <v/>
      </c>
    </row>
    <row r="937">
      <c r="A937" s="9" t="inlineStr"/>
      <c r="B937" s="2" t="inlineStr"/>
      <c r="C937" s="2" t="inlineStr"/>
      <c r="D937" s="2" t="inlineStr"/>
      <c r="E937" s="2">
        <f>IF(D937="","",IFERROR(XLOOKUP(TRIM(D937),INVENTARIO!$A$2:$A$2000,INVENTARIO!$B$2:$B$2000),"NO ENCONTRADO"))</f>
        <v/>
      </c>
      <c r="F937" s="2">
        <f>IF(D937="","",IF(E937="NO ENCONTRADO","CODIGO NO EXISTE",IF(COUNTIF($D$2:D937,D937)&gt;1,"DEVOLUCION DUPLICADA",IF(COUNTIFS(SALIDAS!$B$2:$B$1000,B937,SALIDAS!$D$2:$D$1000,D937,SALIDAS!$G$2:$G$1000,"OK*")=0,"NO FIGURA EN SALIDA","OK"))))</f>
        <v/>
      </c>
    </row>
    <row r="938">
      <c r="A938" s="9" t="inlineStr"/>
      <c r="B938" s="2" t="inlineStr"/>
      <c r="C938" s="2" t="inlineStr"/>
      <c r="D938" s="2" t="inlineStr"/>
      <c r="E938" s="2">
        <f>IF(D938="","",IFERROR(XLOOKUP(TRIM(D938),INVENTARIO!$A$2:$A$2000,INVENTARIO!$B$2:$B$2000),"NO ENCONTRADO"))</f>
        <v/>
      </c>
      <c r="F938" s="2">
        <f>IF(D938="","",IF(E938="NO ENCONTRADO","CODIGO NO EXISTE",IF(COUNTIF($D$2:D938,D938)&gt;1,"DEVOLUCION DUPLICADA",IF(COUNTIFS(SALIDAS!$B$2:$B$1000,B938,SALIDAS!$D$2:$D$1000,D938,SALIDAS!$G$2:$G$1000,"OK*")=0,"NO FIGURA EN SALIDA","OK"))))</f>
        <v/>
      </c>
    </row>
    <row r="939">
      <c r="A939" s="9" t="inlineStr"/>
      <c r="B939" s="2" t="inlineStr"/>
      <c r="C939" s="2" t="inlineStr"/>
      <c r="D939" s="2" t="inlineStr"/>
      <c r="E939" s="2">
        <f>IF(D939="","",IFERROR(XLOOKUP(TRIM(D939),INVENTARIO!$A$2:$A$2000,INVENTARIO!$B$2:$B$2000),"NO ENCONTRADO"))</f>
        <v/>
      </c>
      <c r="F939" s="2">
        <f>IF(D939="","",IF(E939="NO ENCONTRADO","CODIGO NO EXISTE",IF(COUNTIF($D$2:D939,D939)&gt;1,"DEVOLUCION DUPLICADA",IF(COUNTIFS(SALIDAS!$B$2:$B$1000,B939,SALIDAS!$D$2:$D$1000,D939,SALIDAS!$G$2:$G$1000,"OK*")=0,"NO FIGURA EN SALIDA","OK"))))</f>
        <v/>
      </c>
    </row>
    <row r="940">
      <c r="A940" s="9" t="inlineStr"/>
      <c r="B940" s="2" t="inlineStr"/>
      <c r="C940" s="2" t="inlineStr"/>
      <c r="D940" s="2" t="inlineStr"/>
      <c r="E940" s="2">
        <f>IF(D940="","",IFERROR(XLOOKUP(TRIM(D940),INVENTARIO!$A$2:$A$2000,INVENTARIO!$B$2:$B$2000),"NO ENCONTRADO"))</f>
        <v/>
      </c>
      <c r="F940" s="2">
        <f>IF(D940="","",IF(E940="NO ENCONTRADO","CODIGO NO EXISTE",IF(COUNTIF($D$2:D940,D940)&gt;1,"DEVOLUCION DUPLICADA",IF(COUNTIFS(SALIDAS!$B$2:$B$1000,B940,SALIDAS!$D$2:$D$1000,D940,SALIDAS!$G$2:$G$1000,"OK*")=0,"NO FIGURA EN SALIDA","OK"))))</f>
        <v/>
      </c>
    </row>
    <row r="941">
      <c r="A941" s="9" t="inlineStr"/>
      <c r="B941" s="2" t="inlineStr"/>
      <c r="C941" s="2" t="inlineStr"/>
      <c r="D941" s="2" t="inlineStr"/>
      <c r="E941" s="2">
        <f>IF(D941="","",IFERROR(XLOOKUP(TRIM(D941),INVENTARIO!$A$2:$A$2000,INVENTARIO!$B$2:$B$2000),"NO ENCONTRADO"))</f>
        <v/>
      </c>
      <c r="F941" s="2">
        <f>IF(D941="","",IF(E941="NO ENCONTRADO","CODIGO NO EXISTE",IF(COUNTIF($D$2:D941,D941)&gt;1,"DEVOLUCION DUPLICADA",IF(COUNTIFS(SALIDAS!$B$2:$B$1000,B941,SALIDAS!$D$2:$D$1000,D941,SALIDAS!$G$2:$G$1000,"OK*")=0,"NO FIGURA EN SALIDA","OK"))))</f>
        <v/>
      </c>
    </row>
    <row r="942">
      <c r="A942" s="9" t="inlineStr"/>
      <c r="B942" s="2" t="inlineStr"/>
      <c r="C942" s="2" t="inlineStr"/>
      <c r="D942" s="2" t="inlineStr"/>
      <c r="E942" s="2">
        <f>IF(D942="","",IFERROR(XLOOKUP(TRIM(D942),INVENTARIO!$A$2:$A$2000,INVENTARIO!$B$2:$B$2000),"NO ENCONTRADO"))</f>
        <v/>
      </c>
      <c r="F942" s="2">
        <f>IF(D942="","",IF(E942="NO ENCONTRADO","CODIGO NO EXISTE",IF(COUNTIF($D$2:D942,D942)&gt;1,"DEVOLUCION DUPLICADA",IF(COUNTIFS(SALIDAS!$B$2:$B$1000,B942,SALIDAS!$D$2:$D$1000,D942,SALIDAS!$G$2:$G$1000,"OK*")=0,"NO FIGURA EN SALIDA","OK"))))</f>
        <v/>
      </c>
    </row>
    <row r="943">
      <c r="A943" s="9" t="inlineStr"/>
      <c r="B943" s="2" t="inlineStr"/>
      <c r="C943" s="2" t="inlineStr"/>
      <c r="D943" s="2" t="inlineStr"/>
      <c r="E943" s="2">
        <f>IF(D943="","",IFERROR(XLOOKUP(TRIM(D943),INVENTARIO!$A$2:$A$2000,INVENTARIO!$B$2:$B$2000),"NO ENCONTRADO"))</f>
        <v/>
      </c>
      <c r="F943" s="2">
        <f>IF(D943="","",IF(E943="NO ENCONTRADO","CODIGO NO EXISTE",IF(COUNTIF($D$2:D943,D943)&gt;1,"DEVOLUCION DUPLICADA",IF(COUNTIFS(SALIDAS!$B$2:$B$1000,B943,SALIDAS!$D$2:$D$1000,D943,SALIDAS!$G$2:$G$1000,"OK*")=0,"NO FIGURA EN SALIDA","OK"))))</f>
        <v/>
      </c>
    </row>
    <row r="944">
      <c r="A944" s="9" t="inlineStr"/>
      <c r="B944" s="2" t="inlineStr"/>
      <c r="C944" s="2" t="inlineStr"/>
      <c r="D944" s="2" t="inlineStr"/>
      <c r="E944" s="2">
        <f>IF(D944="","",IFERROR(XLOOKUP(TRIM(D944),INVENTARIO!$A$2:$A$2000,INVENTARIO!$B$2:$B$2000),"NO ENCONTRADO"))</f>
        <v/>
      </c>
      <c r="F944" s="2">
        <f>IF(D944="","",IF(E944="NO ENCONTRADO","CODIGO NO EXISTE",IF(COUNTIF($D$2:D944,D944)&gt;1,"DEVOLUCION DUPLICADA",IF(COUNTIFS(SALIDAS!$B$2:$B$1000,B944,SALIDAS!$D$2:$D$1000,D944,SALIDAS!$G$2:$G$1000,"OK*")=0,"NO FIGURA EN SALIDA","OK"))))</f>
        <v/>
      </c>
    </row>
    <row r="945">
      <c r="A945" s="9" t="inlineStr"/>
      <c r="B945" s="2" t="inlineStr"/>
      <c r="C945" s="2" t="inlineStr"/>
      <c r="D945" s="2" t="inlineStr"/>
      <c r="E945" s="2">
        <f>IF(D945="","",IFERROR(XLOOKUP(TRIM(D945),INVENTARIO!$A$2:$A$2000,INVENTARIO!$B$2:$B$2000),"NO ENCONTRADO"))</f>
        <v/>
      </c>
      <c r="F945" s="2">
        <f>IF(D945="","",IF(E945="NO ENCONTRADO","CODIGO NO EXISTE",IF(COUNTIF($D$2:D945,D945)&gt;1,"DEVOLUCION DUPLICADA",IF(COUNTIFS(SALIDAS!$B$2:$B$1000,B945,SALIDAS!$D$2:$D$1000,D945,SALIDAS!$G$2:$G$1000,"OK*")=0,"NO FIGURA EN SALIDA","OK"))))</f>
        <v/>
      </c>
    </row>
    <row r="946">
      <c r="A946" s="9" t="inlineStr"/>
      <c r="B946" s="2" t="inlineStr"/>
      <c r="C946" s="2" t="inlineStr"/>
      <c r="D946" s="2" t="inlineStr"/>
      <c r="E946" s="2">
        <f>IF(D946="","",IFERROR(XLOOKUP(TRIM(D946),INVENTARIO!$A$2:$A$2000,INVENTARIO!$B$2:$B$2000),"NO ENCONTRADO"))</f>
        <v/>
      </c>
      <c r="F946" s="2">
        <f>IF(D946="","",IF(E946="NO ENCONTRADO","CODIGO NO EXISTE",IF(COUNTIF($D$2:D946,D946)&gt;1,"DEVOLUCION DUPLICADA",IF(COUNTIFS(SALIDAS!$B$2:$B$1000,B946,SALIDAS!$D$2:$D$1000,D946,SALIDAS!$G$2:$G$1000,"OK*")=0,"NO FIGURA EN SALIDA","OK"))))</f>
        <v/>
      </c>
    </row>
    <row r="947">
      <c r="A947" s="9" t="inlineStr"/>
      <c r="B947" s="2" t="inlineStr"/>
      <c r="C947" s="2" t="inlineStr"/>
      <c r="D947" s="2" t="inlineStr"/>
      <c r="E947" s="2">
        <f>IF(D947="","",IFERROR(XLOOKUP(TRIM(D947),INVENTARIO!$A$2:$A$2000,INVENTARIO!$B$2:$B$2000),"NO ENCONTRADO"))</f>
        <v/>
      </c>
      <c r="F947" s="2">
        <f>IF(D947="","",IF(E947="NO ENCONTRADO","CODIGO NO EXISTE",IF(COUNTIF($D$2:D947,D947)&gt;1,"DEVOLUCION DUPLICADA",IF(COUNTIFS(SALIDAS!$B$2:$B$1000,B947,SALIDAS!$D$2:$D$1000,D947,SALIDAS!$G$2:$G$1000,"OK*")=0,"NO FIGURA EN SALIDA","OK"))))</f>
        <v/>
      </c>
    </row>
    <row r="948">
      <c r="A948" s="9" t="inlineStr"/>
      <c r="B948" s="2" t="inlineStr"/>
      <c r="C948" s="2" t="inlineStr"/>
      <c r="D948" s="2" t="inlineStr"/>
      <c r="E948" s="2">
        <f>IF(D948="","",IFERROR(XLOOKUP(TRIM(D948),INVENTARIO!$A$2:$A$2000,INVENTARIO!$B$2:$B$2000),"NO ENCONTRADO"))</f>
        <v/>
      </c>
      <c r="F948" s="2">
        <f>IF(D948="","",IF(E948="NO ENCONTRADO","CODIGO NO EXISTE",IF(COUNTIF($D$2:D948,D948)&gt;1,"DEVOLUCION DUPLICADA",IF(COUNTIFS(SALIDAS!$B$2:$B$1000,B948,SALIDAS!$D$2:$D$1000,D948,SALIDAS!$G$2:$G$1000,"OK*")=0,"NO FIGURA EN SALIDA","OK"))))</f>
        <v/>
      </c>
    </row>
    <row r="949">
      <c r="A949" s="9" t="inlineStr"/>
      <c r="B949" s="2" t="inlineStr"/>
      <c r="C949" s="2" t="inlineStr"/>
      <c r="D949" s="2" t="inlineStr"/>
      <c r="E949" s="2">
        <f>IF(D949="","",IFERROR(XLOOKUP(TRIM(D949),INVENTARIO!$A$2:$A$2000,INVENTARIO!$B$2:$B$2000),"NO ENCONTRADO"))</f>
        <v/>
      </c>
      <c r="F949" s="2">
        <f>IF(D949="","",IF(E949="NO ENCONTRADO","CODIGO NO EXISTE",IF(COUNTIF($D$2:D949,D949)&gt;1,"DEVOLUCION DUPLICADA",IF(COUNTIFS(SALIDAS!$B$2:$B$1000,B949,SALIDAS!$D$2:$D$1000,D949,SALIDAS!$G$2:$G$1000,"OK*")=0,"NO FIGURA EN SALIDA","OK"))))</f>
        <v/>
      </c>
    </row>
    <row r="950">
      <c r="A950" s="9" t="inlineStr"/>
      <c r="B950" s="2" t="inlineStr"/>
      <c r="C950" s="2" t="inlineStr"/>
      <c r="D950" s="2" t="inlineStr"/>
      <c r="E950" s="2">
        <f>IF(D950="","",IFERROR(XLOOKUP(TRIM(D950),INVENTARIO!$A$2:$A$2000,INVENTARIO!$B$2:$B$2000),"NO ENCONTRADO"))</f>
        <v/>
      </c>
      <c r="F950" s="2">
        <f>IF(D950="","",IF(E950="NO ENCONTRADO","CODIGO NO EXISTE",IF(COUNTIF($D$2:D950,D950)&gt;1,"DEVOLUCION DUPLICADA",IF(COUNTIFS(SALIDAS!$B$2:$B$1000,B950,SALIDAS!$D$2:$D$1000,D950,SALIDAS!$G$2:$G$1000,"OK*")=0,"NO FIGURA EN SALIDA","OK"))))</f>
        <v/>
      </c>
    </row>
    <row r="951">
      <c r="A951" s="9" t="inlineStr"/>
      <c r="B951" s="2" t="inlineStr"/>
      <c r="C951" s="2" t="inlineStr"/>
      <c r="D951" s="2" t="inlineStr"/>
      <c r="E951" s="2">
        <f>IF(D951="","",IFERROR(XLOOKUP(TRIM(D951),INVENTARIO!$A$2:$A$2000,INVENTARIO!$B$2:$B$2000),"NO ENCONTRADO"))</f>
        <v/>
      </c>
      <c r="F951" s="2">
        <f>IF(D951="","",IF(E951="NO ENCONTRADO","CODIGO NO EXISTE",IF(COUNTIF($D$2:D951,D951)&gt;1,"DEVOLUCION DUPLICADA",IF(COUNTIFS(SALIDAS!$B$2:$B$1000,B951,SALIDAS!$D$2:$D$1000,D951,SALIDAS!$G$2:$G$1000,"OK*")=0,"NO FIGURA EN SALIDA","OK"))))</f>
        <v/>
      </c>
    </row>
    <row r="952">
      <c r="A952" s="9" t="inlineStr"/>
      <c r="B952" s="2" t="inlineStr"/>
      <c r="C952" s="2" t="inlineStr"/>
      <c r="D952" s="2" t="inlineStr"/>
      <c r="E952" s="2">
        <f>IF(D952="","",IFERROR(XLOOKUP(TRIM(D952),INVENTARIO!$A$2:$A$2000,INVENTARIO!$B$2:$B$2000),"NO ENCONTRADO"))</f>
        <v/>
      </c>
      <c r="F952" s="2">
        <f>IF(D952="","",IF(E952="NO ENCONTRADO","CODIGO NO EXISTE",IF(COUNTIF($D$2:D952,D952)&gt;1,"DEVOLUCION DUPLICADA",IF(COUNTIFS(SALIDAS!$B$2:$B$1000,B952,SALIDAS!$D$2:$D$1000,D952,SALIDAS!$G$2:$G$1000,"OK*")=0,"NO FIGURA EN SALIDA","OK"))))</f>
        <v/>
      </c>
    </row>
    <row r="953">
      <c r="A953" s="9" t="inlineStr"/>
      <c r="B953" s="2" t="inlineStr"/>
      <c r="C953" s="2" t="inlineStr"/>
      <c r="D953" s="2" t="inlineStr"/>
      <c r="E953" s="2">
        <f>IF(D953="","",IFERROR(XLOOKUP(TRIM(D953),INVENTARIO!$A$2:$A$2000,INVENTARIO!$B$2:$B$2000),"NO ENCONTRADO"))</f>
        <v/>
      </c>
      <c r="F953" s="2">
        <f>IF(D953="","",IF(E953="NO ENCONTRADO","CODIGO NO EXISTE",IF(COUNTIF($D$2:D953,D953)&gt;1,"DEVOLUCION DUPLICADA",IF(COUNTIFS(SALIDAS!$B$2:$B$1000,B953,SALIDAS!$D$2:$D$1000,D953,SALIDAS!$G$2:$G$1000,"OK*")=0,"NO FIGURA EN SALIDA","OK"))))</f>
        <v/>
      </c>
    </row>
    <row r="954">
      <c r="A954" s="9" t="inlineStr"/>
      <c r="B954" s="2" t="inlineStr"/>
      <c r="C954" s="2" t="inlineStr"/>
      <c r="D954" s="2" t="inlineStr"/>
      <c r="E954" s="2">
        <f>IF(D954="","",IFERROR(XLOOKUP(TRIM(D954),INVENTARIO!$A$2:$A$2000,INVENTARIO!$B$2:$B$2000),"NO ENCONTRADO"))</f>
        <v/>
      </c>
      <c r="F954" s="2">
        <f>IF(D954="","",IF(E954="NO ENCONTRADO","CODIGO NO EXISTE",IF(COUNTIF($D$2:D954,D954)&gt;1,"DEVOLUCION DUPLICADA",IF(COUNTIFS(SALIDAS!$B$2:$B$1000,B954,SALIDAS!$D$2:$D$1000,D954,SALIDAS!$G$2:$G$1000,"OK*")=0,"NO FIGURA EN SALIDA","OK"))))</f>
        <v/>
      </c>
    </row>
    <row r="955">
      <c r="A955" s="9" t="inlineStr"/>
      <c r="B955" s="2" t="inlineStr"/>
      <c r="C955" s="2" t="inlineStr"/>
      <c r="D955" s="2" t="inlineStr"/>
      <c r="E955" s="2">
        <f>IF(D955="","",IFERROR(XLOOKUP(TRIM(D955),INVENTARIO!$A$2:$A$2000,INVENTARIO!$B$2:$B$2000),"NO ENCONTRADO"))</f>
        <v/>
      </c>
      <c r="F955" s="2">
        <f>IF(D955="","",IF(E955="NO ENCONTRADO","CODIGO NO EXISTE",IF(COUNTIF($D$2:D955,D955)&gt;1,"DEVOLUCION DUPLICADA",IF(COUNTIFS(SALIDAS!$B$2:$B$1000,B955,SALIDAS!$D$2:$D$1000,D955,SALIDAS!$G$2:$G$1000,"OK*")=0,"NO FIGURA EN SALIDA","OK"))))</f>
        <v/>
      </c>
    </row>
    <row r="956">
      <c r="A956" s="9" t="inlineStr"/>
      <c r="B956" s="2" t="inlineStr"/>
      <c r="C956" s="2" t="inlineStr"/>
      <c r="D956" s="2" t="inlineStr"/>
      <c r="E956" s="2">
        <f>IF(D956="","",IFERROR(XLOOKUP(TRIM(D956),INVENTARIO!$A$2:$A$2000,INVENTARIO!$B$2:$B$2000),"NO ENCONTRADO"))</f>
        <v/>
      </c>
      <c r="F956" s="2">
        <f>IF(D956="","",IF(E956="NO ENCONTRADO","CODIGO NO EXISTE",IF(COUNTIF($D$2:D956,D956)&gt;1,"DEVOLUCION DUPLICADA",IF(COUNTIFS(SALIDAS!$B$2:$B$1000,B956,SALIDAS!$D$2:$D$1000,D956,SALIDAS!$G$2:$G$1000,"OK*")=0,"NO FIGURA EN SALIDA","OK"))))</f>
        <v/>
      </c>
    </row>
    <row r="957">
      <c r="A957" s="9" t="inlineStr"/>
      <c r="B957" s="2" t="inlineStr"/>
      <c r="C957" s="2" t="inlineStr"/>
      <c r="D957" s="2" t="inlineStr"/>
      <c r="E957" s="2">
        <f>IF(D957="","",IFERROR(XLOOKUP(TRIM(D957),INVENTARIO!$A$2:$A$2000,INVENTARIO!$B$2:$B$2000),"NO ENCONTRADO"))</f>
        <v/>
      </c>
      <c r="F957" s="2">
        <f>IF(D957="","",IF(E957="NO ENCONTRADO","CODIGO NO EXISTE",IF(COUNTIF($D$2:D957,D957)&gt;1,"DEVOLUCION DUPLICADA",IF(COUNTIFS(SALIDAS!$B$2:$B$1000,B957,SALIDAS!$D$2:$D$1000,D957,SALIDAS!$G$2:$G$1000,"OK*")=0,"NO FIGURA EN SALIDA","OK"))))</f>
        <v/>
      </c>
    </row>
    <row r="958">
      <c r="A958" s="9" t="inlineStr"/>
      <c r="B958" s="2" t="inlineStr"/>
      <c r="C958" s="2" t="inlineStr"/>
      <c r="D958" s="2" t="inlineStr"/>
      <c r="E958" s="2">
        <f>IF(D958="","",IFERROR(XLOOKUP(TRIM(D958),INVENTARIO!$A$2:$A$2000,INVENTARIO!$B$2:$B$2000),"NO ENCONTRADO"))</f>
        <v/>
      </c>
      <c r="F958" s="2">
        <f>IF(D958="","",IF(E958="NO ENCONTRADO","CODIGO NO EXISTE",IF(COUNTIF($D$2:D958,D958)&gt;1,"DEVOLUCION DUPLICADA",IF(COUNTIFS(SALIDAS!$B$2:$B$1000,B958,SALIDAS!$D$2:$D$1000,D958,SALIDAS!$G$2:$G$1000,"OK*")=0,"NO FIGURA EN SALIDA","OK"))))</f>
        <v/>
      </c>
    </row>
    <row r="959">
      <c r="A959" s="9" t="inlineStr"/>
      <c r="B959" s="2" t="inlineStr"/>
      <c r="C959" s="2" t="inlineStr"/>
      <c r="D959" s="2" t="inlineStr"/>
      <c r="E959" s="2">
        <f>IF(D959="","",IFERROR(XLOOKUP(TRIM(D959),INVENTARIO!$A$2:$A$2000,INVENTARIO!$B$2:$B$2000),"NO ENCONTRADO"))</f>
        <v/>
      </c>
      <c r="F959" s="2">
        <f>IF(D959="","",IF(E959="NO ENCONTRADO","CODIGO NO EXISTE",IF(COUNTIF($D$2:D959,D959)&gt;1,"DEVOLUCION DUPLICADA",IF(COUNTIFS(SALIDAS!$B$2:$B$1000,B959,SALIDAS!$D$2:$D$1000,D959,SALIDAS!$G$2:$G$1000,"OK*")=0,"NO FIGURA EN SALIDA","OK"))))</f>
        <v/>
      </c>
    </row>
    <row r="960">
      <c r="A960" s="9" t="inlineStr"/>
      <c r="B960" s="2" t="inlineStr"/>
      <c r="C960" s="2" t="inlineStr"/>
      <c r="D960" s="2" t="inlineStr"/>
      <c r="E960" s="2">
        <f>IF(D960="","",IFERROR(XLOOKUP(TRIM(D960),INVENTARIO!$A$2:$A$2000,INVENTARIO!$B$2:$B$2000),"NO ENCONTRADO"))</f>
        <v/>
      </c>
      <c r="F960" s="2">
        <f>IF(D960="","",IF(E960="NO ENCONTRADO","CODIGO NO EXISTE",IF(COUNTIF($D$2:D960,D960)&gt;1,"DEVOLUCION DUPLICADA",IF(COUNTIFS(SALIDAS!$B$2:$B$1000,B960,SALIDAS!$D$2:$D$1000,D960,SALIDAS!$G$2:$G$1000,"OK*")=0,"NO FIGURA EN SALIDA","OK"))))</f>
        <v/>
      </c>
    </row>
    <row r="961">
      <c r="A961" s="9" t="inlineStr"/>
      <c r="B961" s="2" t="inlineStr"/>
      <c r="C961" s="2" t="inlineStr"/>
      <c r="D961" s="2" t="inlineStr"/>
      <c r="E961" s="2">
        <f>IF(D961="","",IFERROR(XLOOKUP(TRIM(D961),INVENTARIO!$A$2:$A$2000,INVENTARIO!$B$2:$B$2000),"NO ENCONTRADO"))</f>
        <v/>
      </c>
      <c r="F961" s="2">
        <f>IF(D961="","",IF(E961="NO ENCONTRADO","CODIGO NO EXISTE",IF(COUNTIF($D$2:D961,D961)&gt;1,"DEVOLUCION DUPLICADA",IF(COUNTIFS(SALIDAS!$B$2:$B$1000,B961,SALIDAS!$D$2:$D$1000,D961,SALIDAS!$G$2:$G$1000,"OK*")=0,"NO FIGURA EN SALIDA","OK"))))</f>
        <v/>
      </c>
    </row>
    <row r="962">
      <c r="A962" s="9" t="inlineStr"/>
      <c r="B962" s="2" t="inlineStr"/>
      <c r="C962" s="2" t="inlineStr"/>
      <c r="D962" s="2" t="inlineStr"/>
      <c r="E962" s="2">
        <f>IF(D962="","",IFERROR(XLOOKUP(TRIM(D962),INVENTARIO!$A$2:$A$2000,INVENTARIO!$B$2:$B$2000),"NO ENCONTRADO"))</f>
        <v/>
      </c>
      <c r="F962" s="2">
        <f>IF(D962="","",IF(E962="NO ENCONTRADO","CODIGO NO EXISTE",IF(COUNTIF($D$2:D962,D962)&gt;1,"DEVOLUCION DUPLICADA",IF(COUNTIFS(SALIDAS!$B$2:$B$1000,B962,SALIDAS!$D$2:$D$1000,D962,SALIDAS!$G$2:$G$1000,"OK*")=0,"NO FIGURA EN SALIDA","OK"))))</f>
        <v/>
      </c>
    </row>
    <row r="963">
      <c r="A963" s="9" t="inlineStr"/>
      <c r="B963" s="2" t="inlineStr"/>
      <c r="C963" s="2" t="inlineStr"/>
      <c r="D963" s="2" t="inlineStr"/>
      <c r="E963" s="2">
        <f>IF(D963="","",IFERROR(XLOOKUP(TRIM(D963),INVENTARIO!$A$2:$A$2000,INVENTARIO!$B$2:$B$2000),"NO ENCONTRADO"))</f>
        <v/>
      </c>
      <c r="F963" s="2">
        <f>IF(D963="","",IF(E963="NO ENCONTRADO","CODIGO NO EXISTE",IF(COUNTIF($D$2:D963,D963)&gt;1,"DEVOLUCION DUPLICADA",IF(COUNTIFS(SALIDAS!$B$2:$B$1000,B963,SALIDAS!$D$2:$D$1000,D963,SALIDAS!$G$2:$G$1000,"OK*")=0,"NO FIGURA EN SALIDA","OK"))))</f>
        <v/>
      </c>
    </row>
    <row r="964">
      <c r="A964" s="9" t="inlineStr"/>
      <c r="B964" s="2" t="inlineStr"/>
      <c r="C964" s="2" t="inlineStr"/>
      <c r="D964" s="2" t="inlineStr"/>
      <c r="E964" s="2">
        <f>IF(D964="","",IFERROR(XLOOKUP(TRIM(D964),INVENTARIO!$A$2:$A$2000,INVENTARIO!$B$2:$B$2000),"NO ENCONTRADO"))</f>
        <v/>
      </c>
      <c r="F964" s="2">
        <f>IF(D964="","",IF(E964="NO ENCONTRADO","CODIGO NO EXISTE",IF(COUNTIF($D$2:D964,D964)&gt;1,"DEVOLUCION DUPLICADA",IF(COUNTIFS(SALIDAS!$B$2:$B$1000,B964,SALIDAS!$D$2:$D$1000,D964,SALIDAS!$G$2:$G$1000,"OK*")=0,"NO FIGURA EN SALIDA","OK"))))</f>
        <v/>
      </c>
    </row>
    <row r="965">
      <c r="A965" s="9" t="inlineStr"/>
      <c r="B965" s="2" t="inlineStr"/>
      <c r="C965" s="2" t="inlineStr"/>
      <c r="D965" s="2" t="inlineStr"/>
      <c r="E965" s="2">
        <f>IF(D965="","",IFERROR(XLOOKUP(TRIM(D965),INVENTARIO!$A$2:$A$2000,INVENTARIO!$B$2:$B$2000),"NO ENCONTRADO"))</f>
        <v/>
      </c>
      <c r="F965" s="2">
        <f>IF(D965="","",IF(E965="NO ENCONTRADO","CODIGO NO EXISTE",IF(COUNTIF($D$2:D965,D965)&gt;1,"DEVOLUCION DUPLICADA",IF(COUNTIFS(SALIDAS!$B$2:$B$1000,B965,SALIDAS!$D$2:$D$1000,D965,SALIDAS!$G$2:$G$1000,"OK*")=0,"NO FIGURA EN SALIDA","OK"))))</f>
        <v/>
      </c>
    </row>
    <row r="966">
      <c r="A966" s="9" t="inlineStr"/>
      <c r="B966" s="2" t="inlineStr"/>
      <c r="C966" s="2" t="inlineStr"/>
      <c r="D966" s="2" t="inlineStr"/>
      <c r="E966" s="2">
        <f>IF(D966="","",IFERROR(XLOOKUP(TRIM(D966),INVENTARIO!$A$2:$A$2000,INVENTARIO!$B$2:$B$2000),"NO ENCONTRADO"))</f>
        <v/>
      </c>
      <c r="F966" s="2">
        <f>IF(D966="","",IF(E966="NO ENCONTRADO","CODIGO NO EXISTE",IF(COUNTIF($D$2:D966,D966)&gt;1,"DEVOLUCION DUPLICADA",IF(COUNTIFS(SALIDAS!$B$2:$B$1000,B966,SALIDAS!$D$2:$D$1000,D966,SALIDAS!$G$2:$G$1000,"OK*")=0,"NO FIGURA EN SALIDA","OK"))))</f>
        <v/>
      </c>
    </row>
    <row r="967">
      <c r="A967" s="9" t="inlineStr"/>
      <c r="B967" s="2" t="inlineStr"/>
      <c r="C967" s="2" t="inlineStr"/>
      <c r="D967" s="2" t="inlineStr"/>
      <c r="E967" s="2">
        <f>IF(D967="","",IFERROR(XLOOKUP(TRIM(D967),INVENTARIO!$A$2:$A$2000,INVENTARIO!$B$2:$B$2000),"NO ENCONTRADO"))</f>
        <v/>
      </c>
      <c r="F967" s="2">
        <f>IF(D967="","",IF(E967="NO ENCONTRADO","CODIGO NO EXISTE",IF(COUNTIF($D$2:D967,D967)&gt;1,"DEVOLUCION DUPLICADA",IF(COUNTIFS(SALIDAS!$B$2:$B$1000,B967,SALIDAS!$D$2:$D$1000,D967,SALIDAS!$G$2:$G$1000,"OK*")=0,"NO FIGURA EN SALIDA","OK"))))</f>
        <v/>
      </c>
    </row>
    <row r="968">
      <c r="A968" s="9" t="inlineStr"/>
      <c r="B968" s="2" t="inlineStr"/>
      <c r="C968" s="2" t="inlineStr"/>
      <c r="D968" s="2" t="inlineStr"/>
      <c r="E968" s="2">
        <f>IF(D968="","",IFERROR(XLOOKUP(TRIM(D968),INVENTARIO!$A$2:$A$2000,INVENTARIO!$B$2:$B$2000),"NO ENCONTRADO"))</f>
        <v/>
      </c>
      <c r="F968" s="2">
        <f>IF(D968="","",IF(E968="NO ENCONTRADO","CODIGO NO EXISTE",IF(COUNTIF($D$2:D968,D968)&gt;1,"DEVOLUCION DUPLICADA",IF(COUNTIFS(SALIDAS!$B$2:$B$1000,B968,SALIDAS!$D$2:$D$1000,D968,SALIDAS!$G$2:$G$1000,"OK*")=0,"NO FIGURA EN SALIDA","OK"))))</f>
        <v/>
      </c>
    </row>
    <row r="969">
      <c r="A969" s="9" t="inlineStr"/>
      <c r="B969" s="2" t="inlineStr"/>
      <c r="C969" s="2" t="inlineStr"/>
      <c r="D969" s="2" t="inlineStr"/>
      <c r="E969" s="2">
        <f>IF(D969="","",IFERROR(XLOOKUP(TRIM(D969),INVENTARIO!$A$2:$A$2000,INVENTARIO!$B$2:$B$2000),"NO ENCONTRADO"))</f>
        <v/>
      </c>
      <c r="F969" s="2">
        <f>IF(D969="","",IF(E969="NO ENCONTRADO","CODIGO NO EXISTE",IF(COUNTIF($D$2:D969,D969)&gt;1,"DEVOLUCION DUPLICADA",IF(COUNTIFS(SALIDAS!$B$2:$B$1000,B969,SALIDAS!$D$2:$D$1000,D969,SALIDAS!$G$2:$G$1000,"OK*")=0,"NO FIGURA EN SALIDA","OK"))))</f>
        <v/>
      </c>
    </row>
    <row r="970">
      <c r="A970" s="9" t="inlineStr"/>
      <c r="B970" s="2" t="inlineStr"/>
      <c r="C970" s="2" t="inlineStr"/>
      <c r="D970" s="2" t="inlineStr"/>
      <c r="E970" s="2">
        <f>IF(D970="","",IFERROR(XLOOKUP(TRIM(D970),INVENTARIO!$A$2:$A$2000,INVENTARIO!$B$2:$B$2000),"NO ENCONTRADO"))</f>
        <v/>
      </c>
      <c r="F970" s="2">
        <f>IF(D970="","",IF(E970="NO ENCONTRADO","CODIGO NO EXISTE",IF(COUNTIF($D$2:D970,D970)&gt;1,"DEVOLUCION DUPLICADA",IF(COUNTIFS(SALIDAS!$B$2:$B$1000,B970,SALIDAS!$D$2:$D$1000,D970,SALIDAS!$G$2:$G$1000,"OK*")=0,"NO FIGURA EN SALIDA","OK"))))</f>
        <v/>
      </c>
    </row>
    <row r="971">
      <c r="A971" s="9" t="inlineStr"/>
      <c r="B971" s="2" t="inlineStr"/>
      <c r="C971" s="2" t="inlineStr"/>
      <c r="D971" s="2" t="inlineStr"/>
      <c r="E971" s="2">
        <f>IF(D971="","",IFERROR(XLOOKUP(TRIM(D971),INVENTARIO!$A$2:$A$2000,INVENTARIO!$B$2:$B$2000),"NO ENCONTRADO"))</f>
        <v/>
      </c>
      <c r="F971" s="2">
        <f>IF(D971="","",IF(E971="NO ENCONTRADO","CODIGO NO EXISTE",IF(COUNTIF($D$2:D971,D971)&gt;1,"DEVOLUCION DUPLICADA",IF(COUNTIFS(SALIDAS!$B$2:$B$1000,B971,SALIDAS!$D$2:$D$1000,D971,SALIDAS!$G$2:$G$1000,"OK*")=0,"NO FIGURA EN SALIDA","OK"))))</f>
        <v/>
      </c>
    </row>
    <row r="972">
      <c r="A972" s="9" t="inlineStr"/>
      <c r="B972" s="2" t="inlineStr"/>
      <c r="C972" s="2" t="inlineStr"/>
      <c r="D972" s="2" t="inlineStr"/>
      <c r="E972" s="2">
        <f>IF(D972="","",IFERROR(XLOOKUP(TRIM(D972),INVENTARIO!$A$2:$A$2000,INVENTARIO!$B$2:$B$2000),"NO ENCONTRADO"))</f>
        <v/>
      </c>
      <c r="F972" s="2">
        <f>IF(D972="","",IF(E972="NO ENCONTRADO","CODIGO NO EXISTE",IF(COUNTIF($D$2:D972,D972)&gt;1,"DEVOLUCION DUPLICADA",IF(COUNTIFS(SALIDAS!$B$2:$B$1000,B972,SALIDAS!$D$2:$D$1000,D972,SALIDAS!$G$2:$G$1000,"OK*")=0,"NO FIGURA EN SALIDA","OK"))))</f>
        <v/>
      </c>
    </row>
    <row r="973">
      <c r="A973" s="9" t="inlineStr"/>
      <c r="B973" s="2" t="inlineStr"/>
      <c r="C973" s="2" t="inlineStr"/>
      <c r="D973" s="2" t="inlineStr"/>
      <c r="E973" s="2">
        <f>IF(D973="","",IFERROR(XLOOKUP(TRIM(D973),INVENTARIO!$A$2:$A$2000,INVENTARIO!$B$2:$B$2000),"NO ENCONTRADO"))</f>
        <v/>
      </c>
      <c r="F973" s="2">
        <f>IF(D973="","",IF(E973="NO ENCONTRADO","CODIGO NO EXISTE",IF(COUNTIF($D$2:D973,D973)&gt;1,"DEVOLUCION DUPLICADA",IF(COUNTIFS(SALIDAS!$B$2:$B$1000,B973,SALIDAS!$D$2:$D$1000,D973,SALIDAS!$G$2:$G$1000,"OK*")=0,"NO FIGURA EN SALIDA","OK"))))</f>
        <v/>
      </c>
    </row>
    <row r="974">
      <c r="A974" s="9" t="inlineStr"/>
      <c r="B974" s="2" t="inlineStr"/>
      <c r="C974" s="2" t="inlineStr"/>
      <c r="D974" s="2" t="inlineStr"/>
      <c r="E974" s="2">
        <f>IF(D974="","",IFERROR(XLOOKUP(TRIM(D974),INVENTARIO!$A$2:$A$2000,INVENTARIO!$B$2:$B$2000),"NO ENCONTRADO"))</f>
        <v/>
      </c>
      <c r="F974" s="2">
        <f>IF(D974="","",IF(E974="NO ENCONTRADO","CODIGO NO EXISTE",IF(COUNTIF($D$2:D974,D974)&gt;1,"DEVOLUCION DUPLICADA",IF(COUNTIFS(SALIDAS!$B$2:$B$1000,B974,SALIDAS!$D$2:$D$1000,D974,SALIDAS!$G$2:$G$1000,"OK*")=0,"NO FIGURA EN SALIDA","OK"))))</f>
        <v/>
      </c>
    </row>
    <row r="975">
      <c r="A975" s="9" t="inlineStr"/>
      <c r="B975" s="2" t="inlineStr"/>
      <c r="C975" s="2" t="inlineStr"/>
      <c r="D975" s="2" t="inlineStr"/>
      <c r="E975" s="2">
        <f>IF(D975="","",IFERROR(XLOOKUP(TRIM(D975),INVENTARIO!$A$2:$A$2000,INVENTARIO!$B$2:$B$2000),"NO ENCONTRADO"))</f>
        <v/>
      </c>
      <c r="F975" s="2">
        <f>IF(D975="","",IF(E975="NO ENCONTRADO","CODIGO NO EXISTE",IF(COUNTIF($D$2:D975,D975)&gt;1,"DEVOLUCION DUPLICADA",IF(COUNTIFS(SALIDAS!$B$2:$B$1000,B975,SALIDAS!$D$2:$D$1000,D975,SALIDAS!$G$2:$G$1000,"OK*")=0,"NO FIGURA EN SALIDA","OK"))))</f>
        <v/>
      </c>
    </row>
    <row r="976">
      <c r="A976" s="9" t="inlineStr"/>
      <c r="B976" s="2" t="inlineStr"/>
      <c r="C976" s="2" t="inlineStr"/>
      <c r="D976" s="2" t="inlineStr"/>
      <c r="E976" s="2">
        <f>IF(D976="","",IFERROR(XLOOKUP(TRIM(D976),INVENTARIO!$A$2:$A$2000,INVENTARIO!$B$2:$B$2000),"NO ENCONTRADO"))</f>
        <v/>
      </c>
      <c r="F976" s="2">
        <f>IF(D976="","",IF(E976="NO ENCONTRADO","CODIGO NO EXISTE",IF(COUNTIF($D$2:D976,D976)&gt;1,"DEVOLUCION DUPLICADA",IF(COUNTIFS(SALIDAS!$B$2:$B$1000,B976,SALIDAS!$D$2:$D$1000,D976,SALIDAS!$G$2:$G$1000,"OK*")=0,"NO FIGURA EN SALIDA","OK"))))</f>
        <v/>
      </c>
    </row>
    <row r="977">
      <c r="A977" s="9" t="inlineStr"/>
      <c r="B977" s="2" t="inlineStr"/>
      <c r="C977" s="2" t="inlineStr"/>
      <c r="D977" s="2" t="inlineStr"/>
      <c r="E977" s="2">
        <f>IF(D977="","",IFERROR(XLOOKUP(TRIM(D977),INVENTARIO!$A$2:$A$2000,INVENTARIO!$B$2:$B$2000),"NO ENCONTRADO"))</f>
        <v/>
      </c>
      <c r="F977" s="2">
        <f>IF(D977="","",IF(E977="NO ENCONTRADO","CODIGO NO EXISTE",IF(COUNTIF($D$2:D977,D977)&gt;1,"DEVOLUCION DUPLICADA",IF(COUNTIFS(SALIDAS!$B$2:$B$1000,B977,SALIDAS!$D$2:$D$1000,D977,SALIDAS!$G$2:$G$1000,"OK*")=0,"NO FIGURA EN SALIDA","OK"))))</f>
        <v/>
      </c>
    </row>
    <row r="978">
      <c r="A978" s="9" t="inlineStr"/>
      <c r="B978" s="2" t="inlineStr"/>
      <c r="C978" s="2" t="inlineStr"/>
      <c r="D978" s="2" t="inlineStr"/>
      <c r="E978" s="2">
        <f>IF(D978="","",IFERROR(XLOOKUP(TRIM(D978),INVENTARIO!$A$2:$A$2000,INVENTARIO!$B$2:$B$2000),"NO ENCONTRADO"))</f>
        <v/>
      </c>
      <c r="F978" s="2">
        <f>IF(D978="","",IF(E978="NO ENCONTRADO","CODIGO NO EXISTE",IF(COUNTIF($D$2:D978,D978)&gt;1,"DEVOLUCION DUPLICADA",IF(COUNTIFS(SALIDAS!$B$2:$B$1000,B978,SALIDAS!$D$2:$D$1000,D978,SALIDAS!$G$2:$G$1000,"OK*")=0,"NO FIGURA EN SALIDA","OK"))))</f>
        <v/>
      </c>
    </row>
    <row r="979">
      <c r="A979" s="9" t="inlineStr"/>
      <c r="B979" s="2" t="inlineStr"/>
      <c r="C979" s="2" t="inlineStr"/>
      <c r="D979" s="2" t="inlineStr"/>
      <c r="E979" s="2">
        <f>IF(D979="","",IFERROR(XLOOKUP(TRIM(D979),INVENTARIO!$A$2:$A$2000,INVENTARIO!$B$2:$B$2000),"NO ENCONTRADO"))</f>
        <v/>
      </c>
      <c r="F979" s="2">
        <f>IF(D979="","",IF(E979="NO ENCONTRADO","CODIGO NO EXISTE",IF(COUNTIF($D$2:D979,D979)&gt;1,"DEVOLUCION DUPLICADA",IF(COUNTIFS(SALIDAS!$B$2:$B$1000,B979,SALIDAS!$D$2:$D$1000,D979,SALIDAS!$G$2:$G$1000,"OK*")=0,"NO FIGURA EN SALIDA","OK"))))</f>
        <v/>
      </c>
    </row>
    <row r="980">
      <c r="A980" s="9" t="inlineStr"/>
      <c r="B980" s="2" t="inlineStr"/>
      <c r="C980" s="2" t="inlineStr"/>
      <c r="D980" s="2" t="inlineStr"/>
      <c r="E980" s="2">
        <f>IF(D980="","",IFERROR(XLOOKUP(TRIM(D980),INVENTARIO!$A$2:$A$2000,INVENTARIO!$B$2:$B$2000),"NO ENCONTRADO"))</f>
        <v/>
      </c>
      <c r="F980" s="2">
        <f>IF(D980="","",IF(E980="NO ENCONTRADO","CODIGO NO EXISTE",IF(COUNTIF($D$2:D980,D980)&gt;1,"DEVOLUCION DUPLICADA",IF(COUNTIFS(SALIDAS!$B$2:$B$1000,B980,SALIDAS!$D$2:$D$1000,D980,SALIDAS!$G$2:$G$1000,"OK*")=0,"NO FIGURA EN SALIDA","OK"))))</f>
        <v/>
      </c>
    </row>
    <row r="981">
      <c r="A981" s="9" t="inlineStr"/>
      <c r="B981" s="2" t="inlineStr"/>
      <c r="C981" s="2" t="inlineStr"/>
      <c r="D981" s="2" t="inlineStr"/>
      <c r="E981" s="2">
        <f>IF(D981="","",IFERROR(XLOOKUP(TRIM(D981),INVENTARIO!$A$2:$A$2000,INVENTARIO!$B$2:$B$2000),"NO ENCONTRADO"))</f>
        <v/>
      </c>
      <c r="F981" s="2">
        <f>IF(D981="","",IF(E981="NO ENCONTRADO","CODIGO NO EXISTE",IF(COUNTIF($D$2:D981,D981)&gt;1,"DEVOLUCION DUPLICADA",IF(COUNTIFS(SALIDAS!$B$2:$B$1000,B981,SALIDAS!$D$2:$D$1000,D981,SALIDAS!$G$2:$G$1000,"OK*")=0,"NO FIGURA EN SALIDA","OK"))))</f>
        <v/>
      </c>
    </row>
    <row r="982">
      <c r="A982" s="9" t="inlineStr"/>
      <c r="B982" s="2" t="inlineStr"/>
      <c r="C982" s="2" t="inlineStr"/>
      <c r="D982" s="2" t="inlineStr"/>
      <c r="E982" s="2">
        <f>IF(D982="","",IFERROR(XLOOKUP(TRIM(D982),INVENTARIO!$A$2:$A$2000,INVENTARIO!$B$2:$B$2000),"NO ENCONTRADO"))</f>
        <v/>
      </c>
      <c r="F982" s="2">
        <f>IF(D982="","",IF(E982="NO ENCONTRADO","CODIGO NO EXISTE",IF(COUNTIF($D$2:D982,D982)&gt;1,"DEVOLUCION DUPLICADA",IF(COUNTIFS(SALIDAS!$B$2:$B$1000,B982,SALIDAS!$D$2:$D$1000,D982,SALIDAS!$G$2:$G$1000,"OK*")=0,"NO FIGURA EN SALIDA","OK"))))</f>
        <v/>
      </c>
    </row>
    <row r="983">
      <c r="A983" s="9" t="inlineStr"/>
      <c r="B983" s="2" t="inlineStr"/>
      <c r="C983" s="2" t="inlineStr"/>
      <c r="D983" s="2" t="inlineStr"/>
      <c r="E983" s="2">
        <f>IF(D983="","",IFERROR(XLOOKUP(TRIM(D983),INVENTARIO!$A$2:$A$2000,INVENTARIO!$B$2:$B$2000),"NO ENCONTRADO"))</f>
        <v/>
      </c>
      <c r="F983" s="2">
        <f>IF(D983="","",IF(E983="NO ENCONTRADO","CODIGO NO EXISTE",IF(COUNTIF($D$2:D983,D983)&gt;1,"DEVOLUCION DUPLICADA",IF(COUNTIFS(SALIDAS!$B$2:$B$1000,B983,SALIDAS!$D$2:$D$1000,D983,SALIDAS!$G$2:$G$1000,"OK*")=0,"NO FIGURA EN SALIDA","OK"))))</f>
        <v/>
      </c>
    </row>
    <row r="984">
      <c r="A984" s="9" t="inlineStr"/>
      <c r="B984" s="2" t="inlineStr"/>
      <c r="C984" s="2" t="inlineStr"/>
      <c r="D984" s="2" t="inlineStr"/>
      <c r="E984" s="2">
        <f>IF(D984="","",IFERROR(XLOOKUP(TRIM(D984),INVENTARIO!$A$2:$A$2000,INVENTARIO!$B$2:$B$2000),"NO ENCONTRADO"))</f>
        <v/>
      </c>
      <c r="F984" s="2">
        <f>IF(D984="","",IF(E984="NO ENCONTRADO","CODIGO NO EXISTE",IF(COUNTIF($D$2:D984,D984)&gt;1,"DEVOLUCION DUPLICADA",IF(COUNTIFS(SALIDAS!$B$2:$B$1000,B984,SALIDAS!$D$2:$D$1000,D984,SALIDAS!$G$2:$G$1000,"OK*")=0,"NO FIGURA EN SALIDA","OK"))))</f>
        <v/>
      </c>
    </row>
    <row r="985">
      <c r="A985" s="9" t="inlineStr"/>
      <c r="B985" s="2" t="inlineStr"/>
      <c r="C985" s="2" t="inlineStr"/>
      <c r="D985" s="2" t="inlineStr"/>
      <c r="E985" s="2">
        <f>IF(D985="","",IFERROR(XLOOKUP(TRIM(D985),INVENTARIO!$A$2:$A$2000,INVENTARIO!$B$2:$B$2000),"NO ENCONTRADO"))</f>
        <v/>
      </c>
      <c r="F985" s="2">
        <f>IF(D985="","",IF(E985="NO ENCONTRADO","CODIGO NO EXISTE",IF(COUNTIF($D$2:D985,D985)&gt;1,"DEVOLUCION DUPLICADA",IF(COUNTIFS(SALIDAS!$B$2:$B$1000,B985,SALIDAS!$D$2:$D$1000,D985,SALIDAS!$G$2:$G$1000,"OK*")=0,"NO FIGURA EN SALIDA","OK"))))</f>
        <v/>
      </c>
    </row>
    <row r="986">
      <c r="A986" s="9" t="inlineStr"/>
      <c r="B986" s="2" t="inlineStr"/>
      <c r="C986" s="2" t="inlineStr"/>
      <c r="D986" s="2" t="inlineStr"/>
      <c r="E986" s="2">
        <f>IF(D986="","",IFERROR(XLOOKUP(TRIM(D986),INVENTARIO!$A$2:$A$2000,INVENTARIO!$B$2:$B$2000),"NO ENCONTRADO"))</f>
        <v/>
      </c>
      <c r="F986" s="2">
        <f>IF(D986="","",IF(E986="NO ENCONTRADO","CODIGO NO EXISTE",IF(COUNTIF($D$2:D986,D986)&gt;1,"DEVOLUCION DUPLICADA",IF(COUNTIFS(SALIDAS!$B$2:$B$1000,B986,SALIDAS!$D$2:$D$1000,D986,SALIDAS!$G$2:$G$1000,"OK*")=0,"NO FIGURA EN SALIDA","OK"))))</f>
        <v/>
      </c>
    </row>
    <row r="987">
      <c r="A987" s="9" t="inlineStr"/>
      <c r="B987" s="2" t="inlineStr"/>
      <c r="C987" s="2" t="inlineStr"/>
      <c r="D987" s="2" t="inlineStr"/>
      <c r="E987" s="2">
        <f>IF(D987="","",IFERROR(XLOOKUP(TRIM(D987),INVENTARIO!$A$2:$A$2000,INVENTARIO!$B$2:$B$2000),"NO ENCONTRADO"))</f>
        <v/>
      </c>
      <c r="F987" s="2">
        <f>IF(D987="","",IF(E987="NO ENCONTRADO","CODIGO NO EXISTE",IF(COUNTIF($D$2:D987,D987)&gt;1,"DEVOLUCION DUPLICADA",IF(COUNTIFS(SALIDAS!$B$2:$B$1000,B987,SALIDAS!$D$2:$D$1000,D987,SALIDAS!$G$2:$G$1000,"OK*")=0,"NO FIGURA EN SALIDA","OK"))))</f>
        <v/>
      </c>
    </row>
    <row r="988">
      <c r="A988" s="9" t="inlineStr"/>
      <c r="B988" s="2" t="inlineStr"/>
      <c r="C988" s="2" t="inlineStr"/>
      <c r="D988" s="2" t="inlineStr"/>
      <c r="E988" s="2">
        <f>IF(D988="","",IFERROR(XLOOKUP(TRIM(D988),INVENTARIO!$A$2:$A$2000,INVENTARIO!$B$2:$B$2000),"NO ENCONTRADO"))</f>
        <v/>
      </c>
      <c r="F988" s="2">
        <f>IF(D988="","",IF(E988="NO ENCONTRADO","CODIGO NO EXISTE",IF(COUNTIF($D$2:D988,D988)&gt;1,"DEVOLUCION DUPLICADA",IF(COUNTIFS(SALIDAS!$B$2:$B$1000,B988,SALIDAS!$D$2:$D$1000,D988,SALIDAS!$G$2:$G$1000,"OK*")=0,"NO FIGURA EN SALIDA","OK"))))</f>
        <v/>
      </c>
    </row>
    <row r="989">
      <c r="A989" s="9" t="inlineStr"/>
      <c r="B989" s="2" t="inlineStr"/>
      <c r="C989" s="2" t="inlineStr"/>
      <c r="D989" s="2" t="inlineStr"/>
      <c r="E989" s="2">
        <f>IF(D989="","",IFERROR(XLOOKUP(TRIM(D989),INVENTARIO!$A$2:$A$2000,INVENTARIO!$B$2:$B$2000),"NO ENCONTRADO"))</f>
        <v/>
      </c>
      <c r="F989" s="2">
        <f>IF(D989="","",IF(E989="NO ENCONTRADO","CODIGO NO EXISTE",IF(COUNTIF($D$2:D989,D989)&gt;1,"DEVOLUCION DUPLICADA",IF(COUNTIFS(SALIDAS!$B$2:$B$1000,B989,SALIDAS!$D$2:$D$1000,D989,SALIDAS!$G$2:$G$1000,"OK*")=0,"NO FIGURA EN SALIDA","OK"))))</f>
        <v/>
      </c>
    </row>
    <row r="990">
      <c r="A990" s="9" t="inlineStr"/>
      <c r="B990" s="2" t="inlineStr"/>
      <c r="C990" s="2" t="inlineStr"/>
      <c r="D990" s="2" t="inlineStr"/>
      <c r="E990" s="2">
        <f>IF(D990="","",IFERROR(XLOOKUP(TRIM(D990),INVENTARIO!$A$2:$A$2000,INVENTARIO!$B$2:$B$2000),"NO ENCONTRADO"))</f>
        <v/>
      </c>
      <c r="F990" s="2">
        <f>IF(D990="","",IF(E990="NO ENCONTRADO","CODIGO NO EXISTE",IF(COUNTIF($D$2:D990,D990)&gt;1,"DEVOLUCION DUPLICADA",IF(COUNTIFS(SALIDAS!$B$2:$B$1000,B990,SALIDAS!$D$2:$D$1000,D990,SALIDAS!$G$2:$G$1000,"OK*")=0,"NO FIGURA EN SALIDA","OK"))))</f>
        <v/>
      </c>
    </row>
    <row r="991">
      <c r="A991" s="9" t="inlineStr"/>
      <c r="B991" s="2" t="inlineStr"/>
      <c r="C991" s="2" t="inlineStr"/>
      <c r="D991" s="2" t="inlineStr"/>
      <c r="E991" s="2">
        <f>IF(D991="","",IFERROR(XLOOKUP(TRIM(D991),INVENTARIO!$A$2:$A$2000,INVENTARIO!$B$2:$B$2000),"NO ENCONTRADO"))</f>
        <v/>
      </c>
      <c r="F991" s="2">
        <f>IF(D991="","",IF(E991="NO ENCONTRADO","CODIGO NO EXISTE",IF(COUNTIF($D$2:D991,D991)&gt;1,"DEVOLUCION DUPLICADA",IF(COUNTIFS(SALIDAS!$B$2:$B$1000,B991,SALIDAS!$D$2:$D$1000,D991,SALIDAS!$G$2:$G$1000,"OK*")=0,"NO FIGURA EN SALIDA","OK"))))</f>
        <v/>
      </c>
    </row>
    <row r="992">
      <c r="A992" s="9" t="inlineStr"/>
      <c r="B992" s="2" t="inlineStr"/>
      <c r="C992" s="2" t="inlineStr"/>
      <c r="D992" s="2" t="inlineStr"/>
      <c r="E992" s="2">
        <f>IF(D992="","",IFERROR(XLOOKUP(TRIM(D992),INVENTARIO!$A$2:$A$2000,INVENTARIO!$B$2:$B$2000),"NO ENCONTRADO"))</f>
        <v/>
      </c>
      <c r="F992" s="2">
        <f>IF(D992="","",IF(E992="NO ENCONTRADO","CODIGO NO EXISTE",IF(COUNTIF($D$2:D992,D992)&gt;1,"DEVOLUCION DUPLICADA",IF(COUNTIFS(SALIDAS!$B$2:$B$1000,B992,SALIDAS!$D$2:$D$1000,D992,SALIDAS!$G$2:$G$1000,"OK*")=0,"NO FIGURA EN SALIDA","OK"))))</f>
        <v/>
      </c>
    </row>
    <row r="993">
      <c r="A993" s="9" t="inlineStr"/>
      <c r="B993" s="2" t="inlineStr"/>
      <c r="C993" s="2" t="inlineStr"/>
      <c r="D993" s="2" t="inlineStr"/>
      <c r="E993" s="2">
        <f>IF(D993="","",IFERROR(XLOOKUP(TRIM(D993),INVENTARIO!$A$2:$A$2000,INVENTARIO!$B$2:$B$2000),"NO ENCONTRADO"))</f>
        <v/>
      </c>
      <c r="F993" s="2">
        <f>IF(D993="","",IF(E993="NO ENCONTRADO","CODIGO NO EXISTE",IF(COUNTIF($D$2:D993,D993)&gt;1,"DEVOLUCION DUPLICADA",IF(COUNTIFS(SALIDAS!$B$2:$B$1000,B993,SALIDAS!$D$2:$D$1000,D993,SALIDAS!$G$2:$G$1000,"OK*")=0,"NO FIGURA EN SALIDA","OK"))))</f>
        <v/>
      </c>
    </row>
    <row r="994">
      <c r="A994" s="9" t="inlineStr"/>
      <c r="B994" s="2" t="inlineStr"/>
      <c r="C994" s="2" t="inlineStr"/>
      <c r="D994" s="2" t="inlineStr"/>
      <c r="E994" s="2">
        <f>IF(D994="","",IFERROR(XLOOKUP(TRIM(D994),INVENTARIO!$A$2:$A$2000,INVENTARIO!$B$2:$B$2000),"NO ENCONTRADO"))</f>
        <v/>
      </c>
      <c r="F994" s="2">
        <f>IF(D994="","",IF(E994="NO ENCONTRADO","CODIGO NO EXISTE",IF(COUNTIF($D$2:D994,D994)&gt;1,"DEVOLUCION DUPLICADA",IF(COUNTIFS(SALIDAS!$B$2:$B$1000,B994,SALIDAS!$D$2:$D$1000,D994,SALIDAS!$G$2:$G$1000,"OK*")=0,"NO FIGURA EN SALIDA","OK"))))</f>
        <v/>
      </c>
    </row>
    <row r="995">
      <c r="A995" s="9" t="inlineStr"/>
      <c r="B995" s="2" t="inlineStr"/>
      <c r="C995" s="2" t="inlineStr"/>
      <c r="D995" s="2" t="inlineStr"/>
      <c r="E995" s="2">
        <f>IF(D995="","",IFERROR(XLOOKUP(TRIM(D995),INVENTARIO!$A$2:$A$2000,INVENTARIO!$B$2:$B$2000),"NO ENCONTRADO"))</f>
        <v/>
      </c>
      <c r="F995" s="2">
        <f>IF(D995="","",IF(E995="NO ENCONTRADO","CODIGO NO EXISTE",IF(COUNTIF($D$2:D995,D995)&gt;1,"DEVOLUCION DUPLICADA",IF(COUNTIFS(SALIDAS!$B$2:$B$1000,B995,SALIDAS!$D$2:$D$1000,D995,SALIDAS!$G$2:$G$1000,"OK*")=0,"NO FIGURA EN SALIDA","OK"))))</f>
        <v/>
      </c>
    </row>
    <row r="996">
      <c r="A996" s="9" t="inlineStr"/>
      <c r="B996" s="2" t="inlineStr"/>
      <c r="C996" s="2" t="inlineStr"/>
      <c r="D996" s="2" t="inlineStr"/>
      <c r="E996" s="2">
        <f>IF(D996="","",IFERROR(XLOOKUP(TRIM(D996),INVENTARIO!$A$2:$A$2000,INVENTARIO!$B$2:$B$2000),"NO ENCONTRADO"))</f>
        <v/>
      </c>
      <c r="F996" s="2">
        <f>IF(D996="","",IF(E996="NO ENCONTRADO","CODIGO NO EXISTE",IF(COUNTIF($D$2:D996,D996)&gt;1,"DEVOLUCION DUPLICADA",IF(COUNTIFS(SALIDAS!$B$2:$B$1000,B996,SALIDAS!$D$2:$D$1000,D996,SALIDAS!$G$2:$G$1000,"OK*")=0,"NO FIGURA EN SALIDA","OK"))))</f>
        <v/>
      </c>
    </row>
    <row r="997">
      <c r="A997" s="9" t="inlineStr"/>
      <c r="B997" s="2" t="inlineStr"/>
      <c r="C997" s="2" t="inlineStr"/>
      <c r="D997" s="2" t="inlineStr"/>
      <c r="E997" s="2">
        <f>IF(D997="","",IFERROR(XLOOKUP(TRIM(D997),INVENTARIO!$A$2:$A$2000,INVENTARIO!$B$2:$B$2000),"NO ENCONTRADO"))</f>
        <v/>
      </c>
      <c r="F997" s="2">
        <f>IF(D997="","",IF(E997="NO ENCONTRADO","CODIGO NO EXISTE",IF(COUNTIF($D$2:D997,D997)&gt;1,"DEVOLUCION DUPLICADA",IF(COUNTIFS(SALIDAS!$B$2:$B$1000,B997,SALIDAS!$D$2:$D$1000,D997,SALIDAS!$G$2:$G$1000,"OK*")=0,"NO FIGURA EN SALIDA","OK"))))</f>
        <v/>
      </c>
    </row>
    <row r="998">
      <c r="A998" s="9" t="inlineStr"/>
      <c r="B998" s="2" t="inlineStr"/>
      <c r="C998" s="2" t="inlineStr"/>
      <c r="D998" s="2" t="inlineStr"/>
      <c r="E998" s="2">
        <f>IF(D998="","",IFERROR(XLOOKUP(TRIM(D998),INVENTARIO!$A$2:$A$2000,INVENTARIO!$B$2:$B$2000),"NO ENCONTRADO"))</f>
        <v/>
      </c>
      <c r="F998" s="2">
        <f>IF(D998="","",IF(E998="NO ENCONTRADO","CODIGO NO EXISTE",IF(COUNTIF($D$2:D998,D998)&gt;1,"DEVOLUCION DUPLICADA",IF(COUNTIFS(SALIDAS!$B$2:$B$1000,B998,SALIDAS!$D$2:$D$1000,D998,SALIDAS!$G$2:$G$1000,"OK*")=0,"NO FIGURA EN SALIDA","OK"))))</f>
        <v/>
      </c>
    </row>
    <row r="999">
      <c r="A999" s="9" t="inlineStr"/>
      <c r="B999" s="2" t="inlineStr"/>
      <c r="C999" s="2" t="inlineStr"/>
      <c r="D999" s="2" t="inlineStr"/>
      <c r="E999" s="2">
        <f>IF(D999="","",IFERROR(XLOOKUP(TRIM(D999),INVENTARIO!$A$2:$A$2000,INVENTARIO!$B$2:$B$2000),"NO ENCONTRADO"))</f>
        <v/>
      </c>
      <c r="F999" s="2">
        <f>IF(D999="","",IF(E999="NO ENCONTRADO","CODIGO NO EXISTE",IF(COUNTIF($D$2:D999,D999)&gt;1,"DEVOLUCION DUPLICADA",IF(COUNTIFS(SALIDAS!$B$2:$B$1000,B999,SALIDAS!$D$2:$D$1000,D999,SALIDAS!$G$2:$G$1000,"OK*")=0,"NO FIGURA EN SALIDA","OK"))))</f>
        <v/>
      </c>
    </row>
    <row r="1000">
      <c r="A1000" s="9" t="inlineStr"/>
      <c r="B1000" s="2" t="inlineStr"/>
      <c r="C1000" s="2" t="inlineStr"/>
      <c r="D1000" s="2" t="inlineStr"/>
      <c r="E1000" s="2">
        <f>IF(D1000="","",IFERROR(XLOOKUP(TRIM(D1000),INVENTARIO!$A$2:$A$2000,INVENTARIO!$B$2:$B$2000),"NO ENCONTRADO"))</f>
        <v/>
      </c>
      <c r="F1000" s="2">
        <f>IF(D1000="","",IF(E1000="NO ENCONTRADO","CODIGO NO EXISTE",IF(COUNTIF($D$2:D1000,D1000)&gt;1,"DEVOLUCION DUPLICADA",IF(COUNTIFS(SALIDAS!$B$2:$B$1000,B1000,SALIDAS!$D$2:$D$1000,D1000,SALIDAS!$G$2:$G$1000,"OK*")=0,"NO FIGURA EN SALIDA","OK"))))</f>
        <v/>
      </c>
    </row>
  </sheetData>
  <autoFilter ref="A1:F1000"/>
  <conditionalFormatting sqref="F2:F1000">
    <cfRule type="expression" priority="1" dxfId="0">
      <formula>ISNUMBER(SEARCH("OK",F2))</formula>
    </cfRule>
    <cfRule type="expression" priority="2" dxfId="1">
      <formula>OR(ISNUMBER(SEARCH("NO ",F2)),ISNUMBER(SEARCH("REVISAR",F2)))</formula>
    </cfRule>
    <cfRule type="expression" priority="3" dxfId="2">
      <formula>OR(ISNUMBER(SEARCH("FALTA",F2)),ISNUMBER(SEARCH("DUPLICADA",F2)),ISNUMBER(SEARCH("DUPLICADO",F2)))</formula>
    </cfRule>
  </conditionalFormatting>
  <dataValidations count="1">
    <dataValidation sqref="B2:B1000" showDropDown="0" showInputMessage="0" showErrorMessage="0" allowBlank="1" type="list">
      <formula1>LISTAS!$B$2:$B$3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 ht="24" customHeight="1">
      <c r="A1" s="5" t="inlineStr">
        <is>
          <t>Evento</t>
        </is>
      </c>
      <c r="B1" s="5" t="inlineStr">
        <is>
          <t>Salieron OK</t>
        </is>
      </c>
      <c r="C1" s="5" t="inlineStr">
        <is>
          <t>Volvieron OK</t>
        </is>
      </c>
      <c r="D1" s="5" t="inlineStr">
        <is>
          <t>Faltan</t>
        </is>
      </c>
      <c r="E1" s="5" t="inlineStr">
        <is>
          <t>Codigos con alerta</t>
        </is>
      </c>
      <c r="F1" s="5" t="inlineStr">
        <is>
          <t>Estado</t>
        </is>
      </c>
    </row>
    <row r="2">
      <c r="A2" s="2" t="inlineStr">
        <is>
          <t>&lt;openpyxl.worksheet.formula.ArrayFormula object at 0x0000021AD9ABCE00&gt;</t>
        </is>
      </c>
      <c r="B2" s="2">
        <f>IF(A2="","",COUNTIFS(SALIDAS!$B$2:$B$1000,A2,SALIDAS!$G$2:$G$1000,"OK*"))</f>
        <v/>
      </c>
      <c r="C2" s="2">
        <f>IF(A2="","",COUNTIFS(DEVOLUCIONES!$B$2:$B$1000,A2,DEVOLUCIONES!$F$2:$F$1000,"OK"))</f>
        <v/>
      </c>
      <c r="D2" s="2">
        <f>IF(A2="","",MAX(0,B2-C2))</f>
        <v/>
      </c>
      <c r="E2" s="2">
        <f>IF(A2="","",COUNTIFS(SALIDAS!$B$2:$B$1000,A2,SALIDAS!$G$2:$G$1000,"&lt;&gt;OK",SALIDAS!$G$2:$G$1000,"&lt;&gt;OK SIN PEDIDO"))</f>
        <v/>
      </c>
      <c r="F2" s="2">
        <f>IF(A2="","",IF(E2&gt;0,"REVISAR",IF(D2=0,"COMPLETO","INCOMPLETO")))</f>
        <v/>
      </c>
    </row>
    <row r="3">
      <c r="A3" s="2" t="inlineStr">
        <is>
          <t>Tecnopolis</t>
        </is>
      </c>
      <c r="B3" s="2">
        <f>IF(A3="","",COUNTIFS(SALIDAS!$B$2:$B$1000,A3,SALIDAS!$G$2:$G$1000,"OK*"))</f>
        <v/>
      </c>
      <c r="C3" s="2">
        <f>IF(A3="","",COUNTIFS(DEVOLUCIONES!$B$2:$B$1000,A3,DEVOLUCIONES!$F$2:$F$1000,"OK"))</f>
        <v/>
      </c>
      <c r="D3" s="2">
        <f>IF(A3="","",MAX(0,B3-C3))</f>
        <v/>
      </c>
      <c r="E3" s="2">
        <f>IF(A3="","",COUNTIFS(SALIDAS!$B$2:$B$1000,A3,SALIDAS!$G$2:$G$1000,"&lt;&gt;OK",SALIDAS!$G$2:$G$1000,"&lt;&gt;OK SIN PEDIDO"))</f>
        <v/>
      </c>
      <c r="F3" s="2">
        <f>IF(A3="","",IF(E3&gt;0,"REVISAR",IF(D3=0,"COMPLETO","INCOMPLETO")))</f>
        <v/>
      </c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</row>
  </sheetData>
  <autoFilter ref="A1:F100"/>
  <conditionalFormatting sqref="F2:F100">
    <cfRule type="expression" priority="1" dxfId="0">
      <formula>ISNUMBER(SEARCH("OK",F2))</formula>
    </cfRule>
    <cfRule type="expression" priority="2" dxfId="1">
      <formula>OR(ISNUMBER(SEARCH("NO ",F2)),ISNUMBER(SEARCH("REVISAR",F2)))</formula>
    </cfRule>
    <cfRule type="expression" priority="3" dxfId="2">
      <formula>OR(ISNUMBER(SEARCH("FALTA",F2)),ISNUMBER(SEARCH("DUPLICADA",F2)),ISNUMBER(SEARCH("DUPLICADO",F2)))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 ht="24" customHeight="1">
      <c r="A1" s="5" t="inlineStr">
        <is>
          <t>Tipo</t>
        </is>
      </c>
      <c r="B1" s="5" t="inlineStr">
        <is>
          <t>Total</t>
        </is>
      </c>
      <c r="C1" s="5" t="inlineStr">
        <is>
          <t>Reservado pedido</t>
        </is>
      </c>
      <c r="D1" s="5" t="inlineStr">
        <is>
          <t>Afuera</t>
        </is>
      </c>
      <c r="E1" s="5" t="inlineStr">
        <is>
          <t>En deposito</t>
        </is>
      </c>
      <c r="F1" s="5" t="inlineStr">
        <is>
          <t>Alerta</t>
        </is>
      </c>
    </row>
    <row r="2">
      <c r="A2" s="2" t="inlineStr">
        <is>
          <t>ARANA-CAMLOCK</t>
        </is>
      </c>
      <c r="B2" s="2">
        <f>IF(A2="","",COUNTIF(INVENTARIO!$B$2:$B$2000,A2))</f>
        <v/>
      </c>
      <c r="C2" s="2">
        <f>IF(A2="","",MAX(0,SUMIFS(PEDIDO_ITEMS!$C$2:$C$501,PEDIDO_ITEMS!$B$2:$B$501,A2)-COUNTIFS(SALIDAS!$E$2:$E$1000,A2,SALIDAS!$G$2:$G$1000,"OK*")))</f>
        <v/>
      </c>
      <c r="D2" s="2">
        <f>IF(A2="","",MAX(0,COUNTIFS(SALIDAS!$E$2:$E$1000,A2,SALIDAS!$G$2:$G$1000,"OK*")-COUNTIFS(DEVOLUCIONES!$E$2:$E$1000,A2,DEVOLUCIONES!$F$2:$F$1000,"OK")))</f>
        <v/>
      </c>
      <c r="E2" s="2">
        <f>IF(A2="","",B2-C2-D2)</f>
        <v/>
      </c>
      <c r="F2" s="2">
        <f>IF(A2="","",IF(E2&lt;0,"REVISAR",IF(E2=0,"SIN STOCK","OK")))</f>
        <v/>
      </c>
    </row>
    <row r="3">
      <c r="A3" s="2" t="inlineStr">
        <is>
          <t>BAUL</t>
        </is>
      </c>
      <c r="B3" s="2">
        <f>IF(A3="","",COUNTIF(INVENTARIO!$B$2:$B$2000,A3))</f>
        <v/>
      </c>
      <c r="C3" s="2">
        <f>IF(A3="","",MAX(0,SUMIFS(PEDIDO_ITEMS!$C$2:$C$501,PEDIDO_ITEMS!$B$2:$B$501,A3)-COUNTIFS(SALIDAS!$E$2:$E$1000,A3,SALIDAS!$G$2:$G$1000,"OK*")))</f>
        <v/>
      </c>
      <c r="D3" s="2">
        <f>IF(A3="","",MAX(0,COUNTIFS(SALIDAS!$E$2:$E$1000,A3,SALIDAS!$G$2:$G$1000,"OK*")-COUNTIFS(DEVOLUCIONES!$E$2:$E$1000,A3,DEVOLUCIONES!$F$2:$F$1000,"OK")))</f>
        <v/>
      </c>
      <c r="E3" s="2">
        <f>IF(A3="","",B3-C3-D3)</f>
        <v/>
      </c>
      <c r="F3" s="2">
        <f>IF(A3="","",IF(E3&lt;0,"REVISAR",IF(E3=0,"SIN STOCK","OK")))</f>
        <v/>
      </c>
    </row>
    <row r="4">
      <c r="A4" s="2" t="inlineStr">
        <is>
          <t>CHA-250A</t>
        </is>
      </c>
      <c r="B4" s="2">
        <f>IF(A4="","",COUNTIF(INVENTARIO!$B$2:$B$2000,A4))</f>
        <v/>
      </c>
      <c r="C4" s="2">
        <f>IF(A4="","",MAX(0,SUMIFS(PEDIDO_ITEMS!$C$2:$C$501,PEDIDO_ITEMS!$B$2:$B$501,A4)-COUNTIFS(SALIDAS!$E$2:$E$1000,A4,SALIDAS!$G$2:$G$1000,"OK*")))</f>
        <v/>
      </c>
      <c r="D4" s="2">
        <f>IF(A4="","",MAX(0,COUNTIFS(SALIDAS!$E$2:$E$1000,A4,SALIDAS!$G$2:$G$1000,"OK*")-COUNTIFS(DEVOLUCIONES!$E$2:$E$1000,A4,DEVOLUCIONES!$F$2:$F$1000,"OK")))</f>
        <v/>
      </c>
      <c r="E4" s="2">
        <f>IF(A4="","",B4-C4-D4)</f>
        <v/>
      </c>
      <c r="F4" s="2">
        <f>IF(A4="","",IF(E4&lt;0,"REVISAR",IF(E4=0,"SIN STOCK","OK")))</f>
        <v/>
      </c>
    </row>
    <row r="5">
      <c r="A5" s="2" t="inlineStr">
        <is>
          <t>CHA-400A</t>
        </is>
      </c>
      <c r="B5" s="2">
        <f>IF(A5="","",COUNTIF(INVENTARIO!$B$2:$B$2000,A5))</f>
        <v/>
      </c>
      <c r="C5" s="2">
        <f>IF(A5="","",MAX(0,SUMIFS(PEDIDO_ITEMS!$C$2:$C$501,PEDIDO_ITEMS!$B$2:$B$501,A5)-COUNTIFS(SALIDAS!$E$2:$E$1000,A5,SALIDAS!$G$2:$G$1000,"OK*")))</f>
        <v/>
      </c>
      <c r="D5" s="2">
        <f>IF(A5="","",MAX(0,COUNTIFS(SALIDAS!$E$2:$E$1000,A5,SALIDAS!$G$2:$G$1000,"OK*")-COUNTIFS(DEVOLUCIONES!$E$2:$E$1000,A5,DEVOLUCIONES!$F$2:$F$1000,"OK")))</f>
        <v/>
      </c>
      <c r="E5" s="2">
        <f>IF(A5="","",B5-C5-D5)</f>
        <v/>
      </c>
      <c r="F5" s="2">
        <f>IF(A5="","",IF(E5&lt;0,"REVISAR",IF(E5=0,"SIN STOCK","OK")))</f>
        <v/>
      </c>
    </row>
    <row r="6">
      <c r="A6" s="2" t="inlineStr">
        <is>
          <t>CHA-TABLEROS</t>
        </is>
      </c>
      <c r="B6" s="2">
        <f>IF(A6="","",COUNTIF(INVENTARIO!$B$2:$B$2000,A6))</f>
        <v/>
      </c>
      <c r="C6" s="2">
        <f>IF(A6="","",MAX(0,SUMIFS(PEDIDO_ITEMS!$C$2:$C$501,PEDIDO_ITEMS!$B$2:$B$501,A6)-COUNTIFS(SALIDAS!$E$2:$E$1000,A6,SALIDAS!$G$2:$G$1000,"OK*")))</f>
        <v/>
      </c>
      <c r="D6" s="2">
        <f>IF(A6="","",MAX(0,COUNTIFS(SALIDAS!$E$2:$E$1000,A6,SALIDAS!$G$2:$G$1000,"OK*")-COUNTIFS(DEVOLUCIONES!$E$2:$E$1000,A6,DEVOLUCIONES!$F$2:$F$1000,"OK")))</f>
        <v/>
      </c>
      <c r="E6" s="2">
        <f>IF(A6="","",B6-C6-D6)</f>
        <v/>
      </c>
      <c r="F6" s="2">
        <f>IF(A6="","",IF(E6&lt;0,"REVISAR",IF(E6=0,"SIN STOCK","OK")))</f>
        <v/>
      </c>
    </row>
    <row r="7">
      <c r="A7" s="2" t="inlineStr">
        <is>
          <t>GEN-9KVA</t>
        </is>
      </c>
      <c r="B7" s="2">
        <f>IF(A7="","",COUNTIF(INVENTARIO!$B$2:$B$2000,A7))</f>
        <v/>
      </c>
      <c r="C7" s="2">
        <f>IF(A7="","",MAX(0,SUMIFS(PEDIDO_ITEMS!$C$2:$C$501,PEDIDO_ITEMS!$B$2:$B$501,A7)-COUNTIFS(SALIDAS!$E$2:$E$1000,A7,SALIDAS!$G$2:$G$1000,"OK*")))</f>
        <v/>
      </c>
      <c r="D7" s="2">
        <f>IF(A7="","",MAX(0,COUNTIFS(SALIDAS!$E$2:$E$1000,A7,SALIDAS!$G$2:$G$1000,"OK*")-COUNTIFS(DEVOLUCIONES!$E$2:$E$1000,A7,DEVOLUCIONES!$F$2:$F$1000,"OK")))</f>
        <v/>
      </c>
      <c r="E7" s="2">
        <f>IF(A7="","",B7-C7-D7)</f>
        <v/>
      </c>
      <c r="F7" s="2">
        <f>IF(A7="","",IF(E7&lt;0,"REVISAR",IF(E7=0,"SIN STOCK","OK")))</f>
        <v/>
      </c>
    </row>
    <row r="8">
      <c r="A8" s="2" t="inlineStr">
        <is>
          <t>LUZ-SALA</t>
        </is>
      </c>
      <c r="B8" s="2">
        <f>IF(A8="","",COUNTIF(INVENTARIO!$B$2:$B$2000,A8))</f>
        <v/>
      </c>
      <c r="C8" s="2">
        <f>IF(A8="","",MAX(0,SUMIFS(PEDIDO_ITEMS!$C$2:$C$501,PEDIDO_ITEMS!$B$2:$B$501,A8)-COUNTIFS(SALIDAS!$E$2:$E$1000,A8,SALIDAS!$G$2:$G$1000,"OK*")))</f>
        <v/>
      </c>
      <c r="D8" s="2">
        <f>IF(A8="","",MAX(0,COUNTIFS(SALIDAS!$E$2:$E$1000,A8,SALIDAS!$G$2:$G$1000,"OK*")-COUNTIFS(DEVOLUCIONES!$E$2:$E$1000,A8,DEVOLUCIONES!$F$2:$F$1000,"OK")))</f>
        <v/>
      </c>
      <c r="E8" s="2">
        <f>IF(A8="","",B8-C8-D8)</f>
        <v/>
      </c>
      <c r="F8" s="2">
        <f>IF(A8="","",IF(E8&lt;0,"REVISAR",IF(E8=0,"SIN STOCK","OK")))</f>
        <v/>
      </c>
    </row>
    <row r="9">
      <c r="A9" s="2" t="inlineStr">
        <is>
          <t>LUZ-TRABAJO</t>
        </is>
      </c>
      <c r="B9" s="2">
        <f>IF(A9="","",COUNTIF(INVENTARIO!$B$2:$B$2000,A9))</f>
        <v/>
      </c>
      <c r="C9" s="2">
        <f>IF(A9="","",MAX(0,SUMIFS(PEDIDO_ITEMS!$C$2:$C$501,PEDIDO_ITEMS!$B$2:$B$501,A9)-COUNTIFS(SALIDAS!$E$2:$E$1000,A9,SALIDAS!$G$2:$G$1000,"OK*")))</f>
        <v/>
      </c>
      <c r="D9" s="2">
        <f>IF(A9="","",MAX(0,COUNTIFS(SALIDAS!$E$2:$E$1000,A9,SALIDAS!$G$2:$G$1000,"OK*")-COUNTIFS(DEVOLUCIONES!$E$2:$E$1000,A9,DEVOLUCIONES!$F$2:$F$1000,"OK")))</f>
        <v/>
      </c>
      <c r="E9" s="2">
        <f>IF(A9="","",B9-C9-D9)</f>
        <v/>
      </c>
      <c r="F9" s="2">
        <f>IF(A9="","",IF(E9&lt;0,"REVISAR",IF(E9=0,"SIN STOCK","OK")))</f>
        <v/>
      </c>
    </row>
    <row r="10">
      <c r="A10" s="2" t="inlineStr">
        <is>
          <t>MEN-3X16-14M</t>
        </is>
      </c>
      <c r="B10" s="2">
        <f>IF(A10="","",COUNTIF(INVENTARIO!$B$2:$B$2000,A10))</f>
        <v/>
      </c>
      <c r="C10" s="2">
        <f>IF(A10="","",MAX(0,SUMIFS(PEDIDO_ITEMS!$C$2:$C$501,PEDIDO_ITEMS!$B$2:$B$501,A10)-COUNTIFS(SALIDAS!$E$2:$E$1000,A10,SALIDAS!$G$2:$G$1000,"OK*")))</f>
        <v/>
      </c>
      <c r="D10" s="2">
        <f>IF(A10="","",MAX(0,COUNTIFS(SALIDAS!$E$2:$E$1000,A10,SALIDAS!$G$2:$G$1000,"OK*")-COUNTIFS(DEVOLUCIONES!$E$2:$E$1000,A10,DEVOLUCIONES!$F$2:$F$1000,"OK")))</f>
        <v/>
      </c>
      <c r="E10" s="2">
        <f>IF(A10="","",B10-C10-D10)</f>
        <v/>
      </c>
      <c r="F10" s="2">
        <f>IF(A10="","",IF(E10&lt;0,"REVISAR",IF(E10=0,"SIN STOCK","OK")))</f>
        <v/>
      </c>
    </row>
    <row r="11">
      <c r="A11" s="2" t="inlineStr">
        <is>
          <t>MEN-3X16-20M</t>
        </is>
      </c>
      <c r="B11" s="2">
        <f>IF(A11="","",COUNTIF(INVENTARIO!$B$2:$B$2000,A11))</f>
        <v/>
      </c>
      <c r="C11" s="2">
        <f>IF(A11="","",MAX(0,SUMIFS(PEDIDO_ITEMS!$C$2:$C$501,PEDIDO_ITEMS!$B$2:$B$501,A11)-COUNTIFS(SALIDAS!$E$2:$E$1000,A11,SALIDAS!$G$2:$G$1000,"OK*")))</f>
        <v/>
      </c>
      <c r="D11" s="2">
        <f>IF(A11="","",MAX(0,COUNTIFS(SALIDAS!$E$2:$E$1000,A11,SALIDAS!$G$2:$G$1000,"OK*")-COUNTIFS(DEVOLUCIONES!$E$2:$E$1000,A11,DEVOLUCIONES!$F$2:$F$1000,"OK")))</f>
        <v/>
      </c>
      <c r="E11" s="2">
        <f>IF(A11="","",B11-C11-D11)</f>
        <v/>
      </c>
      <c r="F11" s="2">
        <f>IF(A11="","",IF(E11&lt;0,"REVISAR",IF(E11=0,"SIN STOCK","OK")))</f>
        <v/>
      </c>
    </row>
    <row r="12">
      <c r="A12" s="2" t="inlineStr">
        <is>
          <t>MEN-3X16-30M</t>
        </is>
      </c>
      <c r="B12" s="2">
        <f>IF(A12="","",COUNTIF(INVENTARIO!$B$2:$B$2000,A12))</f>
        <v/>
      </c>
      <c r="C12" s="2">
        <f>IF(A12="","",MAX(0,SUMIFS(PEDIDO_ITEMS!$C$2:$C$501,PEDIDO_ITEMS!$B$2:$B$501,A12)-COUNTIFS(SALIDAS!$E$2:$E$1000,A12,SALIDAS!$G$2:$G$1000,"OK*")))</f>
        <v/>
      </c>
      <c r="D12" s="2">
        <f>IF(A12="","",MAX(0,COUNTIFS(SALIDAS!$E$2:$E$1000,A12,SALIDAS!$G$2:$G$1000,"OK*")-COUNTIFS(DEVOLUCIONES!$E$2:$E$1000,A12,DEVOLUCIONES!$F$2:$F$1000,"OK")))</f>
        <v/>
      </c>
      <c r="E12" s="2">
        <f>IF(A12="","",B12-C12-D12)</f>
        <v/>
      </c>
      <c r="F12" s="2">
        <f>IF(A12="","",IF(E12&lt;0,"REVISAR",IF(E12=0,"SIN STOCK","OK")))</f>
        <v/>
      </c>
    </row>
    <row r="13">
      <c r="A13" s="2" t="inlineStr">
        <is>
          <t>MEN-5X16-A-16A</t>
        </is>
      </c>
      <c r="B13" s="2">
        <f>IF(A13="","",COUNTIF(INVENTARIO!$B$2:$B$2000,A13))</f>
        <v/>
      </c>
      <c r="C13" s="2">
        <f>IF(A13="","",MAX(0,SUMIFS(PEDIDO_ITEMS!$C$2:$C$501,PEDIDO_ITEMS!$B$2:$B$501,A13)-COUNTIFS(SALIDAS!$E$2:$E$1000,A13,SALIDAS!$G$2:$G$1000,"OK*")))</f>
        <v/>
      </c>
      <c r="D13" s="2">
        <f>IF(A13="","",MAX(0,COUNTIFS(SALIDAS!$E$2:$E$1000,A13,SALIDAS!$G$2:$G$1000,"OK*")-COUNTIFS(DEVOLUCIONES!$E$2:$E$1000,A13,DEVOLUCIONES!$F$2:$F$1000,"OK")))</f>
        <v/>
      </c>
      <c r="E13" s="2">
        <f>IF(A13="","",B13-C13-D13)</f>
        <v/>
      </c>
      <c r="F13" s="2">
        <f>IF(A13="","",IF(E13&lt;0,"REVISAR",IF(E13=0,"SIN STOCK","OK")))</f>
        <v/>
      </c>
    </row>
    <row r="14">
      <c r="A14" s="2" t="inlineStr">
        <is>
          <t>MNG-5X32-10M</t>
        </is>
      </c>
      <c r="B14" s="2">
        <f>IF(A14="","",COUNTIF(INVENTARIO!$B$2:$B$2000,A14))</f>
        <v/>
      </c>
      <c r="C14" s="2">
        <f>IF(A14="","",MAX(0,SUMIFS(PEDIDO_ITEMS!$C$2:$C$501,PEDIDO_ITEMS!$B$2:$B$501,A14)-COUNTIFS(SALIDAS!$E$2:$E$1000,A14,SALIDAS!$G$2:$G$1000,"OK*")))</f>
        <v/>
      </c>
      <c r="D14" s="2">
        <f>IF(A14="","",MAX(0,COUNTIFS(SALIDAS!$E$2:$E$1000,A14,SALIDAS!$G$2:$G$1000,"OK*")-COUNTIFS(DEVOLUCIONES!$E$2:$E$1000,A14,DEVOLUCIONES!$F$2:$F$1000,"OK")))</f>
        <v/>
      </c>
      <c r="E14" s="2">
        <f>IF(A14="","",B14-C14-D14)</f>
        <v/>
      </c>
      <c r="F14" s="2">
        <f>IF(A14="","",IF(E14&lt;0,"REVISAR",IF(E14=0,"SIN STOCK","OK")))</f>
        <v/>
      </c>
    </row>
    <row r="15">
      <c r="A15" s="2" t="inlineStr">
        <is>
          <t>MNG-5X32-15M</t>
        </is>
      </c>
      <c r="B15" s="2">
        <f>IF(A15="","",COUNTIF(INVENTARIO!$B$2:$B$2000,A15))</f>
        <v/>
      </c>
      <c r="C15" s="2">
        <f>IF(A15="","",MAX(0,SUMIFS(PEDIDO_ITEMS!$C$2:$C$501,PEDIDO_ITEMS!$B$2:$B$501,A15)-COUNTIFS(SALIDAS!$E$2:$E$1000,A15,SALIDAS!$G$2:$G$1000,"OK*")))</f>
        <v/>
      </c>
      <c r="D15" s="2">
        <f>IF(A15="","",MAX(0,COUNTIFS(SALIDAS!$E$2:$E$1000,A15,SALIDAS!$G$2:$G$1000,"OK*")-COUNTIFS(DEVOLUCIONES!$E$2:$E$1000,A15,DEVOLUCIONES!$F$2:$F$1000,"OK")))</f>
        <v/>
      </c>
      <c r="E15" s="2">
        <f>IF(A15="","",B15-C15-D15)</f>
        <v/>
      </c>
      <c r="F15" s="2">
        <f>IF(A15="","",IF(E15&lt;0,"REVISAR",IF(E15=0,"SIN STOCK","OK")))</f>
        <v/>
      </c>
    </row>
    <row r="16">
      <c r="A16" s="2" t="inlineStr">
        <is>
          <t>MNG-5X32-20M</t>
        </is>
      </c>
      <c r="B16" s="2">
        <f>IF(A16="","",COUNTIF(INVENTARIO!$B$2:$B$2000,A16))</f>
        <v/>
      </c>
      <c r="C16" s="2">
        <f>IF(A16="","",MAX(0,SUMIFS(PEDIDO_ITEMS!$C$2:$C$501,PEDIDO_ITEMS!$B$2:$B$501,A16)-COUNTIFS(SALIDAS!$E$2:$E$1000,A16,SALIDAS!$G$2:$G$1000,"OK*")))</f>
        <v/>
      </c>
      <c r="D16" s="2">
        <f>IF(A16="","",MAX(0,COUNTIFS(SALIDAS!$E$2:$E$1000,A16,SALIDAS!$G$2:$G$1000,"OK*")-COUNTIFS(DEVOLUCIONES!$E$2:$E$1000,A16,DEVOLUCIONES!$F$2:$F$1000,"OK")))</f>
        <v/>
      </c>
      <c r="E16" s="2">
        <f>IF(A16="","",B16-C16-D16)</f>
        <v/>
      </c>
      <c r="F16" s="2">
        <f>IF(A16="","",IF(E16&lt;0,"REVISAR",IF(E16=0,"SIN STOCK","OK")))</f>
        <v/>
      </c>
    </row>
    <row r="17">
      <c r="A17" s="2" t="inlineStr">
        <is>
          <t>MNG-5X32-30M</t>
        </is>
      </c>
      <c r="B17" s="2">
        <f>IF(A17="","",COUNTIF(INVENTARIO!$B$2:$B$2000,A17))</f>
        <v/>
      </c>
      <c r="C17" s="2">
        <f>IF(A17="","",MAX(0,SUMIFS(PEDIDO_ITEMS!$C$2:$C$501,PEDIDO_ITEMS!$B$2:$B$501,A17)-COUNTIFS(SALIDAS!$E$2:$E$1000,A17,SALIDAS!$G$2:$G$1000,"OK*")))</f>
        <v/>
      </c>
      <c r="D17" s="2">
        <f>IF(A17="","",MAX(0,COUNTIFS(SALIDAS!$E$2:$E$1000,A17,SALIDAS!$G$2:$G$1000,"OK*")-COUNTIFS(DEVOLUCIONES!$E$2:$E$1000,A17,DEVOLUCIONES!$F$2:$F$1000,"OK")))</f>
        <v/>
      </c>
      <c r="E17" s="2">
        <f>IF(A17="","",B17-C17-D17)</f>
        <v/>
      </c>
      <c r="F17" s="2">
        <f>IF(A17="","",IF(E17&lt;0,"REVISAR",IF(E17=0,"SIN STOCK","OK")))</f>
        <v/>
      </c>
    </row>
    <row r="18">
      <c r="A18" s="2" t="inlineStr">
        <is>
          <t>SIN-TIPO</t>
        </is>
      </c>
      <c r="B18" s="2">
        <f>IF(A18="","",COUNTIF(INVENTARIO!$B$2:$B$2000,A18))</f>
        <v/>
      </c>
      <c r="C18" s="2">
        <f>IF(A18="","",MAX(0,SUMIFS(PEDIDO_ITEMS!$C$2:$C$501,PEDIDO_ITEMS!$B$2:$B$501,A18)-COUNTIFS(SALIDAS!$E$2:$E$1000,A18,SALIDAS!$G$2:$G$1000,"OK*")))</f>
        <v/>
      </c>
      <c r="D18" s="2">
        <f>IF(A18="","",MAX(0,COUNTIFS(SALIDAS!$E$2:$E$1000,A18,SALIDAS!$G$2:$G$1000,"OK*")-COUNTIFS(DEVOLUCIONES!$E$2:$E$1000,A18,DEVOLUCIONES!$F$2:$F$1000,"OK")))</f>
        <v/>
      </c>
      <c r="E18" s="2">
        <f>IF(A18="","",B18-C18-D18)</f>
        <v/>
      </c>
      <c r="F18" s="2">
        <f>IF(A18="","",IF(E18&lt;0,"REVISAR",IF(E18=0,"SIN STOCK","OK")))</f>
        <v/>
      </c>
    </row>
    <row r="19">
      <c r="A19" s="2" t="inlineStr">
        <is>
          <t>TAB-CAMPO-CHICO</t>
        </is>
      </c>
      <c r="B19" s="2">
        <f>IF(A19="","",COUNTIF(INVENTARIO!$B$2:$B$2000,A19))</f>
        <v/>
      </c>
      <c r="C19" s="2">
        <f>IF(A19="","",MAX(0,SUMIFS(PEDIDO_ITEMS!$C$2:$C$501,PEDIDO_ITEMS!$B$2:$B$501,A19)-COUNTIFS(SALIDAS!$E$2:$E$1000,A19,SALIDAS!$G$2:$G$1000,"OK*")))</f>
        <v/>
      </c>
      <c r="D19" s="2">
        <f>IF(A19="","",MAX(0,COUNTIFS(SALIDAS!$E$2:$E$1000,A19,SALIDAS!$G$2:$G$1000,"OK*")-COUNTIFS(DEVOLUCIONES!$E$2:$E$1000,A19,DEVOLUCIONES!$F$2:$F$1000,"OK")))</f>
        <v/>
      </c>
      <c r="E19" s="2">
        <f>IF(A19="","",B19-C19-D19)</f>
        <v/>
      </c>
      <c r="F19" s="2">
        <f>IF(A19="","",IF(E19&lt;0,"REVISAR",IF(E19=0,"SIN STOCK","OK")))</f>
        <v/>
      </c>
    </row>
    <row r="20">
      <c r="A20" s="2" t="inlineStr">
        <is>
          <t>TAB-CAMPO-GRANDE</t>
        </is>
      </c>
      <c r="B20" s="2">
        <f>IF(A20="","",COUNTIF(INVENTARIO!$B$2:$B$2000,A20))</f>
        <v/>
      </c>
      <c r="C20" s="2">
        <f>IF(A20="","",MAX(0,SUMIFS(PEDIDO_ITEMS!$C$2:$C$501,PEDIDO_ITEMS!$B$2:$B$501,A20)-COUNTIFS(SALIDAS!$E$2:$E$1000,A20,SALIDAS!$G$2:$G$1000,"OK*")))</f>
        <v/>
      </c>
      <c r="D20" s="2">
        <f>IF(A20="","",MAX(0,COUNTIFS(SALIDAS!$E$2:$E$1000,A20,SALIDAS!$G$2:$G$1000,"OK*")-COUNTIFS(DEVOLUCIONES!$E$2:$E$1000,A20,DEVOLUCIONES!$F$2:$F$1000,"OK")))</f>
        <v/>
      </c>
      <c r="E20" s="2">
        <f>IF(A20="","",B20-C20-D20)</f>
        <v/>
      </c>
      <c r="F20" s="2">
        <f>IF(A20="","",IF(E20&lt;0,"REVISAR",IF(E20=0,"SIN STOCK","OK")))</f>
        <v/>
      </c>
    </row>
    <row r="21">
      <c r="A21" s="2" t="inlineStr">
        <is>
          <t>TAB-CONMUTADORA</t>
        </is>
      </c>
      <c r="B21" s="2">
        <f>IF(A21="","",COUNTIF(INVENTARIO!$B$2:$B$2000,A21))</f>
        <v/>
      </c>
      <c r="C21" s="2">
        <f>IF(A21="","",MAX(0,SUMIFS(PEDIDO_ITEMS!$C$2:$C$501,PEDIDO_ITEMS!$B$2:$B$501,A21)-COUNTIFS(SALIDAS!$E$2:$E$1000,A21,SALIDAS!$G$2:$G$1000,"OK*")))</f>
        <v/>
      </c>
      <c r="D21" s="2">
        <f>IF(A21="","",MAX(0,COUNTIFS(SALIDAS!$E$2:$E$1000,A21,SALIDAS!$G$2:$G$1000,"OK*")-COUNTIFS(DEVOLUCIONES!$E$2:$E$1000,A21,DEVOLUCIONES!$F$2:$F$1000,"OK")))</f>
        <v/>
      </c>
      <c r="E21" s="2">
        <f>IF(A21="","",B21-C21-D21)</f>
        <v/>
      </c>
      <c r="F21" s="2">
        <f>IF(A21="","",IF(E21&lt;0,"REVISAR",IF(E21=0,"SIN STOCK","OK")))</f>
        <v/>
      </c>
    </row>
    <row r="22">
      <c r="A22" s="2" t="inlineStr">
        <is>
          <t>TAB-DOMESTICA</t>
        </is>
      </c>
      <c r="B22" s="2">
        <f>IF(A22="","",COUNTIF(INVENTARIO!$B$2:$B$2000,A22))</f>
        <v/>
      </c>
      <c r="C22" s="2">
        <f>IF(A22="","",MAX(0,SUMIFS(PEDIDO_ITEMS!$C$2:$C$501,PEDIDO_ITEMS!$B$2:$B$501,A22)-COUNTIFS(SALIDAS!$E$2:$E$1000,A22,SALIDAS!$G$2:$G$1000,"OK*")))</f>
        <v/>
      </c>
      <c r="D22" s="2">
        <f>IF(A22="","",MAX(0,COUNTIFS(SALIDAS!$E$2:$E$1000,A22,SALIDAS!$G$2:$G$1000,"OK*")-COUNTIFS(DEVOLUCIONES!$E$2:$E$1000,A22,DEVOLUCIONES!$F$2:$F$1000,"OK")))</f>
        <v/>
      </c>
      <c r="E22" s="2">
        <f>IF(A22="","",B22-C22-D22)</f>
        <v/>
      </c>
      <c r="F22" s="2">
        <f>IF(A22="","",IF(E22&lt;0,"REVISAR",IF(E22=0,"SIN STOCK","OK")))</f>
        <v/>
      </c>
    </row>
    <row r="23">
      <c r="A23" s="2" t="inlineStr">
        <is>
          <t>TAB-PATOS</t>
        </is>
      </c>
      <c r="B23" s="2">
        <f>IF(A23="","",COUNTIF(INVENTARIO!$B$2:$B$2000,A23))</f>
        <v/>
      </c>
      <c r="C23" s="2">
        <f>IF(A23="","",MAX(0,SUMIFS(PEDIDO_ITEMS!$C$2:$C$501,PEDIDO_ITEMS!$B$2:$B$501,A23)-COUNTIFS(SALIDAS!$E$2:$E$1000,A23,SALIDAS!$G$2:$G$1000,"OK*")))</f>
        <v/>
      </c>
      <c r="D23" s="2">
        <f>IF(A23="","",MAX(0,COUNTIFS(SALIDAS!$E$2:$E$1000,A23,SALIDAS!$G$2:$G$1000,"OK*")-COUNTIFS(DEVOLUCIONES!$E$2:$E$1000,A23,DEVOLUCIONES!$F$2:$F$1000,"OK")))</f>
        <v/>
      </c>
      <c r="E23" s="2">
        <f>IF(A23="","",B23-C23-D23)</f>
        <v/>
      </c>
      <c r="F23" s="2">
        <f>IF(A23="","",IF(E23&lt;0,"REVISAR",IF(E23=0,"SIN STOCK","OK")))</f>
        <v/>
      </c>
    </row>
    <row r="24">
      <c r="A24" s="2" t="inlineStr">
        <is>
          <t>TAB-PATYZEROS</t>
        </is>
      </c>
      <c r="B24" s="2">
        <f>IF(A24="","",COUNTIF(INVENTARIO!$B$2:$B$2000,A24))</f>
        <v/>
      </c>
      <c r="C24" s="2">
        <f>IF(A24="","",MAX(0,SUMIFS(PEDIDO_ITEMS!$C$2:$C$501,PEDIDO_ITEMS!$B$2:$B$501,A24)-COUNTIFS(SALIDAS!$E$2:$E$1000,A24,SALIDAS!$G$2:$G$1000,"OK*")))</f>
        <v/>
      </c>
      <c r="D24" s="2">
        <f>IF(A24="","",MAX(0,COUNTIFS(SALIDAS!$E$2:$E$1000,A24,SALIDAS!$G$2:$G$1000,"OK*")-COUNTIFS(DEVOLUCIONES!$E$2:$E$1000,A24,DEVOLUCIONES!$F$2:$F$1000,"OK")))</f>
        <v/>
      </c>
      <c r="E24" s="2">
        <f>IF(A24="","",B24-C24-D24)</f>
        <v/>
      </c>
      <c r="F24" s="2">
        <f>IF(A24="","",IF(E24&lt;0,"REVISAR",IF(E24=0,"SIN STOCK","OK")))</f>
        <v/>
      </c>
    </row>
    <row r="25">
      <c r="A25" s="2" t="inlineStr">
        <is>
          <t>TAB-PEKES</t>
        </is>
      </c>
      <c r="B25" s="2">
        <f>IF(A25="","",COUNTIF(INVENTARIO!$B$2:$B$2000,A25))</f>
        <v/>
      </c>
      <c r="C25" s="2">
        <f>IF(A25="","",MAX(0,SUMIFS(PEDIDO_ITEMS!$C$2:$C$501,PEDIDO_ITEMS!$B$2:$B$501,A25)-COUNTIFS(SALIDAS!$E$2:$E$1000,A25,SALIDAS!$G$2:$G$1000,"OK*")))</f>
        <v/>
      </c>
      <c r="D25" s="2">
        <f>IF(A25="","",MAX(0,COUNTIFS(SALIDAS!$E$2:$E$1000,A25,SALIDAS!$G$2:$G$1000,"OK*")-COUNTIFS(DEVOLUCIONES!$E$2:$E$1000,A25,DEVOLUCIONES!$F$2:$F$1000,"OK")))</f>
        <v/>
      </c>
      <c r="E25" s="2">
        <f>IF(A25="","",B25-C25-D25)</f>
        <v/>
      </c>
      <c r="F25" s="2">
        <f>IF(A25="","",IF(E25&lt;0,"REVISAR",IF(E25=0,"SIN STOCK","OK")))</f>
        <v/>
      </c>
    </row>
    <row r="26">
      <c r="A26" s="2" t="inlineStr">
        <is>
          <t>TAB-SCAME</t>
        </is>
      </c>
      <c r="B26" s="2">
        <f>IF(A26="","",COUNTIF(INVENTARIO!$B$2:$B$2000,A26))</f>
        <v/>
      </c>
      <c r="C26" s="2">
        <f>IF(A26="","",MAX(0,SUMIFS(PEDIDO_ITEMS!$C$2:$C$501,PEDIDO_ITEMS!$B$2:$B$501,A26)-COUNTIFS(SALIDAS!$E$2:$E$1000,A26,SALIDAS!$G$2:$G$1000,"OK*")))</f>
        <v/>
      </c>
      <c r="D26" s="2">
        <f>IF(A26="","",MAX(0,COUNTIFS(SALIDAS!$E$2:$E$1000,A26,SALIDAS!$G$2:$G$1000,"OK*")-COUNTIFS(DEVOLUCIONES!$E$2:$E$1000,A26,DEVOLUCIONES!$F$2:$F$1000,"OK")))</f>
        <v/>
      </c>
      <c r="E26" s="2">
        <f>IF(A26="","",B26-C26-D26)</f>
        <v/>
      </c>
      <c r="F26" s="2">
        <f>IF(A26="","",IF(E26&lt;0,"REVISAR",IF(E26=0,"SIN STOCK","OK")))</f>
        <v/>
      </c>
    </row>
  </sheetData>
  <autoFilter ref="A1:F26"/>
  <conditionalFormatting sqref="F2:F26">
    <cfRule type="expression" priority="1" dxfId="0">
      <formula>ISNUMBER(SEARCH("OK",F2))</formula>
    </cfRule>
    <cfRule type="expression" priority="2" dxfId="1">
      <formula>OR(ISNUMBER(SEARCH("NO ",F2)),ISNUMBER(SEARCH("REVISAR",F2)))</formula>
    </cfRule>
    <cfRule type="expression" priority="3" dxfId="2">
      <formula>OR(ISNUMBER(SEARCH("FALTA",F2)),ISNUMBER(SEARCH("DUPLICADA",F2)),ISNUMBER(SEARCH("DUPLICADO",F2)))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30" customWidth="1" min="5" max="5"/>
    <col width="8" customWidth="1" min="6" max="6"/>
    <col width="8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REMITO DIGITAL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Empresa</t>
        </is>
      </c>
      <c r="B2" s="2" t="inlineStr">
        <is>
          <t>IZANERGIA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CUIT</t>
        </is>
      </c>
      <c r="B3" s="2" t="inlineStr">
        <is>
          <t>20-5104893-3</t>
        </is>
      </c>
      <c r="C3" s="2" t="n"/>
      <c r="D3" s="2" t="n"/>
      <c r="E3" s="2" t="n"/>
      <c r="F3" s="2" t="n"/>
      <c r="G3" s="2" t="n"/>
      <c r="H3" s="2" t="inlineStr">
        <is>
          <t>N Remito</t>
        </is>
      </c>
      <c r="I3" s="2" t="n"/>
      <c r="J3" s="2" t="n"/>
    </row>
    <row r="4">
      <c r="A4" s="2" t="inlineStr">
        <is>
          <t>Direccion</t>
        </is>
      </c>
      <c r="B4" s="2" t="inlineStr">
        <is>
          <t>Pizurno 1186, Del Viso</t>
        </is>
      </c>
      <c r="C4" s="2" t="n"/>
      <c r="D4" s="2" t="n"/>
      <c r="E4" s="2" t="n"/>
      <c r="F4" s="2" t="n"/>
      <c r="G4" s="2" t="n"/>
      <c r="H4" s="2" t="inlineStr">
        <is>
          <t>Fecha</t>
        </is>
      </c>
      <c r="I4" s="10" t="n">
        <v>46166.57287008064</v>
      </c>
      <c r="J4" s="2" t="n"/>
    </row>
    <row r="5">
      <c r="A5" s="2" t="inlineStr">
        <is>
          <t>Evento</t>
        </is>
      </c>
      <c r="B5" s="2" t="inlineStr"/>
      <c r="C5" s="2" t="n"/>
      <c r="D5" s="2" t="n"/>
      <c r="E5" s="2" t="n"/>
      <c r="F5" s="2" t="n"/>
      <c r="G5" s="2" t="n"/>
      <c r="H5" s="2" t="inlineStr">
        <is>
          <t>Estado</t>
        </is>
      </c>
      <c r="I5" s="2" t="inlineStr">
        <is>
          <t>Borrador</t>
        </is>
      </c>
      <c r="J5" s="2" t="n"/>
    </row>
    <row r="6">
      <c r="A6" s="2" t="inlineStr">
        <is>
          <t>Pedido</t>
        </is>
      </c>
      <c r="B6" s="2" t="inlineStr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4" customHeight="1">
      <c r="A10" s="5" t="inlineStr">
        <is>
          <t>Tipo</t>
        </is>
      </c>
      <c r="B10" s="5" t="inlineStr">
        <is>
          <t>Descripcion</t>
        </is>
      </c>
      <c r="C10" s="5" t="inlineStr">
        <is>
          <t>Cantidad</t>
        </is>
      </c>
      <c r="D10" s="5" t="inlineStr">
        <is>
          <t>Unidad</t>
        </is>
      </c>
      <c r="E10" s="5" t="inlineStr">
        <is>
          <t>Observaciones</t>
        </is>
      </c>
      <c r="F10" s="2" t="n"/>
      <c r="G10" s="2" t="n"/>
      <c r="H10" s="2" t="n"/>
      <c r="I10" s="2" t="n"/>
      <c r="J10" s="2" t="n"/>
    </row>
    <row r="11">
      <c r="A11" s="2" t="inlineStr"/>
      <c r="B11" s="2" t="inlineStr"/>
      <c r="C11" s="2" t="inlineStr"/>
      <c r="D11" s="2" t="inlineStr">
        <is>
          <t>unidad</t>
        </is>
      </c>
      <c r="E11" s="2" t="inlineStr"/>
      <c r="F11" s="2" t="n"/>
      <c r="G11" s="2" t="n"/>
      <c r="H11" s="2" t="n"/>
      <c r="I11" s="2" t="n"/>
      <c r="J11" s="2" t="n"/>
    </row>
    <row r="12">
      <c r="A12" s="2" t="inlineStr"/>
      <c r="B12" s="2" t="inlineStr"/>
      <c r="C12" s="2" t="inlineStr"/>
      <c r="D12" s="2" t="inlineStr">
        <is>
          <t>unidad</t>
        </is>
      </c>
      <c r="E12" s="2" t="inlineStr"/>
      <c r="F12" s="2" t="n"/>
      <c r="G12" s="2" t="n"/>
      <c r="H12" s="2" t="n"/>
      <c r="I12" s="2" t="n"/>
      <c r="J12" s="2" t="n"/>
    </row>
    <row r="13">
      <c r="A13" s="2" t="inlineStr"/>
      <c r="B13" s="2" t="inlineStr"/>
      <c r="C13" s="2" t="inlineStr"/>
      <c r="D13" s="2" t="inlineStr">
        <is>
          <t>unidad</t>
        </is>
      </c>
      <c r="E13" s="2" t="inlineStr"/>
      <c r="F13" s="2" t="n"/>
      <c r="G13" s="2" t="n"/>
      <c r="H13" s="2" t="n"/>
      <c r="I13" s="2" t="n"/>
      <c r="J13" s="2" t="n"/>
    </row>
    <row r="14">
      <c r="A14" s="2" t="inlineStr"/>
      <c r="B14" s="2" t="inlineStr"/>
      <c r="C14" s="2" t="inlineStr"/>
      <c r="D14" s="2" t="inlineStr">
        <is>
          <t>unidad</t>
        </is>
      </c>
      <c r="E14" s="2" t="inlineStr"/>
      <c r="F14" s="2" t="n"/>
      <c r="G14" s="2" t="n"/>
      <c r="H14" s="2" t="n"/>
      <c r="I14" s="2" t="n"/>
      <c r="J14" s="2" t="n"/>
    </row>
    <row r="15">
      <c r="A15" s="2" t="inlineStr"/>
      <c r="B15" s="2" t="inlineStr"/>
      <c r="C15" s="2" t="inlineStr"/>
      <c r="D15" s="2" t="inlineStr">
        <is>
          <t>unidad</t>
        </is>
      </c>
      <c r="E15" s="2" t="inlineStr"/>
      <c r="F15" s="2" t="n"/>
      <c r="G15" s="2" t="n"/>
      <c r="H15" s="2" t="n"/>
      <c r="I15" s="2" t="n"/>
      <c r="J15" s="2" t="n"/>
    </row>
    <row r="16">
      <c r="A16" s="2" t="inlineStr"/>
      <c r="B16" s="2" t="inlineStr"/>
      <c r="C16" s="2" t="inlineStr"/>
      <c r="D16" s="2" t="inlineStr">
        <is>
          <t>unidad</t>
        </is>
      </c>
      <c r="E16" s="2" t="inlineStr"/>
      <c r="F16" s="2" t="n"/>
      <c r="G16" s="2" t="n"/>
      <c r="H16" s="2" t="n"/>
      <c r="I16" s="2" t="n"/>
      <c r="J16" s="2" t="n"/>
    </row>
    <row r="17">
      <c r="A17" s="2" t="inlineStr"/>
      <c r="B17" s="2" t="inlineStr"/>
      <c r="C17" s="2" t="inlineStr"/>
      <c r="D17" s="2" t="inlineStr">
        <is>
          <t>unidad</t>
        </is>
      </c>
      <c r="E17" s="2" t="inlineStr"/>
      <c r="F17" s="2" t="n"/>
      <c r="G17" s="2" t="n"/>
      <c r="H17" s="2" t="n"/>
      <c r="I17" s="2" t="n"/>
      <c r="J17" s="2" t="n"/>
    </row>
    <row r="18">
      <c r="A18" s="2" t="inlineStr"/>
      <c r="B18" s="2" t="inlineStr"/>
      <c r="C18" s="2" t="inlineStr"/>
      <c r="D18" s="2" t="inlineStr">
        <is>
          <t>unidad</t>
        </is>
      </c>
      <c r="E18" s="2" t="inlineStr"/>
      <c r="F18" s="2" t="n"/>
      <c r="G18" s="2" t="n"/>
      <c r="H18" s="2" t="n"/>
      <c r="I18" s="2" t="n"/>
      <c r="J18" s="2" t="n"/>
    </row>
    <row r="19">
      <c r="A19" s="2" t="inlineStr"/>
      <c r="B19" s="2" t="inlineStr"/>
      <c r="C19" s="2" t="inlineStr"/>
      <c r="D19" s="2" t="inlineStr">
        <is>
          <t>unidad</t>
        </is>
      </c>
      <c r="E19" s="2" t="inlineStr"/>
      <c r="F19" s="2" t="n"/>
      <c r="G19" s="2" t="n"/>
      <c r="H19" s="2" t="n"/>
      <c r="I19" s="2" t="n"/>
      <c r="J19" s="2" t="n"/>
    </row>
    <row r="20">
      <c r="A20" s="2" t="inlineStr"/>
      <c r="B20" s="2" t="inlineStr"/>
      <c r="C20" s="2" t="inlineStr"/>
      <c r="D20" s="2" t="inlineStr">
        <is>
          <t>unidad</t>
        </is>
      </c>
      <c r="E20" s="2" t="inlineStr"/>
      <c r="F20" s="2" t="n"/>
      <c r="G20" s="2" t="n"/>
      <c r="H20" s="2" t="n"/>
      <c r="I20" s="2" t="n"/>
      <c r="J20" s="2" t="n"/>
    </row>
    <row r="21">
      <c r="A21" s="2" t="inlineStr"/>
      <c r="B21" s="2" t="inlineStr"/>
      <c r="C21" s="2" t="inlineStr"/>
      <c r="D21" s="2" t="inlineStr">
        <is>
          <t>unidad</t>
        </is>
      </c>
      <c r="E21" s="2" t="inlineStr"/>
      <c r="F21" s="2" t="n"/>
      <c r="G21" s="2" t="n"/>
      <c r="H21" s="2" t="n"/>
      <c r="I21" s="2" t="n"/>
      <c r="J21" s="2" t="n"/>
    </row>
    <row r="22">
      <c r="A22" s="2" t="inlineStr"/>
      <c r="B22" s="2" t="inlineStr"/>
      <c r="C22" s="2" t="inlineStr"/>
      <c r="D22" s="2" t="inlineStr">
        <is>
          <t>unidad</t>
        </is>
      </c>
      <c r="E22" s="2" t="inlineStr"/>
      <c r="F22" s="2" t="n"/>
      <c r="G22" s="2" t="n"/>
      <c r="H22" s="2" t="n"/>
      <c r="I22" s="2" t="n"/>
      <c r="J22" s="2" t="n"/>
    </row>
    <row r="23">
      <c r="A23" s="2" t="inlineStr"/>
      <c r="B23" s="2" t="inlineStr"/>
      <c r="C23" s="2" t="inlineStr"/>
      <c r="D23" s="2" t="inlineStr">
        <is>
          <t>unidad</t>
        </is>
      </c>
      <c r="E23" s="2" t="inlineStr"/>
      <c r="F23" s="2" t="n"/>
      <c r="G23" s="2" t="n"/>
      <c r="H23" s="2" t="n"/>
      <c r="I23" s="2" t="n"/>
      <c r="J23" s="2" t="n"/>
    </row>
    <row r="24">
      <c r="A24" s="2" t="inlineStr"/>
      <c r="B24" s="2" t="inlineStr"/>
      <c r="C24" s="2" t="inlineStr"/>
      <c r="D24" s="2" t="inlineStr">
        <is>
          <t>unidad</t>
        </is>
      </c>
      <c r="E24" s="2" t="inlineStr"/>
      <c r="F24" s="2" t="n"/>
      <c r="G24" s="2" t="n"/>
      <c r="H24" s="2" t="n"/>
      <c r="I24" s="2" t="n"/>
      <c r="J24" s="2" t="n"/>
    </row>
    <row r="25">
      <c r="A25" s="2" t="inlineStr"/>
      <c r="B25" s="2" t="inlineStr"/>
      <c r="C25" s="2" t="inlineStr"/>
      <c r="D25" s="2" t="inlineStr">
        <is>
          <t>unidad</t>
        </is>
      </c>
      <c r="E25" s="2" t="inlineStr"/>
      <c r="F25" s="2" t="n"/>
      <c r="G25" s="2" t="n"/>
      <c r="H25" s="2" t="n"/>
      <c r="I25" s="2" t="n"/>
      <c r="J25" s="2" t="n"/>
    </row>
    <row r="26">
      <c r="A26" s="2" t="inlineStr"/>
      <c r="B26" s="2" t="inlineStr"/>
      <c r="C26" s="2" t="inlineStr"/>
      <c r="D26" s="2" t="inlineStr">
        <is>
          <t>unidad</t>
        </is>
      </c>
      <c r="E26" s="2" t="inlineStr"/>
      <c r="F26" s="2" t="n"/>
      <c r="G26" s="2" t="n"/>
      <c r="H26" s="2" t="n"/>
      <c r="I26" s="2" t="n"/>
      <c r="J26" s="2" t="n"/>
    </row>
    <row r="27">
      <c r="A27" s="2" t="inlineStr"/>
      <c r="B27" s="2" t="inlineStr"/>
      <c r="C27" s="2" t="inlineStr"/>
      <c r="D27" s="2" t="inlineStr">
        <is>
          <t>unidad</t>
        </is>
      </c>
      <c r="E27" s="2" t="inlineStr"/>
      <c r="F27" s="2" t="n"/>
      <c r="G27" s="2" t="n"/>
      <c r="H27" s="2" t="n"/>
      <c r="I27" s="2" t="n"/>
      <c r="J27" s="2" t="n"/>
    </row>
    <row r="28">
      <c r="A28" s="2" t="inlineStr"/>
      <c r="B28" s="2" t="inlineStr"/>
      <c r="C28" s="2" t="inlineStr"/>
      <c r="D28" s="2" t="inlineStr">
        <is>
          <t>unidad</t>
        </is>
      </c>
      <c r="E28" s="2" t="inlineStr"/>
      <c r="F28" s="2" t="n"/>
      <c r="G28" s="2" t="n"/>
      <c r="H28" s="2" t="n"/>
      <c r="I28" s="2" t="n"/>
      <c r="J28" s="2" t="n"/>
    </row>
    <row r="29">
      <c r="A29" s="2" t="inlineStr"/>
      <c r="B29" s="2" t="inlineStr"/>
      <c r="C29" s="2" t="inlineStr"/>
      <c r="D29" s="2" t="inlineStr">
        <is>
          <t>unidad</t>
        </is>
      </c>
      <c r="E29" s="2" t="inlineStr"/>
      <c r="F29" s="2" t="n"/>
      <c r="G29" s="2" t="n"/>
      <c r="H29" s="2" t="n"/>
      <c r="I29" s="2" t="n"/>
      <c r="J29" s="2" t="n"/>
    </row>
    <row r="30">
      <c r="A30" s="2" t="inlineStr"/>
      <c r="B30" s="2" t="inlineStr"/>
      <c r="C30" s="2" t="inlineStr"/>
      <c r="D30" s="2" t="inlineStr">
        <is>
          <t>unidad</t>
        </is>
      </c>
      <c r="E30" s="2" t="inlineStr"/>
      <c r="F30" s="2" t="n"/>
      <c r="G30" s="2" t="n"/>
      <c r="H30" s="2" t="n"/>
      <c r="I30" s="2" t="n"/>
      <c r="J30" s="2" t="n"/>
    </row>
    <row r="31">
      <c r="A31" s="2" t="inlineStr"/>
      <c r="B31" s="2" t="inlineStr"/>
      <c r="C31" s="2" t="inlineStr"/>
      <c r="D31" s="2" t="inlineStr">
        <is>
          <t>unidad</t>
        </is>
      </c>
      <c r="E31" s="2" t="inlineStr"/>
      <c r="F31" s="2" t="n"/>
      <c r="G31" s="2" t="n"/>
      <c r="H31" s="2" t="n"/>
      <c r="I31" s="2" t="n"/>
      <c r="J31" s="2" t="n"/>
    </row>
    <row r="32">
      <c r="A32" s="2" t="inlineStr"/>
      <c r="B32" s="2" t="inlineStr"/>
      <c r="C32" s="2" t="inlineStr"/>
      <c r="D32" s="2" t="inlineStr">
        <is>
          <t>unidad</t>
        </is>
      </c>
      <c r="E32" s="2" t="inlineStr"/>
      <c r="F32" s="2" t="n"/>
      <c r="G32" s="2" t="n"/>
      <c r="H32" s="2" t="n"/>
      <c r="I32" s="2" t="n"/>
      <c r="J32" s="2" t="n"/>
    </row>
    <row r="33">
      <c r="A33" s="2" t="inlineStr"/>
      <c r="B33" s="2" t="inlineStr"/>
      <c r="C33" s="2" t="inlineStr"/>
      <c r="D33" s="2" t="inlineStr">
        <is>
          <t>unidad</t>
        </is>
      </c>
      <c r="E33" s="2" t="inlineStr"/>
      <c r="F33" s="2" t="n"/>
      <c r="G33" s="2" t="n"/>
      <c r="H33" s="2" t="n"/>
      <c r="I33" s="2" t="n"/>
      <c r="J33" s="2" t="n"/>
    </row>
    <row r="34">
      <c r="A34" s="2" t="inlineStr"/>
      <c r="B34" s="2" t="inlineStr"/>
      <c r="C34" s="2" t="inlineStr"/>
      <c r="D34" s="2" t="inlineStr">
        <is>
          <t>unidad</t>
        </is>
      </c>
      <c r="E34" s="2" t="inlineStr"/>
      <c r="F34" s="2" t="n"/>
      <c r="G34" s="2" t="n"/>
      <c r="H34" s="2" t="n"/>
      <c r="I34" s="2" t="n"/>
      <c r="J34" s="2" t="n"/>
    </row>
    <row r="35">
      <c r="A35" s="2" t="inlineStr"/>
      <c r="B35" s="2" t="inlineStr"/>
      <c r="C35" s="2" t="inlineStr"/>
      <c r="D35" s="2" t="inlineStr">
        <is>
          <t>unidad</t>
        </is>
      </c>
      <c r="E35" s="2" t="inlineStr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Firma: ___________________________________________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</row>
  </sheetData>
  <autoFilter ref="A1:J39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6" customWidth="1" min="4" max="4"/>
    <col width="20" customWidth="1" min="5" max="5"/>
    <col width="36" customWidth="1" min="6" max="6"/>
    <col width="12" customWidth="1" min="7" max="7"/>
    <col width="10" customWidth="1" min="8" max="8"/>
  </cols>
  <sheetData>
    <row r="1" ht="24" customHeight="1">
      <c r="A1" s="5" t="inlineStr">
        <is>
          <t>N Remito</t>
        </is>
      </c>
      <c r="B1" s="5" t="inlineStr">
        <is>
          <t>Fecha</t>
        </is>
      </c>
      <c r="C1" s="5" t="inlineStr">
        <is>
          <t>Evento</t>
        </is>
      </c>
      <c r="D1" s="5" t="inlineStr">
        <is>
          <t>Pedido</t>
        </is>
      </c>
      <c r="E1" s="5" t="inlineStr">
        <is>
          <t>Tipo</t>
        </is>
      </c>
      <c r="F1" s="5" t="inlineStr">
        <is>
          <t>Descripcion</t>
        </is>
      </c>
      <c r="G1" s="5" t="inlineStr">
        <is>
          <t>Cantidad</t>
        </is>
      </c>
      <c r="H1" s="5" t="inlineStr">
        <is>
          <t>Unidad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</row>
    <row r="260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</row>
    <row r="26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</row>
    <row r="28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</row>
    <row r="282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</row>
    <row r="286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</row>
    <row r="28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</row>
    <row r="291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</row>
    <row r="303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</row>
    <row r="30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</row>
    <row r="306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</row>
    <row r="329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</row>
    <row r="330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</row>
    <row r="331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</row>
    <row r="333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</row>
    <row r="334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</row>
    <row r="33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</row>
    <row r="336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</row>
    <row r="33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</row>
    <row r="339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</row>
    <row r="340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</row>
    <row r="341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</row>
    <row r="346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</row>
    <row r="34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</row>
    <row r="349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</row>
    <row r="350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</row>
    <row r="360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</row>
    <row r="377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</row>
    <row r="37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</row>
    <row r="381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</row>
    <row r="382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</row>
    <row r="383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</row>
    <row r="384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</row>
    <row r="38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</row>
    <row r="386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</row>
    <row r="387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</row>
    <row r="388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</row>
    <row r="389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</row>
    <row r="390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</row>
    <row r="39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</row>
    <row r="392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</row>
    <row r="393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</row>
    <row r="394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</row>
    <row r="39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</row>
    <row r="396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</row>
    <row r="397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</row>
    <row r="39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</row>
    <row r="399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</row>
    <row r="400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</row>
    <row r="40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</row>
    <row r="402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</row>
    <row r="403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</row>
    <row r="404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</row>
    <row r="406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</row>
    <row r="407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</row>
    <row r="40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</row>
    <row r="409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</row>
    <row r="410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</row>
    <row r="41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</row>
    <row r="412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</row>
    <row r="413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</row>
    <row r="414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</row>
    <row r="4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</row>
    <row r="416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</row>
    <row r="4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</row>
    <row r="419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</row>
    <row r="420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</row>
    <row r="422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</row>
    <row r="423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</row>
    <row r="424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</row>
    <row r="42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</row>
    <row r="426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</row>
    <row r="427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</row>
    <row r="42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</row>
    <row r="433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</row>
    <row r="434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</row>
    <row r="43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</row>
    <row r="43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</row>
    <row r="440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</row>
    <row r="442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</row>
    <row r="443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</row>
    <row r="444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</row>
    <row r="44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</row>
    <row r="447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</row>
    <row r="44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</row>
    <row r="449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</row>
    <row r="450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</row>
    <row r="45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</row>
    <row r="452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</row>
    <row r="453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</row>
    <row r="456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</row>
    <row r="457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</row>
    <row r="459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</row>
    <row r="460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</row>
    <row r="46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</row>
    <row r="464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</row>
    <row r="46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</row>
    <row r="466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</row>
    <row r="467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</row>
    <row r="470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</row>
    <row r="47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</row>
    <row r="474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</row>
    <row r="47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</row>
    <row r="476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</row>
    <row r="477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</row>
    <row r="47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</row>
    <row r="480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</row>
    <row r="48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</row>
    <row r="482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</row>
    <row r="484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</row>
    <row r="48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</row>
    <row r="486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</row>
    <row r="487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</row>
    <row r="48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</row>
    <row r="489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</row>
    <row r="490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</row>
    <row r="493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</row>
    <row r="494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</row>
    <row r="49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</row>
    <row r="496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</row>
    <row r="497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</row>
    <row r="49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</row>
    <row r="499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</row>
    <row r="500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</row>
    <row r="50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</row>
  </sheetData>
  <autoFilter ref="A1:H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</cols>
  <sheetData>
    <row r="1" ht="24" customHeight="1">
      <c r="A1" s="5" t="inlineStr">
        <is>
          <t>Tipos</t>
        </is>
      </c>
      <c r="B1" s="5" t="inlineStr">
        <is>
          <t>Eventos</t>
        </is>
      </c>
      <c r="C1" s="5" t="inlineStr">
        <is>
          <t>Estados Pedido</t>
        </is>
      </c>
    </row>
    <row r="2">
      <c r="A2" s="2" t="inlineStr">
        <is>
          <t>ARANA-CAMLOCK</t>
        </is>
      </c>
      <c r="B2" s="2" t="inlineStr">
        <is>
          <t>&lt;openpyxl.worksheet.formula.ArrayFormula object at 0x0000021AD9ABCE00&gt;</t>
        </is>
      </c>
      <c r="C2" s="2" t="inlineStr">
        <is>
          <t>Borrador</t>
        </is>
      </c>
    </row>
    <row r="3">
      <c r="A3" s="2" t="inlineStr">
        <is>
          <t>BAUL</t>
        </is>
      </c>
      <c r="B3" s="2" t="inlineStr">
        <is>
          <t>Tecnopolis</t>
        </is>
      </c>
      <c r="C3" s="2" t="inlineStr">
        <is>
          <t>Confirmado</t>
        </is>
      </c>
    </row>
    <row r="4">
      <c r="A4" s="2" t="inlineStr">
        <is>
          <t>CHA-250A</t>
        </is>
      </c>
      <c r="B4" s="2" t="inlineStr"/>
      <c r="C4" s="2" t="inlineStr">
        <is>
          <t>En preparacion</t>
        </is>
      </c>
    </row>
    <row r="5">
      <c r="A5" s="2" t="inlineStr">
        <is>
          <t>CHA-400A</t>
        </is>
      </c>
      <c r="B5" s="2" t="inlineStr"/>
      <c r="C5" s="2" t="inlineStr">
        <is>
          <t>Despachado</t>
        </is>
      </c>
    </row>
    <row r="6">
      <c r="A6" s="2" t="inlineStr">
        <is>
          <t>CHA-TABLEROS</t>
        </is>
      </c>
      <c r="B6" s="2" t="inlineStr"/>
      <c r="C6" s="2" t="inlineStr">
        <is>
          <t>Devuelto</t>
        </is>
      </c>
    </row>
    <row r="7">
      <c r="A7" s="2" t="inlineStr">
        <is>
          <t>GEN-9KVA</t>
        </is>
      </c>
      <c r="B7" s="2" t="inlineStr"/>
      <c r="C7" s="2" t="inlineStr">
        <is>
          <t>Cerrado</t>
        </is>
      </c>
    </row>
    <row r="8">
      <c r="A8" s="2" t="inlineStr">
        <is>
          <t>LUZ-SALA</t>
        </is>
      </c>
      <c r="B8" s="2" t="inlineStr"/>
      <c r="C8" s="2" t="inlineStr">
        <is>
          <t>Cancelado</t>
        </is>
      </c>
    </row>
    <row r="9">
      <c r="A9" s="2" t="inlineStr">
        <is>
          <t>LUZ-TRABAJO</t>
        </is>
      </c>
      <c r="B9" s="2" t="inlineStr"/>
      <c r="C9" s="2" t="inlineStr"/>
    </row>
    <row r="10">
      <c r="A10" s="2" t="inlineStr">
        <is>
          <t>MEN-3X16-14M</t>
        </is>
      </c>
      <c r="B10" s="2" t="inlineStr"/>
      <c r="C10" s="2" t="inlineStr"/>
    </row>
    <row r="11">
      <c r="A11" s="2" t="inlineStr">
        <is>
          <t>MEN-3X16-20M</t>
        </is>
      </c>
      <c r="B11" s="2" t="inlineStr"/>
      <c r="C11" s="2" t="inlineStr"/>
    </row>
    <row r="12">
      <c r="A12" s="2" t="inlineStr">
        <is>
          <t>MEN-3X16-30M</t>
        </is>
      </c>
      <c r="B12" s="2" t="inlineStr"/>
      <c r="C12" s="2" t="inlineStr"/>
    </row>
    <row r="13">
      <c r="A13" s="2" t="inlineStr">
        <is>
          <t>MEN-5X16-A-16A</t>
        </is>
      </c>
      <c r="B13" s="2" t="inlineStr"/>
      <c r="C13" s="2" t="inlineStr"/>
    </row>
    <row r="14">
      <c r="A14" s="2" t="inlineStr">
        <is>
          <t>MNG-5X32-10M</t>
        </is>
      </c>
      <c r="B14" s="2" t="inlineStr"/>
      <c r="C14" s="2" t="inlineStr"/>
    </row>
    <row r="15">
      <c r="A15" s="2" t="inlineStr">
        <is>
          <t>MNG-5X32-15M</t>
        </is>
      </c>
      <c r="B15" s="2" t="inlineStr"/>
      <c r="C15" s="2" t="inlineStr"/>
    </row>
    <row r="16">
      <c r="A16" s="2" t="inlineStr">
        <is>
          <t>MNG-5X32-20M</t>
        </is>
      </c>
      <c r="B16" s="2" t="inlineStr"/>
      <c r="C16" s="2" t="inlineStr"/>
    </row>
    <row r="17">
      <c r="A17" s="2" t="inlineStr">
        <is>
          <t>MNG-5X32-30M</t>
        </is>
      </c>
      <c r="B17" s="2" t="inlineStr"/>
      <c r="C17" s="2" t="inlineStr"/>
    </row>
    <row r="18">
      <c r="A18" s="2" t="inlineStr">
        <is>
          <t>SIN-TIPO</t>
        </is>
      </c>
      <c r="B18" s="2" t="inlineStr"/>
      <c r="C18" s="2" t="inlineStr"/>
    </row>
    <row r="19">
      <c r="A19" s="2" t="inlineStr">
        <is>
          <t>TAB-CAMPO-CHICO</t>
        </is>
      </c>
      <c r="B19" s="2" t="inlineStr"/>
      <c r="C19" s="2" t="inlineStr"/>
    </row>
    <row r="20">
      <c r="A20" s="2" t="inlineStr">
        <is>
          <t>TAB-CAMPO-GRANDE</t>
        </is>
      </c>
      <c r="B20" s="2" t="inlineStr"/>
      <c r="C20" s="2" t="inlineStr"/>
    </row>
    <row r="21">
      <c r="A21" s="2" t="inlineStr">
        <is>
          <t>TAB-CONMUTADORA</t>
        </is>
      </c>
      <c r="B21" s="2" t="inlineStr"/>
      <c r="C21" s="2" t="inlineStr"/>
    </row>
    <row r="22">
      <c r="A22" s="2" t="inlineStr">
        <is>
          <t>TAB-DOMESTICA</t>
        </is>
      </c>
      <c r="B22" s="2" t="inlineStr"/>
      <c r="C22" s="2" t="inlineStr"/>
    </row>
    <row r="23">
      <c r="A23" s="2" t="inlineStr">
        <is>
          <t>TAB-PATOS</t>
        </is>
      </c>
      <c r="B23" s="2" t="inlineStr"/>
      <c r="C23" s="2" t="inlineStr"/>
    </row>
    <row r="24">
      <c r="A24" s="2" t="inlineStr">
        <is>
          <t>TAB-PATYZEROS</t>
        </is>
      </c>
      <c r="B24" s="2" t="inlineStr"/>
      <c r="C24" s="2" t="inlineStr"/>
    </row>
    <row r="25">
      <c r="A25" s="2" t="inlineStr">
        <is>
          <t>TAB-PEKES</t>
        </is>
      </c>
      <c r="B25" s="2" t="inlineStr"/>
      <c r="C25" s="2" t="inlineStr"/>
    </row>
    <row r="26">
      <c r="A26" s="2" t="inlineStr">
        <is>
          <t>TAB-SCAME</t>
        </is>
      </c>
      <c r="B26" s="2" t="inlineStr"/>
      <c r="C26" s="2" t="inlineStr"/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2026-05-24T16:44:55Z</dcterms:created>
  <dcterms:modified xmlns:dcterms="http://purl.org/dc/terms/" xmlns:xsi="http://www.w3.org/2001/XMLSchema-instance" xsi:type="dcterms:W3CDTF">2026-05-24T16:44:58Z</dcterms:modified>
</cp:coreProperties>
</file>